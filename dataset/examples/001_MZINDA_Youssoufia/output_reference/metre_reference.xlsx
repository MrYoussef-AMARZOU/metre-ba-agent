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civil works\youssofia\projet mzinda\"/>
    </mc:Choice>
  </mc:AlternateContent>
  <bookViews>
    <workbookView xWindow="0" yWindow="0" windowWidth="23040" windowHeight="9072" activeTab="3"/>
  </bookViews>
  <sheets>
    <sheet name="Detail quontitafif fondation" sheetId="1" r:id="rId1"/>
    <sheet name="Armatures " sheetId="2" r:id="rId2"/>
    <sheet name="ATTACHEMENT 1" sheetId="7" r:id="rId3"/>
    <sheet name="GO ATTACHEMENT 1" sheetId="8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11" i="8" l="1"/>
  <c r="J220" i="8"/>
  <c r="I220" i="8"/>
  <c r="L220" i="8" s="1"/>
  <c r="M221" i="8" s="1"/>
  <c r="J410" i="8"/>
  <c r="I410" i="8"/>
  <c r="J408" i="8"/>
  <c r="I408" i="8"/>
  <c r="L403" i="8"/>
  <c r="K402" i="8"/>
  <c r="L402" i="8" s="1"/>
  <c r="K401" i="8"/>
  <c r="L401" i="8" s="1"/>
  <c r="K400" i="8"/>
  <c r="L400" i="8" s="1"/>
  <c r="K399" i="8"/>
  <c r="L399" i="8" s="1"/>
  <c r="K398" i="8"/>
  <c r="L398" i="8" s="1"/>
  <c r="K397" i="8"/>
  <c r="L397" i="8" s="1"/>
  <c r="K396" i="8"/>
  <c r="L396" i="8" s="1"/>
  <c r="K395" i="8"/>
  <c r="L395" i="8" s="1"/>
  <c r="K394" i="8"/>
  <c r="L394" i="8" s="1"/>
  <c r="K393" i="8"/>
  <c r="L393" i="8" s="1"/>
  <c r="K392" i="8"/>
  <c r="L392" i="8" s="1"/>
  <c r="K391" i="8"/>
  <c r="L391" i="8" s="1"/>
  <c r="K390" i="8"/>
  <c r="L390" i="8" s="1"/>
  <c r="K389" i="8"/>
  <c r="L389" i="8" s="1"/>
  <c r="K388" i="8"/>
  <c r="L388" i="8" s="1"/>
  <c r="K387" i="8"/>
  <c r="L387" i="8" s="1"/>
  <c r="K386" i="8"/>
  <c r="L386" i="8" s="1"/>
  <c r="K385" i="8"/>
  <c r="L385" i="8" s="1"/>
  <c r="K384" i="8"/>
  <c r="L384" i="8" s="1"/>
  <c r="L383" i="8"/>
  <c r="K383" i="8"/>
  <c r="K382" i="8"/>
  <c r="L382" i="8" s="1"/>
  <c r="K381" i="8"/>
  <c r="L381" i="8" s="1"/>
  <c r="K380" i="8"/>
  <c r="L380" i="8" s="1"/>
  <c r="I378" i="8"/>
  <c r="L378" i="8" s="1"/>
  <c r="I377" i="8"/>
  <c r="L377" i="8" s="1"/>
  <c r="I376" i="8"/>
  <c r="L376" i="8" s="1"/>
  <c r="I375" i="8"/>
  <c r="L375" i="8" s="1"/>
  <c r="I374" i="8"/>
  <c r="L374" i="8" s="1"/>
  <c r="L373" i="8"/>
  <c r="L372" i="8"/>
  <c r="L371" i="8"/>
  <c r="L370" i="8"/>
  <c r="L369" i="8"/>
  <c r="L368" i="8"/>
  <c r="L367" i="8"/>
  <c r="L366" i="8"/>
  <c r="L365" i="8"/>
  <c r="L364" i="8"/>
  <c r="L363" i="8"/>
  <c r="L362" i="8"/>
  <c r="I360" i="8"/>
  <c r="L360" i="8" s="1"/>
  <c r="L359" i="8"/>
  <c r="I359" i="8"/>
  <c r="I358" i="8"/>
  <c r="L358" i="8" s="1"/>
  <c r="L357" i="8"/>
  <c r="I356" i="8"/>
  <c r="L356" i="8" s="1"/>
  <c r="L355" i="8"/>
  <c r="L354" i="8"/>
  <c r="I353" i="8"/>
  <c r="L353" i="8" s="1"/>
  <c r="L352" i="8"/>
  <c r="I351" i="8"/>
  <c r="L351" i="8" s="1"/>
  <c r="L350" i="8"/>
  <c r="L349" i="8"/>
  <c r="L348" i="8"/>
  <c r="L347" i="8"/>
  <c r="L346" i="8"/>
  <c r="L345" i="8"/>
  <c r="L344" i="8"/>
  <c r="L343" i="8"/>
  <c r="L342" i="8"/>
  <c r="O341" i="8"/>
  <c r="N341" i="8"/>
  <c r="M341" i="8"/>
  <c r="L341" i="8"/>
  <c r="K341" i="8"/>
  <c r="L340" i="8"/>
  <c r="L339" i="8"/>
  <c r="L338" i="8"/>
  <c r="L337" i="8"/>
  <c r="L336" i="8"/>
  <c r="L335" i="8"/>
  <c r="P334" i="8"/>
  <c r="L334" i="8"/>
  <c r="L333" i="8"/>
  <c r="L332" i="8"/>
  <c r="L331" i="8"/>
  <c r="L330" i="8"/>
  <c r="L329" i="8"/>
  <c r="L328" i="8"/>
  <c r="L327" i="8"/>
  <c r="L326" i="8"/>
  <c r="L325" i="8"/>
  <c r="L324" i="8"/>
  <c r="L323" i="8"/>
  <c r="L322" i="8"/>
  <c r="L321" i="8"/>
  <c r="L320" i="8"/>
  <c r="L319" i="8"/>
  <c r="L318" i="8"/>
  <c r="J316" i="8"/>
  <c r="L316" i="8" s="1"/>
  <c r="K314" i="8"/>
  <c r="I314" i="8"/>
  <c r="K313" i="8"/>
  <c r="I313" i="8"/>
  <c r="K312" i="8"/>
  <c r="I312" i="8"/>
  <c r="K311" i="8"/>
  <c r="I311" i="8"/>
  <c r="K310" i="8"/>
  <c r="I310" i="8"/>
  <c r="K309" i="8"/>
  <c r="L309" i="8" s="1"/>
  <c r="K308" i="8"/>
  <c r="L308" i="8" s="1"/>
  <c r="K307" i="8"/>
  <c r="L307" i="8" s="1"/>
  <c r="K306" i="8"/>
  <c r="L306" i="8" s="1"/>
  <c r="K305" i="8"/>
  <c r="L305" i="8" s="1"/>
  <c r="K304" i="8"/>
  <c r="L304" i="8" s="1"/>
  <c r="K303" i="8"/>
  <c r="L303" i="8" s="1"/>
  <c r="K302" i="8"/>
  <c r="L302" i="8" s="1"/>
  <c r="K301" i="8"/>
  <c r="L301" i="8" s="1"/>
  <c r="K300" i="8"/>
  <c r="L300" i="8" s="1"/>
  <c r="L299" i="8"/>
  <c r="K299" i="8"/>
  <c r="K298" i="8"/>
  <c r="L298" i="8" s="1"/>
  <c r="L296" i="8"/>
  <c r="L295" i="8"/>
  <c r="L294" i="8"/>
  <c r="L293" i="8"/>
  <c r="L292" i="8"/>
  <c r="L291" i="8"/>
  <c r="L290" i="8"/>
  <c r="L289" i="8"/>
  <c r="L288" i="8"/>
  <c r="L287" i="8"/>
  <c r="L286" i="8"/>
  <c r="L285" i="8"/>
  <c r="L284" i="8"/>
  <c r="L283" i="8"/>
  <c r="L282" i="8"/>
  <c r="L281" i="8"/>
  <c r="I279" i="8"/>
  <c r="L279" i="8" s="1"/>
  <c r="I278" i="8"/>
  <c r="L278" i="8" s="1"/>
  <c r="I277" i="8"/>
  <c r="L277" i="8" s="1"/>
  <c r="I276" i="8"/>
  <c r="L276" i="8" s="1"/>
  <c r="I275" i="8"/>
  <c r="L275" i="8" s="1"/>
  <c r="L274" i="8"/>
  <c r="L273" i="8"/>
  <c r="L272" i="8"/>
  <c r="L271" i="8"/>
  <c r="L270" i="8"/>
  <c r="L269" i="8"/>
  <c r="L268" i="8"/>
  <c r="L267" i="8"/>
  <c r="L266" i="8"/>
  <c r="L265" i="8"/>
  <c r="L264" i="8"/>
  <c r="L263" i="8"/>
  <c r="I261" i="8"/>
  <c r="L261" i="8" s="1"/>
  <c r="I260" i="8"/>
  <c r="L260" i="8" s="1"/>
  <c r="I259" i="8"/>
  <c r="L259" i="8" s="1"/>
  <c r="L258" i="8"/>
  <c r="I257" i="8"/>
  <c r="L257" i="8" s="1"/>
  <c r="L256" i="8"/>
  <c r="L255" i="8"/>
  <c r="I254" i="8"/>
  <c r="L254" i="8" s="1"/>
  <c r="L253" i="8"/>
  <c r="I252" i="8"/>
  <c r="L252" i="8" s="1"/>
  <c r="L251" i="8"/>
  <c r="L250" i="8"/>
  <c r="L249" i="8"/>
  <c r="L248" i="8"/>
  <c r="L247" i="8"/>
  <c r="L246" i="8"/>
  <c r="L245" i="8"/>
  <c r="L244" i="8"/>
  <c r="L243" i="8"/>
  <c r="S242" i="8"/>
  <c r="Q242" i="8"/>
  <c r="P242" i="8"/>
  <c r="O242" i="8"/>
  <c r="N242" i="8"/>
  <c r="M242" i="8"/>
  <c r="L242" i="8"/>
  <c r="K242" i="8"/>
  <c r="M241" i="8"/>
  <c r="J241" i="8"/>
  <c r="I241" i="8"/>
  <c r="J240" i="8"/>
  <c r="I240" i="8"/>
  <c r="J239" i="8"/>
  <c r="I239" i="8"/>
  <c r="M239" i="8" s="1"/>
  <c r="M238" i="8"/>
  <c r="J238" i="8"/>
  <c r="I238" i="8"/>
  <c r="J237" i="8"/>
  <c r="I237" i="8"/>
  <c r="M237" i="8" s="1"/>
  <c r="J236" i="8"/>
  <c r="I236" i="8"/>
  <c r="J235" i="8"/>
  <c r="I235" i="8"/>
  <c r="K232" i="8"/>
  <c r="L232" i="8" s="1"/>
  <c r="K231" i="8"/>
  <c r="L231" i="8" s="1"/>
  <c r="K230" i="8"/>
  <c r="L230" i="8" s="1"/>
  <c r="K229" i="8"/>
  <c r="L229" i="8" s="1"/>
  <c r="K228" i="8"/>
  <c r="L228" i="8" s="1"/>
  <c r="K227" i="8"/>
  <c r="L227" i="8" s="1"/>
  <c r="K226" i="8"/>
  <c r="L226" i="8" s="1"/>
  <c r="K225" i="8"/>
  <c r="L225" i="8" s="1"/>
  <c r="L217" i="8"/>
  <c r="M218" i="8" s="1"/>
  <c r="K214" i="8"/>
  <c r="L214" i="8" s="1"/>
  <c r="K213" i="8"/>
  <c r="L213" i="8" s="1"/>
  <c r="K212" i="8"/>
  <c r="L212" i="8" s="1"/>
  <c r="K211" i="8"/>
  <c r="L211" i="8" s="1"/>
  <c r="K210" i="8"/>
  <c r="L210" i="8" s="1"/>
  <c r="K209" i="8"/>
  <c r="L209" i="8" s="1"/>
  <c r="K208" i="8"/>
  <c r="L208" i="8" s="1"/>
  <c r="K207" i="8"/>
  <c r="L207" i="8" s="1"/>
  <c r="K206" i="8"/>
  <c r="L206" i="8" s="1"/>
  <c r="K205" i="8"/>
  <c r="L205" i="8" s="1"/>
  <c r="K204" i="8"/>
  <c r="L204" i="8" s="1"/>
  <c r="K203" i="8"/>
  <c r="L203" i="8" s="1"/>
  <c r="K202" i="8"/>
  <c r="L202" i="8" s="1"/>
  <c r="K201" i="8"/>
  <c r="L201" i="8" s="1"/>
  <c r="K200" i="8"/>
  <c r="L200" i="8" s="1"/>
  <c r="K199" i="8"/>
  <c r="L199" i="8" s="1"/>
  <c r="K198" i="8"/>
  <c r="L198" i="8" s="1"/>
  <c r="K197" i="8"/>
  <c r="L197" i="8" s="1"/>
  <c r="K196" i="8"/>
  <c r="L196" i="8" s="1"/>
  <c r="K195" i="8"/>
  <c r="L195" i="8" s="1"/>
  <c r="K194" i="8"/>
  <c r="L194" i="8" s="1"/>
  <c r="K193" i="8"/>
  <c r="L193" i="8" s="1"/>
  <c r="K192" i="8"/>
  <c r="L192" i="8" s="1"/>
  <c r="I188" i="8"/>
  <c r="L188" i="8" s="1"/>
  <c r="I187" i="8"/>
  <c r="L187" i="8" s="1"/>
  <c r="L186" i="8"/>
  <c r="I186" i="8"/>
  <c r="I185" i="8"/>
  <c r="L185" i="8" s="1"/>
  <c r="I184" i="8"/>
  <c r="L184" i="8" s="1"/>
  <c r="L183" i="8"/>
  <c r="L182" i="8"/>
  <c r="L181" i="8"/>
  <c r="L180" i="8"/>
  <c r="L179" i="8"/>
  <c r="L178" i="8"/>
  <c r="L177" i="8"/>
  <c r="L176" i="8"/>
  <c r="L175" i="8"/>
  <c r="L174" i="8"/>
  <c r="L173" i="8"/>
  <c r="L172" i="8"/>
  <c r="I168" i="8"/>
  <c r="L168" i="8" s="1"/>
  <c r="I167" i="8"/>
  <c r="L167" i="8" s="1"/>
  <c r="I166" i="8"/>
  <c r="L166" i="8" s="1"/>
  <c r="L165" i="8"/>
  <c r="I164" i="8"/>
  <c r="L164" i="8" s="1"/>
  <c r="L163" i="8"/>
  <c r="L162" i="8"/>
  <c r="I161" i="8"/>
  <c r="L161" i="8" s="1"/>
  <c r="L160" i="8"/>
  <c r="I159" i="8"/>
  <c r="L159" i="8" s="1"/>
  <c r="L158" i="8"/>
  <c r="L157" i="8"/>
  <c r="L156" i="8"/>
  <c r="L155" i="8"/>
  <c r="L154" i="8"/>
  <c r="L153" i="8"/>
  <c r="L152" i="8"/>
  <c r="L151" i="8"/>
  <c r="L150" i="8"/>
  <c r="O149" i="8"/>
  <c r="N149" i="8"/>
  <c r="M149" i="8"/>
  <c r="L149" i="8"/>
  <c r="K149" i="8"/>
  <c r="L146" i="8"/>
  <c r="L145" i="8"/>
  <c r="L144" i="8"/>
  <c r="L143" i="8"/>
  <c r="L142" i="8"/>
  <c r="L141" i="8"/>
  <c r="P140" i="8"/>
  <c r="L140" i="8"/>
  <c r="L139" i="8"/>
  <c r="L138" i="8"/>
  <c r="L137" i="8"/>
  <c r="L136" i="8"/>
  <c r="L135" i="8"/>
  <c r="L134" i="8"/>
  <c r="L133" i="8"/>
  <c r="L132" i="8"/>
  <c r="L131" i="8"/>
  <c r="L130" i="8"/>
  <c r="L129" i="8"/>
  <c r="L128" i="8"/>
  <c r="L127" i="8"/>
  <c r="L126" i="8"/>
  <c r="L125" i="8"/>
  <c r="L124" i="8"/>
  <c r="K119" i="8"/>
  <c r="I119" i="8"/>
  <c r="K118" i="8"/>
  <c r="I118" i="8"/>
  <c r="K117" i="8"/>
  <c r="I117" i="8"/>
  <c r="K116" i="8"/>
  <c r="I116" i="8"/>
  <c r="K115" i="8"/>
  <c r="I115" i="8"/>
  <c r="K114" i="8"/>
  <c r="L114" i="8" s="1"/>
  <c r="K113" i="8"/>
  <c r="L113" i="8" s="1"/>
  <c r="K112" i="8"/>
  <c r="L112" i="8" s="1"/>
  <c r="K111" i="8"/>
  <c r="L111" i="8" s="1"/>
  <c r="K110" i="8"/>
  <c r="L110" i="8" s="1"/>
  <c r="K109" i="8"/>
  <c r="L109" i="8" s="1"/>
  <c r="K108" i="8"/>
  <c r="L108" i="8" s="1"/>
  <c r="K107" i="8"/>
  <c r="L107" i="8" s="1"/>
  <c r="K106" i="8"/>
  <c r="L106" i="8" s="1"/>
  <c r="K105" i="8"/>
  <c r="L105" i="8" s="1"/>
  <c r="K104" i="8"/>
  <c r="L104" i="8" s="1"/>
  <c r="K103" i="8"/>
  <c r="L103" i="8" s="1"/>
  <c r="L99" i="8"/>
  <c r="L98" i="8"/>
  <c r="L97" i="8"/>
  <c r="L96" i="8"/>
  <c r="L95" i="8"/>
  <c r="L94" i="8"/>
  <c r="L93" i="8"/>
  <c r="L92" i="8"/>
  <c r="L91" i="8"/>
  <c r="L90" i="8"/>
  <c r="L89" i="8"/>
  <c r="L88" i="8"/>
  <c r="L87" i="8"/>
  <c r="L86" i="8"/>
  <c r="L85" i="8"/>
  <c r="L84" i="8"/>
  <c r="L83" i="8"/>
  <c r="L82" i="8"/>
  <c r="L81" i="8"/>
  <c r="L80" i="8"/>
  <c r="L79" i="8"/>
  <c r="L78" i="8"/>
  <c r="I74" i="8"/>
  <c r="L74" i="8" s="1"/>
  <c r="I73" i="8"/>
  <c r="L73" i="8" s="1"/>
  <c r="I72" i="8"/>
  <c r="L72" i="8" s="1"/>
  <c r="I71" i="8"/>
  <c r="L71" i="8" s="1"/>
  <c r="I70" i="8"/>
  <c r="L70" i="8" s="1"/>
  <c r="L69" i="8"/>
  <c r="L68" i="8"/>
  <c r="L67" i="8"/>
  <c r="L66" i="8"/>
  <c r="L65" i="8"/>
  <c r="L64" i="8"/>
  <c r="L63" i="8"/>
  <c r="L62" i="8"/>
  <c r="L61" i="8"/>
  <c r="L60" i="8"/>
  <c r="L59" i="8"/>
  <c r="L58" i="8"/>
  <c r="I54" i="8"/>
  <c r="L54" i="8" s="1"/>
  <c r="I53" i="8"/>
  <c r="L53" i="8" s="1"/>
  <c r="I52" i="8"/>
  <c r="L52" i="8" s="1"/>
  <c r="L51" i="8"/>
  <c r="I50" i="8"/>
  <c r="L50" i="8" s="1"/>
  <c r="L49" i="8"/>
  <c r="L48" i="8"/>
  <c r="I47" i="8"/>
  <c r="L47" i="8" s="1"/>
  <c r="L46" i="8"/>
  <c r="I45" i="8"/>
  <c r="L45" i="8" s="1"/>
  <c r="L44" i="8"/>
  <c r="L43" i="8"/>
  <c r="L42" i="8"/>
  <c r="L41" i="8"/>
  <c r="L40" i="8"/>
  <c r="L39" i="8"/>
  <c r="L38" i="8"/>
  <c r="L37" i="8"/>
  <c r="L36" i="8"/>
  <c r="S35" i="8"/>
  <c r="Q35" i="8"/>
  <c r="P35" i="8"/>
  <c r="O35" i="8"/>
  <c r="N35" i="8"/>
  <c r="M35" i="8"/>
  <c r="L35" i="8"/>
  <c r="K35" i="8"/>
  <c r="J32" i="8"/>
  <c r="I32" i="8"/>
  <c r="M32" i="8" s="1"/>
  <c r="J31" i="8"/>
  <c r="I31" i="8"/>
  <c r="M31" i="8" s="1"/>
  <c r="J30" i="8"/>
  <c r="I30" i="8"/>
  <c r="M30" i="8" s="1"/>
  <c r="J29" i="8"/>
  <c r="I29" i="8"/>
  <c r="M29" i="8" s="1"/>
  <c r="J28" i="8"/>
  <c r="I28" i="8"/>
  <c r="M28" i="8" s="1"/>
  <c r="J27" i="8"/>
  <c r="I27" i="8"/>
  <c r="M27" i="8" s="1"/>
  <c r="J26" i="8"/>
  <c r="I26" i="8"/>
  <c r="K21" i="8"/>
  <c r="L21" i="8" s="1"/>
  <c r="K20" i="8"/>
  <c r="L20" i="8" s="1"/>
  <c r="K19" i="8"/>
  <c r="L19" i="8" s="1"/>
  <c r="K18" i="8"/>
  <c r="L18" i="8" s="1"/>
  <c r="K17" i="8"/>
  <c r="L17" i="8" s="1"/>
  <c r="K16" i="8"/>
  <c r="L16" i="8" s="1"/>
  <c r="K15" i="8"/>
  <c r="L15" i="8" s="1"/>
  <c r="K14" i="8"/>
  <c r="L14" i="8" s="1"/>
  <c r="L119" i="8" l="1"/>
  <c r="L29" i="8"/>
  <c r="L235" i="8"/>
  <c r="L116" i="8"/>
  <c r="L27" i="8"/>
  <c r="L117" i="8"/>
  <c r="L238" i="8"/>
  <c r="L311" i="8"/>
  <c r="L314" i="8"/>
  <c r="L312" i="8"/>
  <c r="L237" i="8"/>
  <c r="L240" i="8"/>
  <c r="L31" i="8"/>
  <c r="M147" i="8"/>
  <c r="M240" i="8"/>
  <c r="L313" i="8"/>
  <c r="M22" i="8"/>
  <c r="L26" i="8"/>
  <c r="M100" i="8"/>
  <c r="M215" i="8"/>
  <c r="L236" i="8"/>
  <c r="L241" i="8"/>
  <c r="L310" i="8"/>
  <c r="L115" i="8"/>
  <c r="L118" i="8"/>
  <c r="M189" i="8"/>
  <c r="M236" i="8"/>
  <c r="L239" i="8"/>
  <c r="M169" i="8"/>
  <c r="M75" i="8"/>
  <c r="M55" i="8"/>
  <c r="L408" i="8"/>
  <c r="L28" i="8"/>
  <c r="L30" i="8"/>
  <c r="L32" i="8"/>
  <c r="L410" i="8"/>
  <c r="N506" i="1"/>
  <c r="H46" i="7"/>
  <c r="L72" i="7"/>
  <c r="L71" i="7"/>
  <c r="L70" i="7"/>
  <c r="S68" i="7"/>
  <c r="R68" i="7"/>
  <c r="Q68" i="7"/>
  <c r="P68" i="7"/>
  <c r="O68" i="7"/>
  <c r="N68" i="7"/>
  <c r="M68" i="7"/>
  <c r="K68" i="7"/>
  <c r="J68" i="7"/>
  <c r="H68" i="7"/>
  <c r="L68" i="7" s="1"/>
  <c r="S67" i="7"/>
  <c r="R67" i="7"/>
  <c r="Q67" i="7"/>
  <c r="P67" i="7"/>
  <c r="O67" i="7"/>
  <c r="N67" i="7"/>
  <c r="M67" i="7"/>
  <c r="K67" i="7"/>
  <c r="J67" i="7"/>
  <c r="H67" i="7"/>
  <c r="L67" i="7" s="1"/>
  <c r="S66" i="7"/>
  <c r="R66" i="7"/>
  <c r="Q66" i="7"/>
  <c r="P66" i="7"/>
  <c r="O66" i="7"/>
  <c r="N66" i="7"/>
  <c r="M66" i="7"/>
  <c r="L66" i="7"/>
  <c r="K66" i="7"/>
  <c r="J29" i="7"/>
  <c r="J25" i="7"/>
  <c r="J21" i="7"/>
  <c r="M404" i="8" l="1"/>
  <c r="M120" i="8"/>
  <c r="M33" i="8"/>
  <c r="N206" i="8"/>
  <c r="N169" i="8"/>
  <c r="N34" i="8"/>
  <c r="S60" i="7"/>
  <c r="S62" i="7" s="1"/>
  <c r="R60" i="7"/>
  <c r="R62" i="7" s="1"/>
  <c r="Q60" i="7"/>
  <c r="Q62" i="7" s="1"/>
  <c r="P60" i="7"/>
  <c r="P62" i="7" s="1"/>
  <c r="P56" i="7"/>
  <c r="O56" i="7"/>
  <c r="N56" i="7"/>
  <c r="M56" i="7"/>
  <c r="L56" i="7"/>
  <c r="K56" i="7"/>
  <c r="K6" i="7"/>
  <c r="L6" i="7"/>
  <c r="M6" i="7"/>
  <c r="N6" i="7"/>
  <c r="O6" i="7"/>
  <c r="P6" i="7"/>
  <c r="Q6" i="7"/>
  <c r="R6" i="7"/>
  <c r="S6" i="7"/>
  <c r="K7" i="7"/>
  <c r="L7" i="7"/>
  <c r="M7" i="7"/>
  <c r="O7" i="7"/>
  <c r="P7" i="7"/>
  <c r="Q7" i="7"/>
  <c r="R7" i="7"/>
  <c r="S7" i="7"/>
  <c r="K8" i="7"/>
  <c r="L8" i="7"/>
  <c r="M8" i="7"/>
  <c r="O8" i="7"/>
  <c r="P8" i="7"/>
  <c r="Q8" i="7"/>
  <c r="R8" i="7"/>
  <c r="S8" i="7"/>
  <c r="K9" i="7"/>
  <c r="L9" i="7"/>
  <c r="M9" i="7"/>
  <c r="N9" i="7"/>
  <c r="O9" i="7"/>
  <c r="P9" i="7"/>
  <c r="Q9" i="7"/>
  <c r="R9" i="7"/>
  <c r="S9" i="7"/>
  <c r="K10" i="7"/>
  <c r="L10" i="7"/>
  <c r="M10" i="7"/>
  <c r="O10" i="7"/>
  <c r="P10" i="7"/>
  <c r="Q10" i="7"/>
  <c r="R10" i="7"/>
  <c r="S10" i="7"/>
  <c r="K11" i="7"/>
  <c r="L11" i="7"/>
  <c r="M11" i="7"/>
  <c r="O11" i="7"/>
  <c r="P11" i="7"/>
  <c r="Q11" i="7"/>
  <c r="R11" i="7"/>
  <c r="S11" i="7"/>
  <c r="K12" i="7"/>
  <c r="L12" i="7"/>
  <c r="M12" i="7"/>
  <c r="N12" i="7"/>
  <c r="O12" i="7"/>
  <c r="P12" i="7"/>
  <c r="Q12" i="7"/>
  <c r="R12" i="7"/>
  <c r="S12" i="7"/>
  <c r="K13" i="7"/>
  <c r="L13" i="7"/>
  <c r="M13" i="7"/>
  <c r="O13" i="7"/>
  <c r="P13" i="7"/>
  <c r="Q13" i="7"/>
  <c r="R13" i="7"/>
  <c r="S13" i="7"/>
  <c r="K14" i="7"/>
  <c r="L14" i="7"/>
  <c r="M14" i="7"/>
  <c r="O14" i="7"/>
  <c r="P14" i="7"/>
  <c r="Q14" i="7"/>
  <c r="R14" i="7"/>
  <c r="S14" i="7"/>
  <c r="K15" i="7"/>
  <c r="L15" i="7"/>
  <c r="M15" i="7"/>
  <c r="N15" i="7"/>
  <c r="O15" i="7"/>
  <c r="P15" i="7"/>
  <c r="Q15" i="7"/>
  <c r="R15" i="7"/>
  <c r="S15" i="7"/>
  <c r="K16" i="7"/>
  <c r="L16" i="7"/>
  <c r="M16" i="7"/>
  <c r="O16" i="7"/>
  <c r="P16" i="7"/>
  <c r="Q16" i="7"/>
  <c r="R16" i="7"/>
  <c r="S16" i="7"/>
  <c r="K17" i="7"/>
  <c r="L17" i="7"/>
  <c r="M17" i="7"/>
  <c r="O17" i="7"/>
  <c r="P17" i="7"/>
  <c r="Q17" i="7"/>
  <c r="R17" i="7"/>
  <c r="S17" i="7"/>
  <c r="K18" i="7"/>
  <c r="L18" i="7"/>
  <c r="M18" i="7"/>
  <c r="N18" i="7"/>
  <c r="O18" i="7"/>
  <c r="P18" i="7"/>
  <c r="Q18" i="7"/>
  <c r="R18" i="7"/>
  <c r="S18" i="7"/>
  <c r="K19" i="7"/>
  <c r="L19" i="7"/>
  <c r="M19" i="7"/>
  <c r="N19" i="7"/>
  <c r="O19" i="7"/>
  <c r="P19" i="7"/>
  <c r="Q19" i="7"/>
  <c r="R19" i="7"/>
  <c r="S19" i="7"/>
  <c r="K20" i="7"/>
  <c r="L20" i="7"/>
  <c r="M20" i="7"/>
  <c r="N20" i="7"/>
  <c r="O20" i="7"/>
  <c r="P20" i="7"/>
  <c r="Q20" i="7"/>
  <c r="R20" i="7"/>
  <c r="S20" i="7"/>
  <c r="K21" i="7"/>
  <c r="L21" i="7"/>
  <c r="M21" i="7"/>
  <c r="N21" i="7"/>
  <c r="O21" i="7"/>
  <c r="P21" i="7"/>
  <c r="Q21" i="7"/>
  <c r="R21" i="7"/>
  <c r="S21" i="7"/>
  <c r="L22" i="7"/>
  <c r="M22" i="7"/>
  <c r="N22" i="7"/>
  <c r="O22" i="7"/>
  <c r="P22" i="7"/>
  <c r="Q22" i="7"/>
  <c r="R22" i="7"/>
  <c r="S22" i="7"/>
  <c r="K23" i="7"/>
  <c r="L23" i="7"/>
  <c r="M23" i="7"/>
  <c r="N23" i="7"/>
  <c r="O23" i="7"/>
  <c r="P23" i="7"/>
  <c r="Q23" i="7"/>
  <c r="R23" i="7"/>
  <c r="S23" i="7"/>
  <c r="K24" i="7"/>
  <c r="L24" i="7"/>
  <c r="M24" i="7"/>
  <c r="N24" i="7"/>
  <c r="O24" i="7"/>
  <c r="P24" i="7"/>
  <c r="Q24" i="7"/>
  <c r="R24" i="7"/>
  <c r="S24" i="7"/>
  <c r="K25" i="7"/>
  <c r="L25" i="7"/>
  <c r="M25" i="7"/>
  <c r="N25" i="7"/>
  <c r="O25" i="7"/>
  <c r="P25" i="7"/>
  <c r="Q25" i="7"/>
  <c r="R25" i="7"/>
  <c r="S25" i="7"/>
  <c r="L26" i="7"/>
  <c r="M26" i="7"/>
  <c r="N26" i="7"/>
  <c r="O26" i="7"/>
  <c r="P26" i="7"/>
  <c r="Q26" i="7"/>
  <c r="R26" i="7"/>
  <c r="S26" i="7"/>
  <c r="L27" i="7"/>
  <c r="M27" i="7"/>
  <c r="N27" i="7"/>
  <c r="O27" i="7"/>
  <c r="P27" i="7"/>
  <c r="Q27" i="7"/>
  <c r="R27" i="7"/>
  <c r="S27" i="7"/>
  <c r="K28" i="7"/>
  <c r="L28" i="7"/>
  <c r="M28" i="7"/>
  <c r="N28" i="7"/>
  <c r="O28" i="7"/>
  <c r="P28" i="7"/>
  <c r="Q28" i="7"/>
  <c r="R28" i="7"/>
  <c r="S28" i="7"/>
  <c r="K29" i="7"/>
  <c r="L29" i="7"/>
  <c r="M29" i="7"/>
  <c r="N29" i="7"/>
  <c r="O29" i="7"/>
  <c r="P29" i="7"/>
  <c r="Q29" i="7"/>
  <c r="R29" i="7"/>
  <c r="S29" i="7"/>
  <c r="L30" i="7"/>
  <c r="M30" i="7"/>
  <c r="N30" i="7"/>
  <c r="O30" i="7"/>
  <c r="P30" i="7"/>
  <c r="Q30" i="7"/>
  <c r="R30" i="7"/>
  <c r="S30" i="7"/>
  <c r="K31" i="7"/>
  <c r="L31" i="7"/>
  <c r="M31" i="7"/>
  <c r="N31" i="7"/>
  <c r="O31" i="7"/>
  <c r="P31" i="7"/>
  <c r="Q31" i="7"/>
  <c r="R31" i="7"/>
  <c r="S31" i="7"/>
  <c r="K32" i="7"/>
  <c r="L32" i="7"/>
  <c r="M32" i="7"/>
  <c r="N32" i="7"/>
  <c r="O32" i="7"/>
  <c r="P32" i="7"/>
  <c r="Q32" i="7"/>
  <c r="R32" i="7"/>
  <c r="S32" i="7"/>
  <c r="K33" i="7"/>
  <c r="L33" i="7"/>
  <c r="M33" i="7"/>
  <c r="N33" i="7"/>
  <c r="O33" i="7"/>
  <c r="P33" i="7"/>
  <c r="Q33" i="7"/>
  <c r="R33" i="7"/>
  <c r="S33" i="7"/>
  <c r="K34" i="7"/>
  <c r="L34" i="7"/>
  <c r="N34" i="7"/>
  <c r="O34" i="7"/>
  <c r="P34" i="7"/>
  <c r="Q34" i="7"/>
  <c r="R34" i="7"/>
  <c r="S34" i="7"/>
  <c r="L35" i="7"/>
  <c r="M35" i="7"/>
  <c r="N35" i="7"/>
  <c r="O35" i="7"/>
  <c r="P35" i="7"/>
  <c r="Q35" i="7"/>
  <c r="R35" i="7"/>
  <c r="S35" i="7"/>
  <c r="L36" i="7"/>
  <c r="M36" i="7"/>
  <c r="N36" i="7"/>
  <c r="O36" i="7"/>
  <c r="P36" i="7"/>
  <c r="Q36" i="7"/>
  <c r="R36" i="7"/>
  <c r="S36" i="7"/>
  <c r="K37" i="7"/>
  <c r="L37" i="7"/>
  <c r="M37" i="7"/>
  <c r="N37" i="7"/>
  <c r="O37" i="7"/>
  <c r="P37" i="7"/>
  <c r="Q37" i="7"/>
  <c r="R37" i="7"/>
  <c r="S37" i="7"/>
  <c r="K38" i="7"/>
  <c r="L38" i="7"/>
  <c r="M38" i="7"/>
  <c r="N38" i="7"/>
  <c r="O38" i="7"/>
  <c r="P38" i="7"/>
  <c r="Q38" i="7"/>
  <c r="R38" i="7"/>
  <c r="S38" i="7"/>
  <c r="K39" i="7"/>
  <c r="L39" i="7"/>
  <c r="M39" i="7"/>
  <c r="O39" i="7"/>
  <c r="P39" i="7"/>
  <c r="Q39" i="7"/>
  <c r="R39" i="7"/>
  <c r="S39" i="7"/>
  <c r="K40" i="7"/>
  <c r="L40" i="7"/>
  <c r="N40" i="7"/>
  <c r="O40" i="7"/>
  <c r="P40" i="7"/>
  <c r="Q40" i="7"/>
  <c r="R40" i="7"/>
  <c r="S40" i="7"/>
  <c r="L41" i="7"/>
  <c r="M41" i="7"/>
  <c r="N41" i="7"/>
  <c r="O41" i="7"/>
  <c r="P41" i="7"/>
  <c r="Q41" i="7"/>
  <c r="R41" i="7"/>
  <c r="S41" i="7"/>
  <c r="L42" i="7"/>
  <c r="M42" i="7"/>
  <c r="N42" i="7"/>
  <c r="O42" i="7"/>
  <c r="P42" i="7"/>
  <c r="Q42" i="7"/>
  <c r="R42" i="7"/>
  <c r="S42" i="7"/>
  <c r="K43" i="7"/>
  <c r="L43" i="7"/>
  <c r="M43" i="7"/>
  <c r="N43" i="7"/>
  <c r="O43" i="7"/>
  <c r="P43" i="7"/>
  <c r="Q43" i="7"/>
  <c r="R43" i="7"/>
  <c r="S43" i="7"/>
  <c r="K44" i="7"/>
  <c r="L44" i="7"/>
  <c r="M44" i="7"/>
  <c r="N44" i="7"/>
  <c r="O44" i="7"/>
  <c r="P44" i="7"/>
  <c r="Q44" i="7"/>
  <c r="R44" i="7"/>
  <c r="S44" i="7"/>
  <c r="K45" i="7"/>
  <c r="L45" i="7"/>
  <c r="M45" i="7"/>
  <c r="N45" i="7"/>
  <c r="O45" i="7"/>
  <c r="P45" i="7"/>
  <c r="Q45" i="7"/>
  <c r="R45" i="7"/>
  <c r="S45" i="7"/>
  <c r="K46" i="7"/>
  <c r="L46" i="7"/>
  <c r="M46" i="7"/>
  <c r="N46" i="7"/>
  <c r="O46" i="7"/>
  <c r="P46" i="7"/>
  <c r="Q46" i="7"/>
  <c r="R46" i="7"/>
  <c r="S46" i="7"/>
  <c r="K47" i="7"/>
  <c r="L47" i="7"/>
  <c r="M47" i="7"/>
  <c r="N47" i="7"/>
  <c r="O47" i="7"/>
  <c r="P47" i="7"/>
  <c r="Q47" i="7"/>
  <c r="R47" i="7"/>
  <c r="S47" i="7"/>
  <c r="K48" i="7"/>
  <c r="L48" i="7"/>
  <c r="M48" i="7"/>
  <c r="N48" i="7"/>
  <c r="O48" i="7"/>
  <c r="P48" i="7"/>
  <c r="Q48" i="7"/>
  <c r="R48" i="7"/>
  <c r="S48" i="7"/>
  <c r="K49" i="7"/>
  <c r="L49" i="7"/>
  <c r="M49" i="7"/>
  <c r="N49" i="7"/>
  <c r="O49" i="7"/>
  <c r="P49" i="7"/>
  <c r="Q49" i="7"/>
  <c r="R49" i="7"/>
  <c r="S49" i="7"/>
  <c r="K50" i="7"/>
  <c r="M50" i="7"/>
  <c r="N50" i="7"/>
  <c r="O50" i="7"/>
  <c r="P50" i="7"/>
  <c r="Q50" i="7"/>
  <c r="R50" i="7"/>
  <c r="S50" i="7"/>
  <c r="K51" i="7"/>
  <c r="M51" i="7"/>
  <c r="N51" i="7"/>
  <c r="O51" i="7"/>
  <c r="P51" i="7"/>
  <c r="Q51" i="7"/>
  <c r="R51" i="7"/>
  <c r="S51" i="7"/>
  <c r="K52" i="7"/>
  <c r="L52" i="7"/>
  <c r="M52" i="7"/>
  <c r="N52" i="7"/>
  <c r="O52" i="7"/>
  <c r="P52" i="7"/>
  <c r="Q52" i="7"/>
  <c r="R52" i="7"/>
  <c r="S52" i="7"/>
  <c r="K53" i="7"/>
  <c r="M53" i="7"/>
  <c r="N53" i="7"/>
  <c r="O53" i="7"/>
  <c r="P53" i="7"/>
  <c r="Q53" i="7"/>
  <c r="R53" i="7"/>
  <c r="S53" i="7"/>
  <c r="K54" i="7"/>
  <c r="L54" i="7"/>
  <c r="M54" i="7"/>
  <c r="N54" i="7"/>
  <c r="O54" i="7"/>
  <c r="P54" i="7"/>
  <c r="Q54" i="7"/>
  <c r="R54" i="7"/>
  <c r="S54" i="7"/>
  <c r="L5" i="7"/>
  <c r="H54" i="7"/>
  <c r="H53" i="7"/>
  <c r="H51" i="7"/>
  <c r="L51" i="7" s="1"/>
  <c r="H50" i="7"/>
  <c r="L50" i="7" s="1"/>
  <c r="J51" i="7"/>
  <c r="J54" i="7"/>
  <c r="J53" i="7"/>
  <c r="L53" i="7" s="1"/>
  <c r="J50" i="7"/>
  <c r="M5" i="7"/>
  <c r="J47" i="7"/>
  <c r="H47" i="7"/>
  <c r="J46" i="7"/>
  <c r="J45" i="7"/>
  <c r="J44" i="7"/>
  <c r="H42" i="7"/>
  <c r="K42" i="7" s="1"/>
  <c r="H41" i="7"/>
  <c r="K41" i="7" s="1"/>
  <c r="J42" i="7"/>
  <c r="J41" i="7"/>
  <c r="J40" i="7"/>
  <c r="M40" i="7" s="1"/>
  <c r="J39" i="7"/>
  <c r="N39" i="7" s="1"/>
  <c r="J17" i="7"/>
  <c r="N17" i="7" s="1"/>
  <c r="J16" i="7"/>
  <c r="N16" i="7" s="1"/>
  <c r="J14" i="7"/>
  <c r="N14" i="7" s="1"/>
  <c r="J13" i="7"/>
  <c r="N13" i="7" s="1"/>
  <c r="J11" i="7"/>
  <c r="N11" i="7" s="1"/>
  <c r="J10" i="7"/>
  <c r="N10" i="7" s="1"/>
  <c r="J8" i="7"/>
  <c r="N8" i="7" s="1"/>
  <c r="J7" i="7"/>
  <c r="N7" i="7" s="1"/>
  <c r="J36" i="7"/>
  <c r="J35" i="7"/>
  <c r="J34" i="7"/>
  <c r="D33" i="7"/>
  <c r="J31" i="7"/>
  <c r="J30" i="7"/>
  <c r="J27" i="7"/>
  <c r="J26" i="7"/>
  <c r="H31" i="7"/>
  <c r="H30" i="7"/>
  <c r="K30" i="7" s="1"/>
  <c r="H27" i="7"/>
  <c r="K27" i="7" s="1"/>
  <c r="H26" i="7"/>
  <c r="K26" i="7" s="1"/>
  <c r="J23" i="7"/>
  <c r="J22" i="7"/>
  <c r="H23" i="7"/>
  <c r="H22" i="7"/>
  <c r="K22" i="7" s="1"/>
  <c r="J78" i="2"/>
  <c r="K5" i="7"/>
  <c r="N5" i="7"/>
  <c r="O5" i="7"/>
  <c r="P5" i="7"/>
  <c r="Q5" i="7"/>
  <c r="R5" i="7"/>
  <c r="S5" i="7"/>
  <c r="K6" i="2"/>
  <c r="L6" i="2"/>
  <c r="M6" i="2"/>
  <c r="N6" i="2"/>
  <c r="O6" i="2"/>
  <c r="P6" i="2"/>
  <c r="Q6" i="2"/>
  <c r="R6" i="2"/>
  <c r="S6" i="2"/>
  <c r="J968" i="2"/>
  <c r="N981" i="2"/>
  <c r="K925" i="2"/>
  <c r="K926" i="2"/>
  <c r="K875" i="2"/>
  <c r="K876" i="2"/>
  <c r="K877" i="2"/>
  <c r="K878" i="2"/>
  <c r="K879" i="2"/>
  <c r="K880" i="2"/>
  <c r="J1149" i="2"/>
  <c r="J1148" i="2"/>
  <c r="J1153" i="2"/>
  <c r="J1152" i="2"/>
  <c r="E1151" i="2"/>
  <c r="D1151" i="2"/>
  <c r="E1147" i="2"/>
  <c r="D1147" i="2"/>
  <c r="R1159" i="2"/>
  <c r="R1158" i="2"/>
  <c r="Q55" i="7" l="1"/>
  <c r="Q57" i="7" s="1"/>
  <c r="Q59" i="7" s="1"/>
  <c r="H36" i="7"/>
  <c r="K36" i="7" s="1"/>
  <c r="H35" i="7"/>
  <c r="K35" i="7" s="1"/>
  <c r="M34" i="7"/>
  <c r="P55" i="7"/>
  <c r="P57" i="7" s="1"/>
  <c r="P59" i="7" s="1"/>
  <c r="O55" i="7"/>
  <c r="O57" i="7" s="1"/>
  <c r="N55" i="7"/>
  <c r="N57" i="7" s="1"/>
  <c r="N62" i="7" s="1"/>
  <c r="M55" i="7"/>
  <c r="M57" i="7" s="1"/>
  <c r="M62" i="7" s="1"/>
  <c r="L55" i="7"/>
  <c r="L57" i="7" s="1"/>
  <c r="S55" i="7"/>
  <c r="S57" i="7" s="1"/>
  <c r="S59" i="7" s="1"/>
  <c r="K55" i="7"/>
  <c r="K57" i="7" s="1"/>
  <c r="K62" i="7" s="1"/>
  <c r="R55" i="7"/>
  <c r="R57" i="7" s="1"/>
  <c r="R59" i="7" s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72" i="1"/>
  <c r="M189" i="1"/>
  <c r="N59" i="7" l="1"/>
  <c r="N61" i="7" s="1"/>
  <c r="M59" i="7"/>
  <c r="M61" i="7" s="1"/>
  <c r="K59" i="7"/>
  <c r="K61" i="7" s="1"/>
  <c r="O62" i="7"/>
  <c r="O59" i="7"/>
  <c r="O61" i="7" s="1"/>
  <c r="L62" i="7"/>
  <c r="L59" i="7"/>
  <c r="L61" i="7" s="1"/>
  <c r="K63" i="7"/>
  <c r="K58" i="7"/>
  <c r="L99" i="1"/>
  <c r="L98" i="1"/>
  <c r="L97" i="1"/>
  <c r="L96" i="1"/>
  <c r="L95" i="1"/>
  <c r="L94" i="1"/>
  <c r="P1155" i="2" l="1"/>
  <c r="O1155" i="2"/>
  <c r="N1155" i="2"/>
  <c r="M1155" i="2"/>
  <c r="L1155" i="2"/>
  <c r="K1155" i="2"/>
  <c r="M1153" i="2"/>
  <c r="M1152" i="2"/>
  <c r="H1152" i="2"/>
  <c r="M1151" i="2"/>
  <c r="L1151" i="2"/>
  <c r="M1149" i="2"/>
  <c r="M1148" i="2"/>
  <c r="M1147" i="2"/>
  <c r="L1147" i="2"/>
  <c r="M1146" i="2"/>
  <c r="L1146" i="2"/>
  <c r="M1144" i="2"/>
  <c r="L1144" i="2"/>
  <c r="P1143" i="2"/>
  <c r="O1143" i="2"/>
  <c r="N1143" i="2"/>
  <c r="M1143" i="2"/>
  <c r="L1143" i="2"/>
  <c r="J1143" i="2"/>
  <c r="P1142" i="2"/>
  <c r="O1142" i="2"/>
  <c r="N1142" i="2"/>
  <c r="M1142" i="2"/>
  <c r="L1142" i="2"/>
  <c r="J1142" i="2"/>
  <c r="P1141" i="2"/>
  <c r="O1141" i="2"/>
  <c r="N1141" i="2"/>
  <c r="L1141" i="2"/>
  <c r="K1141" i="2"/>
  <c r="J1141" i="2"/>
  <c r="M1141" i="2" s="1"/>
  <c r="P1140" i="2"/>
  <c r="O1140" i="2"/>
  <c r="N1140" i="2"/>
  <c r="L1140" i="2"/>
  <c r="K1140" i="2"/>
  <c r="S1139" i="2"/>
  <c r="P1139" i="2"/>
  <c r="O1139" i="2"/>
  <c r="N1139" i="2"/>
  <c r="M1139" i="2"/>
  <c r="L1139" i="2"/>
  <c r="K1139" i="2"/>
  <c r="D1139" i="2"/>
  <c r="J1140" i="2" s="1"/>
  <c r="M1140" i="2" s="1"/>
  <c r="P1138" i="2"/>
  <c r="O1138" i="2"/>
  <c r="N1138" i="2"/>
  <c r="M1138" i="2"/>
  <c r="L1138" i="2"/>
  <c r="J1138" i="2"/>
  <c r="P1137" i="2"/>
  <c r="O1137" i="2"/>
  <c r="N1137" i="2"/>
  <c r="M1137" i="2"/>
  <c r="L1137" i="2"/>
  <c r="J1137" i="2"/>
  <c r="P1136" i="2"/>
  <c r="O1136" i="2"/>
  <c r="N1136" i="2"/>
  <c r="L1136" i="2"/>
  <c r="K1136" i="2"/>
  <c r="P1135" i="2"/>
  <c r="O1135" i="2"/>
  <c r="N1135" i="2"/>
  <c r="L1135" i="2"/>
  <c r="K1135" i="2"/>
  <c r="S1134" i="2"/>
  <c r="P1134" i="2"/>
  <c r="O1134" i="2"/>
  <c r="N1134" i="2"/>
  <c r="M1134" i="2"/>
  <c r="L1134" i="2"/>
  <c r="K1134" i="2"/>
  <c r="D1134" i="2"/>
  <c r="J1136" i="2" s="1"/>
  <c r="M1136" i="2" s="1"/>
  <c r="P1133" i="2"/>
  <c r="O1133" i="2"/>
  <c r="N1133" i="2"/>
  <c r="M1133" i="2"/>
  <c r="L1133" i="2"/>
  <c r="J1133" i="2"/>
  <c r="P1132" i="2"/>
  <c r="O1132" i="2"/>
  <c r="N1132" i="2"/>
  <c r="M1132" i="2"/>
  <c r="L1132" i="2"/>
  <c r="J1132" i="2"/>
  <c r="H1132" i="2"/>
  <c r="K1132" i="2" s="1"/>
  <c r="P1131" i="2"/>
  <c r="O1131" i="2"/>
  <c r="N1131" i="2"/>
  <c r="L1131" i="2"/>
  <c r="K1131" i="2"/>
  <c r="P1130" i="2"/>
  <c r="O1130" i="2"/>
  <c r="N1130" i="2"/>
  <c r="L1130" i="2"/>
  <c r="K1130" i="2"/>
  <c r="S1129" i="2"/>
  <c r="P1129" i="2"/>
  <c r="O1129" i="2"/>
  <c r="N1129" i="2"/>
  <c r="M1129" i="2"/>
  <c r="L1129" i="2"/>
  <c r="K1129" i="2"/>
  <c r="D1129" i="2"/>
  <c r="J1130" i="2" s="1"/>
  <c r="M1130" i="2" s="1"/>
  <c r="P1128" i="2"/>
  <c r="O1128" i="2"/>
  <c r="N1128" i="2"/>
  <c r="M1128" i="2"/>
  <c r="L1128" i="2"/>
  <c r="J1128" i="2"/>
  <c r="P1127" i="2"/>
  <c r="O1127" i="2"/>
  <c r="N1127" i="2"/>
  <c r="M1127" i="2"/>
  <c r="L1127" i="2"/>
  <c r="J1127" i="2"/>
  <c r="H1127" i="2"/>
  <c r="K1127" i="2" s="1"/>
  <c r="P1126" i="2"/>
  <c r="O1126" i="2"/>
  <c r="N1126" i="2"/>
  <c r="L1126" i="2"/>
  <c r="K1126" i="2"/>
  <c r="P1125" i="2"/>
  <c r="O1125" i="2"/>
  <c r="N1125" i="2"/>
  <c r="L1125" i="2"/>
  <c r="K1125" i="2"/>
  <c r="S1124" i="2"/>
  <c r="P1124" i="2"/>
  <c r="O1124" i="2"/>
  <c r="N1124" i="2"/>
  <c r="M1124" i="2"/>
  <c r="L1124" i="2"/>
  <c r="K1124" i="2"/>
  <c r="D1124" i="2"/>
  <c r="J1125" i="2" s="1"/>
  <c r="M1125" i="2" s="1"/>
  <c r="P1123" i="2"/>
  <c r="O1123" i="2"/>
  <c r="N1123" i="2"/>
  <c r="M1123" i="2"/>
  <c r="L1123" i="2"/>
  <c r="J1123" i="2"/>
  <c r="P1122" i="2"/>
  <c r="O1122" i="2"/>
  <c r="N1122" i="2"/>
  <c r="M1122" i="2"/>
  <c r="L1122" i="2"/>
  <c r="J1122" i="2"/>
  <c r="P1121" i="2"/>
  <c r="O1121" i="2"/>
  <c r="N1121" i="2"/>
  <c r="L1121" i="2"/>
  <c r="K1121" i="2"/>
  <c r="J1121" i="2"/>
  <c r="M1121" i="2" s="1"/>
  <c r="P1120" i="2"/>
  <c r="O1120" i="2"/>
  <c r="N1120" i="2"/>
  <c r="L1120" i="2"/>
  <c r="K1120" i="2"/>
  <c r="S1119" i="2"/>
  <c r="P1119" i="2"/>
  <c r="O1119" i="2"/>
  <c r="N1119" i="2"/>
  <c r="M1119" i="2"/>
  <c r="L1119" i="2"/>
  <c r="K1119" i="2"/>
  <c r="D1119" i="2"/>
  <c r="J1120" i="2" s="1"/>
  <c r="M1120" i="2" s="1"/>
  <c r="P1118" i="2"/>
  <c r="O1118" i="2"/>
  <c r="N1118" i="2"/>
  <c r="M1118" i="2"/>
  <c r="L1118" i="2"/>
  <c r="K1118" i="2"/>
  <c r="J1118" i="2"/>
  <c r="H1118" i="2"/>
  <c r="P1117" i="2"/>
  <c r="O1117" i="2"/>
  <c r="N1117" i="2"/>
  <c r="M1117" i="2"/>
  <c r="L1117" i="2"/>
  <c r="K1117" i="2"/>
  <c r="J1117" i="2"/>
  <c r="H1117" i="2"/>
  <c r="P1116" i="2"/>
  <c r="O1116" i="2"/>
  <c r="N1116" i="2"/>
  <c r="M1116" i="2"/>
  <c r="L1116" i="2"/>
  <c r="K1116" i="2"/>
  <c r="J1116" i="2"/>
  <c r="P1115" i="2"/>
  <c r="O1115" i="2"/>
  <c r="N1115" i="2"/>
  <c r="L1115" i="2"/>
  <c r="K1115" i="2"/>
  <c r="J1115" i="2"/>
  <c r="M1115" i="2" s="1"/>
  <c r="S1114" i="2"/>
  <c r="P1114" i="2"/>
  <c r="O1114" i="2"/>
  <c r="N1114" i="2"/>
  <c r="M1114" i="2"/>
  <c r="L1114" i="2"/>
  <c r="K1114" i="2"/>
  <c r="P1113" i="2"/>
  <c r="O1113" i="2"/>
  <c r="N1113" i="2"/>
  <c r="M1113" i="2"/>
  <c r="L1113" i="2"/>
  <c r="J1113" i="2"/>
  <c r="H1113" i="2"/>
  <c r="K1113" i="2" s="1"/>
  <c r="P1112" i="2"/>
  <c r="O1112" i="2"/>
  <c r="N1112" i="2"/>
  <c r="M1112" i="2"/>
  <c r="L1112" i="2"/>
  <c r="J1112" i="2"/>
  <c r="H1112" i="2"/>
  <c r="K1112" i="2" s="1"/>
  <c r="P1111" i="2"/>
  <c r="O1111" i="2"/>
  <c r="N1111" i="2"/>
  <c r="L1111" i="2"/>
  <c r="K1111" i="2"/>
  <c r="J1111" i="2"/>
  <c r="M1111" i="2" s="1"/>
  <c r="P1110" i="2"/>
  <c r="O1110" i="2"/>
  <c r="N1110" i="2"/>
  <c r="M1110" i="2"/>
  <c r="L1110" i="2"/>
  <c r="K1110" i="2"/>
  <c r="J1110" i="2"/>
  <c r="S1109" i="2"/>
  <c r="P1109" i="2"/>
  <c r="O1109" i="2"/>
  <c r="N1109" i="2"/>
  <c r="M1109" i="2"/>
  <c r="L1109" i="2"/>
  <c r="K1109" i="2"/>
  <c r="P1108" i="2"/>
  <c r="O1108" i="2"/>
  <c r="N1108" i="2"/>
  <c r="M1108" i="2"/>
  <c r="L1108" i="2"/>
  <c r="J1108" i="2"/>
  <c r="K1108" i="2" s="1"/>
  <c r="H1108" i="2"/>
  <c r="P1107" i="2"/>
  <c r="O1107" i="2"/>
  <c r="N1107" i="2"/>
  <c r="M1107" i="2"/>
  <c r="L1107" i="2"/>
  <c r="J1107" i="2"/>
  <c r="H1107" i="2"/>
  <c r="P1106" i="2"/>
  <c r="O1106" i="2"/>
  <c r="N1106" i="2"/>
  <c r="L1106" i="2"/>
  <c r="K1106" i="2"/>
  <c r="J1106" i="2"/>
  <c r="M1106" i="2" s="1"/>
  <c r="P1105" i="2"/>
  <c r="O1105" i="2"/>
  <c r="N1105" i="2"/>
  <c r="L1105" i="2"/>
  <c r="K1105" i="2"/>
  <c r="J1105" i="2"/>
  <c r="M1105" i="2" s="1"/>
  <c r="S1104" i="2"/>
  <c r="P1104" i="2"/>
  <c r="O1104" i="2"/>
  <c r="N1104" i="2"/>
  <c r="M1104" i="2"/>
  <c r="L1104" i="2"/>
  <c r="K1104" i="2"/>
  <c r="P1103" i="2"/>
  <c r="O1103" i="2"/>
  <c r="N1103" i="2"/>
  <c r="M1103" i="2"/>
  <c r="L1103" i="2"/>
  <c r="J1103" i="2"/>
  <c r="H1103" i="2"/>
  <c r="P1102" i="2"/>
  <c r="O1102" i="2"/>
  <c r="N1102" i="2"/>
  <c r="M1102" i="2"/>
  <c r="L1102" i="2"/>
  <c r="J1102" i="2"/>
  <c r="H1102" i="2"/>
  <c r="K1102" i="2" s="1"/>
  <c r="P1101" i="2"/>
  <c r="O1101" i="2"/>
  <c r="N1101" i="2"/>
  <c r="L1101" i="2"/>
  <c r="K1101" i="2"/>
  <c r="J1101" i="2"/>
  <c r="M1101" i="2" s="1"/>
  <c r="P1100" i="2"/>
  <c r="O1100" i="2"/>
  <c r="N1100" i="2"/>
  <c r="L1100" i="2"/>
  <c r="K1100" i="2"/>
  <c r="J1100" i="2"/>
  <c r="M1100" i="2" s="1"/>
  <c r="S1099" i="2"/>
  <c r="P1099" i="2"/>
  <c r="O1099" i="2"/>
  <c r="N1099" i="2"/>
  <c r="M1099" i="2"/>
  <c r="L1099" i="2"/>
  <c r="K1099" i="2"/>
  <c r="P1098" i="2"/>
  <c r="O1098" i="2"/>
  <c r="N1098" i="2"/>
  <c r="M1098" i="2"/>
  <c r="L1098" i="2"/>
  <c r="J1098" i="2"/>
  <c r="H1098" i="2"/>
  <c r="P1097" i="2"/>
  <c r="O1097" i="2"/>
  <c r="N1097" i="2"/>
  <c r="M1097" i="2"/>
  <c r="L1097" i="2"/>
  <c r="J1097" i="2"/>
  <c r="H1097" i="2"/>
  <c r="P1096" i="2"/>
  <c r="O1096" i="2"/>
  <c r="N1096" i="2"/>
  <c r="M1096" i="2"/>
  <c r="L1096" i="2"/>
  <c r="K1096" i="2"/>
  <c r="J1096" i="2"/>
  <c r="P1095" i="2"/>
  <c r="O1095" i="2"/>
  <c r="N1095" i="2"/>
  <c r="L1095" i="2"/>
  <c r="K1095" i="2"/>
  <c r="J1095" i="2"/>
  <c r="M1095" i="2" s="1"/>
  <c r="S1094" i="2"/>
  <c r="P1094" i="2"/>
  <c r="O1094" i="2"/>
  <c r="N1094" i="2"/>
  <c r="M1094" i="2"/>
  <c r="L1094" i="2"/>
  <c r="K1094" i="2"/>
  <c r="P1093" i="2"/>
  <c r="O1093" i="2"/>
  <c r="N1093" i="2"/>
  <c r="M1093" i="2"/>
  <c r="L1093" i="2"/>
  <c r="J1093" i="2"/>
  <c r="H1093" i="2"/>
  <c r="K1093" i="2" s="1"/>
  <c r="P1092" i="2"/>
  <c r="O1092" i="2"/>
  <c r="N1092" i="2"/>
  <c r="M1092" i="2"/>
  <c r="L1092" i="2"/>
  <c r="J1092" i="2"/>
  <c r="H1092" i="2"/>
  <c r="K1092" i="2" s="1"/>
  <c r="P1091" i="2"/>
  <c r="O1091" i="2"/>
  <c r="N1091" i="2"/>
  <c r="L1091" i="2"/>
  <c r="K1091" i="2"/>
  <c r="J1091" i="2"/>
  <c r="M1091" i="2" s="1"/>
  <c r="P1090" i="2"/>
  <c r="O1090" i="2"/>
  <c r="N1090" i="2"/>
  <c r="M1090" i="2"/>
  <c r="L1090" i="2"/>
  <c r="K1090" i="2"/>
  <c r="J1090" i="2"/>
  <c r="S1089" i="2"/>
  <c r="P1089" i="2"/>
  <c r="O1089" i="2"/>
  <c r="N1089" i="2"/>
  <c r="M1089" i="2"/>
  <c r="L1089" i="2"/>
  <c r="K1089" i="2"/>
  <c r="P1088" i="2"/>
  <c r="O1088" i="2"/>
  <c r="N1088" i="2"/>
  <c r="M1088" i="2"/>
  <c r="L1088" i="2"/>
  <c r="J1088" i="2"/>
  <c r="H1088" i="2"/>
  <c r="P1087" i="2"/>
  <c r="O1087" i="2"/>
  <c r="N1087" i="2"/>
  <c r="M1087" i="2"/>
  <c r="L1087" i="2"/>
  <c r="J1087" i="2"/>
  <c r="H1087" i="2"/>
  <c r="K1087" i="2" s="1"/>
  <c r="P1086" i="2"/>
  <c r="O1086" i="2"/>
  <c r="N1086" i="2"/>
  <c r="L1086" i="2"/>
  <c r="K1086" i="2"/>
  <c r="J1086" i="2"/>
  <c r="M1086" i="2" s="1"/>
  <c r="P1085" i="2"/>
  <c r="O1085" i="2"/>
  <c r="N1085" i="2"/>
  <c r="L1085" i="2"/>
  <c r="K1085" i="2"/>
  <c r="J1085" i="2"/>
  <c r="M1085" i="2" s="1"/>
  <c r="S1084" i="2"/>
  <c r="P1084" i="2"/>
  <c r="O1084" i="2"/>
  <c r="N1084" i="2"/>
  <c r="M1084" i="2"/>
  <c r="L1084" i="2"/>
  <c r="K1084" i="2"/>
  <c r="P1083" i="2"/>
  <c r="O1083" i="2"/>
  <c r="N1083" i="2"/>
  <c r="M1083" i="2"/>
  <c r="L1083" i="2"/>
  <c r="J1083" i="2"/>
  <c r="K1083" i="2" s="1"/>
  <c r="H1083" i="2"/>
  <c r="P1082" i="2"/>
  <c r="O1082" i="2"/>
  <c r="N1082" i="2"/>
  <c r="M1082" i="2"/>
  <c r="L1082" i="2"/>
  <c r="J1082" i="2"/>
  <c r="K1082" i="2" s="1"/>
  <c r="H1082" i="2"/>
  <c r="P1081" i="2"/>
  <c r="O1081" i="2"/>
  <c r="N1081" i="2"/>
  <c r="M1081" i="2"/>
  <c r="L1081" i="2"/>
  <c r="K1081" i="2"/>
  <c r="J1081" i="2"/>
  <c r="P1080" i="2"/>
  <c r="O1080" i="2"/>
  <c r="N1080" i="2"/>
  <c r="L1080" i="2"/>
  <c r="K1080" i="2"/>
  <c r="J1080" i="2"/>
  <c r="M1080" i="2" s="1"/>
  <c r="S1079" i="2"/>
  <c r="P1079" i="2"/>
  <c r="O1079" i="2"/>
  <c r="N1079" i="2"/>
  <c r="M1079" i="2"/>
  <c r="L1079" i="2"/>
  <c r="K1079" i="2"/>
  <c r="P1078" i="2"/>
  <c r="O1078" i="2"/>
  <c r="N1078" i="2"/>
  <c r="M1078" i="2"/>
  <c r="L1078" i="2"/>
  <c r="J1078" i="2"/>
  <c r="H1078" i="2"/>
  <c r="K1078" i="2" s="1"/>
  <c r="P1077" i="2"/>
  <c r="O1077" i="2"/>
  <c r="N1077" i="2"/>
  <c r="M1077" i="2"/>
  <c r="L1077" i="2"/>
  <c r="J1077" i="2"/>
  <c r="H1077" i="2"/>
  <c r="K1077" i="2" s="1"/>
  <c r="P1076" i="2"/>
  <c r="O1076" i="2"/>
  <c r="N1076" i="2"/>
  <c r="L1076" i="2"/>
  <c r="K1076" i="2"/>
  <c r="J1076" i="2"/>
  <c r="M1076" i="2" s="1"/>
  <c r="P1075" i="2"/>
  <c r="O1075" i="2"/>
  <c r="N1075" i="2"/>
  <c r="L1075" i="2"/>
  <c r="K1075" i="2"/>
  <c r="J1075" i="2"/>
  <c r="M1075" i="2" s="1"/>
  <c r="S1074" i="2"/>
  <c r="P1074" i="2"/>
  <c r="O1074" i="2"/>
  <c r="N1074" i="2"/>
  <c r="M1074" i="2"/>
  <c r="L1074" i="2"/>
  <c r="K1074" i="2"/>
  <c r="P1073" i="2"/>
  <c r="O1073" i="2"/>
  <c r="N1073" i="2"/>
  <c r="M1073" i="2"/>
  <c r="L1073" i="2"/>
  <c r="J1073" i="2"/>
  <c r="H1073" i="2"/>
  <c r="P1072" i="2"/>
  <c r="O1072" i="2"/>
  <c r="N1072" i="2"/>
  <c r="M1072" i="2"/>
  <c r="L1072" i="2"/>
  <c r="J1072" i="2"/>
  <c r="H1072" i="2"/>
  <c r="K1072" i="2" s="1"/>
  <c r="P1071" i="2"/>
  <c r="O1071" i="2"/>
  <c r="N1071" i="2"/>
  <c r="L1071" i="2"/>
  <c r="K1071" i="2"/>
  <c r="J1071" i="2"/>
  <c r="M1071" i="2" s="1"/>
  <c r="P1070" i="2"/>
  <c r="O1070" i="2"/>
  <c r="N1070" i="2"/>
  <c r="L1070" i="2"/>
  <c r="K1070" i="2"/>
  <c r="J1070" i="2"/>
  <c r="M1070" i="2" s="1"/>
  <c r="S1069" i="2"/>
  <c r="P1069" i="2"/>
  <c r="O1069" i="2"/>
  <c r="N1069" i="2"/>
  <c r="M1069" i="2"/>
  <c r="L1069" i="2"/>
  <c r="K1069" i="2"/>
  <c r="P1068" i="2"/>
  <c r="O1068" i="2"/>
  <c r="N1068" i="2"/>
  <c r="M1068" i="2"/>
  <c r="L1068" i="2"/>
  <c r="J1068" i="2"/>
  <c r="H1068" i="2"/>
  <c r="P1067" i="2"/>
  <c r="O1067" i="2"/>
  <c r="N1067" i="2"/>
  <c r="M1067" i="2"/>
  <c r="L1067" i="2"/>
  <c r="J1067" i="2"/>
  <c r="K1067" i="2" s="1"/>
  <c r="H1067" i="2"/>
  <c r="P1066" i="2"/>
  <c r="O1066" i="2"/>
  <c r="N1066" i="2"/>
  <c r="M1066" i="2"/>
  <c r="L1066" i="2"/>
  <c r="K1066" i="2"/>
  <c r="J1066" i="2"/>
  <c r="P1065" i="2"/>
  <c r="O1065" i="2"/>
  <c r="N1065" i="2"/>
  <c r="L1065" i="2"/>
  <c r="K1065" i="2"/>
  <c r="J1065" i="2"/>
  <c r="M1065" i="2" s="1"/>
  <c r="S1064" i="2"/>
  <c r="P1064" i="2"/>
  <c r="O1064" i="2"/>
  <c r="N1064" i="2"/>
  <c r="M1064" i="2"/>
  <c r="L1064" i="2"/>
  <c r="K1064" i="2"/>
  <c r="P1063" i="2"/>
  <c r="O1063" i="2"/>
  <c r="N1063" i="2"/>
  <c r="M1063" i="2"/>
  <c r="L1063" i="2"/>
  <c r="J1063" i="2"/>
  <c r="H1063" i="2"/>
  <c r="K1063" i="2" s="1"/>
  <c r="P1062" i="2"/>
  <c r="O1062" i="2"/>
  <c r="N1062" i="2"/>
  <c r="M1062" i="2"/>
  <c r="L1062" i="2"/>
  <c r="J1062" i="2"/>
  <c r="H1062" i="2"/>
  <c r="P1061" i="2"/>
  <c r="O1061" i="2"/>
  <c r="N1061" i="2"/>
  <c r="L1061" i="2"/>
  <c r="K1061" i="2"/>
  <c r="J1061" i="2"/>
  <c r="M1061" i="2" s="1"/>
  <c r="S1060" i="2"/>
  <c r="P1060" i="2"/>
  <c r="O1060" i="2"/>
  <c r="N1060" i="2"/>
  <c r="L1060" i="2"/>
  <c r="K1060" i="2"/>
  <c r="J1060" i="2"/>
  <c r="M1060" i="2" s="1"/>
  <c r="S1059" i="2"/>
  <c r="P1059" i="2"/>
  <c r="O1059" i="2"/>
  <c r="N1059" i="2"/>
  <c r="M1059" i="2"/>
  <c r="L1059" i="2"/>
  <c r="K1059" i="2"/>
  <c r="S1058" i="2"/>
  <c r="P1058" i="2"/>
  <c r="O1058" i="2"/>
  <c r="N1058" i="2"/>
  <c r="M1058" i="2"/>
  <c r="L1058" i="2"/>
  <c r="K1058" i="2"/>
  <c r="S1057" i="2"/>
  <c r="P1057" i="2"/>
  <c r="O1057" i="2"/>
  <c r="N1057" i="2"/>
  <c r="M1057" i="2"/>
  <c r="L1057" i="2"/>
  <c r="K1057" i="2"/>
  <c r="S1056" i="2"/>
  <c r="P1056" i="2"/>
  <c r="O1056" i="2"/>
  <c r="N1056" i="2"/>
  <c r="M1056" i="2"/>
  <c r="L1056" i="2"/>
  <c r="J1056" i="2"/>
  <c r="H1056" i="2"/>
  <c r="K1056" i="2" s="1"/>
  <c r="S1055" i="2"/>
  <c r="P1055" i="2"/>
  <c r="O1055" i="2"/>
  <c r="N1055" i="2"/>
  <c r="M1055" i="2"/>
  <c r="L1055" i="2"/>
  <c r="J1055" i="2"/>
  <c r="S1054" i="2"/>
  <c r="P1054" i="2"/>
  <c r="O1054" i="2"/>
  <c r="N1054" i="2"/>
  <c r="L1054" i="2"/>
  <c r="K1054" i="2"/>
  <c r="J1054" i="2"/>
  <c r="M1054" i="2" s="1"/>
  <c r="S1053" i="2"/>
  <c r="P1053" i="2"/>
  <c r="O1053" i="2"/>
  <c r="M1053" i="2"/>
  <c r="L1053" i="2"/>
  <c r="K1053" i="2"/>
  <c r="S1052" i="2"/>
  <c r="P1052" i="2"/>
  <c r="O1052" i="2"/>
  <c r="N1052" i="2"/>
  <c r="M1052" i="2"/>
  <c r="L1052" i="2"/>
  <c r="K1052" i="2"/>
  <c r="D1052" i="2"/>
  <c r="H1055" i="2" s="1"/>
  <c r="S1051" i="2"/>
  <c r="P1051" i="2"/>
  <c r="O1051" i="2"/>
  <c r="N1051" i="2"/>
  <c r="M1051" i="2"/>
  <c r="L1051" i="2"/>
  <c r="J1051" i="2"/>
  <c r="S1050" i="2"/>
  <c r="P1050" i="2"/>
  <c r="O1050" i="2"/>
  <c r="N1050" i="2"/>
  <c r="M1050" i="2"/>
  <c r="L1050" i="2"/>
  <c r="J1050" i="2"/>
  <c r="S1049" i="2"/>
  <c r="P1049" i="2"/>
  <c r="O1049" i="2"/>
  <c r="N1049" i="2"/>
  <c r="M1049" i="2"/>
  <c r="L1049" i="2"/>
  <c r="K1049" i="2"/>
  <c r="J1049" i="2"/>
  <c r="S1048" i="2"/>
  <c r="P1048" i="2"/>
  <c r="O1048" i="2"/>
  <c r="M1048" i="2"/>
  <c r="L1048" i="2"/>
  <c r="K1048" i="2"/>
  <c r="S1047" i="2"/>
  <c r="P1047" i="2"/>
  <c r="O1047" i="2"/>
  <c r="N1047" i="2"/>
  <c r="M1047" i="2"/>
  <c r="L1047" i="2"/>
  <c r="K1047" i="2"/>
  <c r="D1047" i="2"/>
  <c r="H1050" i="2" s="1"/>
  <c r="K1050" i="2" s="1"/>
  <c r="S1046" i="2"/>
  <c r="P1046" i="2"/>
  <c r="O1046" i="2"/>
  <c r="N1046" i="2"/>
  <c r="M1046" i="2"/>
  <c r="L1046" i="2"/>
  <c r="J1046" i="2"/>
  <c r="S1045" i="2"/>
  <c r="P1045" i="2"/>
  <c r="O1045" i="2"/>
  <c r="N1045" i="2"/>
  <c r="M1045" i="2"/>
  <c r="L1045" i="2"/>
  <c r="J1045" i="2"/>
  <c r="S1044" i="2"/>
  <c r="P1044" i="2"/>
  <c r="O1044" i="2"/>
  <c r="N1044" i="2"/>
  <c r="L1044" i="2"/>
  <c r="K1044" i="2"/>
  <c r="J1044" i="2"/>
  <c r="M1044" i="2" s="1"/>
  <c r="S1043" i="2"/>
  <c r="P1043" i="2"/>
  <c r="O1043" i="2"/>
  <c r="M1043" i="2"/>
  <c r="L1043" i="2"/>
  <c r="K1043" i="2"/>
  <c r="S1042" i="2"/>
  <c r="P1042" i="2"/>
  <c r="O1042" i="2"/>
  <c r="N1042" i="2"/>
  <c r="M1042" i="2"/>
  <c r="L1042" i="2"/>
  <c r="K1042" i="2"/>
  <c r="D1042" i="2"/>
  <c r="H1046" i="2" s="1"/>
  <c r="S1041" i="2"/>
  <c r="P1041" i="2"/>
  <c r="O1041" i="2"/>
  <c r="N1041" i="2"/>
  <c r="M1041" i="2"/>
  <c r="L1041" i="2"/>
  <c r="J1041" i="2"/>
  <c r="H1041" i="2"/>
  <c r="K1041" i="2" s="1"/>
  <c r="S1040" i="2"/>
  <c r="P1040" i="2"/>
  <c r="O1040" i="2"/>
  <c r="N1040" i="2"/>
  <c r="M1040" i="2"/>
  <c r="L1040" i="2"/>
  <c r="J1040" i="2"/>
  <c r="H1040" i="2"/>
  <c r="K1040" i="2" s="1"/>
  <c r="S1039" i="2"/>
  <c r="P1039" i="2"/>
  <c r="O1039" i="2"/>
  <c r="N1039" i="2"/>
  <c r="L1039" i="2"/>
  <c r="K1039" i="2"/>
  <c r="J1039" i="2"/>
  <c r="M1039" i="2" s="1"/>
  <c r="S1038" i="2"/>
  <c r="P1038" i="2"/>
  <c r="O1038" i="2"/>
  <c r="N1038" i="2"/>
  <c r="M1038" i="2"/>
  <c r="L1038" i="2"/>
  <c r="K1038" i="2"/>
  <c r="J1038" i="2"/>
  <c r="S1037" i="2"/>
  <c r="P1037" i="2"/>
  <c r="O1037" i="2"/>
  <c r="N1037" i="2"/>
  <c r="M1037" i="2"/>
  <c r="L1037" i="2"/>
  <c r="K1037" i="2"/>
  <c r="S1036" i="2"/>
  <c r="P1036" i="2"/>
  <c r="O1036" i="2"/>
  <c r="N1036" i="2"/>
  <c r="M1036" i="2"/>
  <c r="L1036" i="2"/>
  <c r="J1036" i="2"/>
  <c r="S1035" i="2"/>
  <c r="P1035" i="2"/>
  <c r="O1035" i="2"/>
  <c r="N1035" i="2"/>
  <c r="M1035" i="2"/>
  <c r="L1035" i="2"/>
  <c r="J1035" i="2"/>
  <c r="H1035" i="2"/>
  <c r="S1034" i="2"/>
  <c r="Q1034" i="2"/>
  <c r="P1034" i="2"/>
  <c r="O1034" i="2"/>
  <c r="N1034" i="2"/>
  <c r="M1034" i="2"/>
  <c r="L1034" i="2"/>
  <c r="K1034" i="2"/>
  <c r="J1034" i="2"/>
  <c r="S1033" i="2"/>
  <c r="Q1033" i="2"/>
  <c r="P1033" i="2"/>
  <c r="O1033" i="2"/>
  <c r="M1033" i="2"/>
  <c r="L1033" i="2"/>
  <c r="K1033" i="2"/>
  <c r="S1032" i="2"/>
  <c r="Q1032" i="2"/>
  <c r="P1032" i="2"/>
  <c r="O1032" i="2"/>
  <c r="N1032" i="2"/>
  <c r="M1032" i="2"/>
  <c r="L1032" i="2"/>
  <c r="K1032" i="2"/>
  <c r="D1032" i="2"/>
  <c r="H1036" i="2" s="1"/>
  <c r="S1031" i="2"/>
  <c r="Q1031" i="2"/>
  <c r="P1031" i="2"/>
  <c r="O1031" i="2"/>
  <c r="N1031" i="2"/>
  <c r="M1031" i="2"/>
  <c r="L1031" i="2"/>
  <c r="J1031" i="2"/>
  <c r="K1031" i="2" s="1"/>
  <c r="H1031" i="2"/>
  <c r="S1030" i="2"/>
  <c r="Q1030" i="2"/>
  <c r="P1030" i="2"/>
  <c r="O1030" i="2"/>
  <c r="N1030" i="2"/>
  <c r="M1030" i="2"/>
  <c r="L1030" i="2"/>
  <c r="J1030" i="2"/>
  <c r="H1030" i="2"/>
  <c r="K1030" i="2" s="1"/>
  <c r="S1029" i="2"/>
  <c r="Q1029" i="2"/>
  <c r="P1029" i="2"/>
  <c r="O1029" i="2"/>
  <c r="N1029" i="2"/>
  <c r="L1029" i="2"/>
  <c r="K1029" i="2"/>
  <c r="J1029" i="2"/>
  <c r="M1029" i="2" s="1"/>
  <c r="S1028" i="2"/>
  <c r="Q1028" i="2"/>
  <c r="P1028" i="2"/>
  <c r="O1028" i="2"/>
  <c r="M1028" i="2"/>
  <c r="L1028" i="2"/>
  <c r="K1028" i="2"/>
  <c r="J1028" i="2"/>
  <c r="N1028" i="2" s="1"/>
  <c r="S1027" i="2"/>
  <c r="Q1027" i="2"/>
  <c r="P1027" i="2"/>
  <c r="O1027" i="2"/>
  <c r="N1027" i="2"/>
  <c r="M1027" i="2"/>
  <c r="L1027" i="2"/>
  <c r="K1027" i="2"/>
  <c r="S1026" i="2"/>
  <c r="Q1026" i="2"/>
  <c r="P1026" i="2"/>
  <c r="O1026" i="2"/>
  <c r="N1026" i="2"/>
  <c r="M1026" i="2"/>
  <c r="L1026" i="2"/>
  <c r="J1026" i="2"/>
  <c r="H1026" i="2"/>
  <c r="K1026" i="2" s="1"/>
  <c r="S1025" i="2"/>
  <c r="Q1025" i="2"/>
  <c r="P1025" i="2"/>
  <c r="O1025" i="2"/>
  <c r="N1025" i="2"/>
  <c r="M1025" i="2"/>
  <c r="L1025" i="2"/>
  <c r="K1025" i="2"/>
  <c r="J1025" i="2"/>
  <c r="H1025" i="2"/>
  <c r="S1024" i="2"/>
  <c r="Q1024" i="2"/>
  <c r="P1024" i="2"/>
  <c r="O1024" i="2"/>
  <c r="N1024" i="2"/>
  <c r="M1024" i="2"/>
  <c r="L1024" i="2"/>
  <c r="K1024" i="2"/>
  <c r="J1024" i="2"/>
  <c r="S1023" i="2"/>
  <c r="Q1023" i="2"/>
  <c r="P1023" i="2"/>
  <c r="O1023" i="2"/>
  <c r="N1023" i="2"/>
  <c r="M1023" i="2"/>
  <c r="L1023" i="2"/>
  <c r="K1023" i="2"/>
  <c r="J1023" i="2"/>
  <c r="S1022" i="2"/>
  <c r="Q1022" i="2"/>
  <c r="P1022" i="2"/>
  <c r="O1022" i="2"/>
  <c r="N1022" i="2"/>
  <c r="M1022" i="2"/>
  <c r="L1022" i="2"/>
  <c r="K1022" i="2"/>
  <c r="S1021" i="2"/>
  <c r="P1021" i="2"/>
  <c r="O1021" i="2"/>
  <c r="N1021" i="2"/>
  <c r="M1021" i="2"/>
  <c r="L1021" i="2"/>
  <c r="J1021" i="2"/>
  <c r="S1020" i="2"/>
  <c r="P1020" i="2"/>
  <c r="O1020" i="2"/>
  <c r="N1020" i="2"/>
  <c r="M1020" i="2"/>
  <c r="L1020" i="2"/>
  <c r="J1020" i="2"/>
  <c r="S1019" i="2"/>
  <c r="Q1019" i="2"/>
  <c r="P1019" i="2"/>
  <c r="O1019" i="2"/>
  <c r="N1019" i="2"/>
  <c r="L1019" i="2"/>
  <c r="K1019" i="2"/>
  <c r="J1019" i="2"/>
  <c r="M1019" i="2" s="1"/>
  <c r="S1018" i="2"/>
  <c r="Q1018" i="2"/>
  <c r="P1018" i="2"/>
  <c r="O1018" i="2"/>
  <c r="M1018" i="2"/>
  <c r="L1018" i="2"/>
  <c r="K1018" i="2"/>
  <c r="S1017" i="2"/>
  <c r="Q1017" i="2"/>
  <c r="P1017" i="2"/>
  <c r="O1017" i="2"/>
  <c r="N1017" i="2"/>
  <c r="M1017" i="2"/>
  <c r="L1017" i="2"/>
  <c r="K1017" i="2"/>
  <c r="D1017" i="2"/>
  <c r="H1020" i="2" s="1"/>
  <c r="K1020" i="2" s="1"/>
  <c r="S1016" i="2"/>
  <c r="Q1016" i="2"/>
  <c r="P1016" i="2"/>
  <c r="O1016" i="2"/>
  <c r="N1016" i="2"/>
  <c r="M1016" i="2"/>
  <c r="L1016" i="2"/>
  <c r="J1016" i="2"/>
  <c r="H1016" i="2"/>
  <c r="K1016" i="2" s="1"/>
  <c r="S1015" i="2"/>
  <c r="Q1015" i="2"/>
  <c r="P1015" i="2"/>
  <c r="O1015" i="2"/>
  <c r="N1015" i="2"/>
  <c r="M1015" i="2"/>
  <c r="L1015" i="2"/>
  <c r="J1015" i="2"/>
  <c r="H1015" i="2"/>
  <c r="S1014" i="2"/>
  <c r="Q1014" i="2"/>
  <c r="P1014" i="2"/>
  <c r="O1014" i="2"/>
  <c r="N1014" i="2"/>
  <c r="L1014" i="2"/>
  <c r="K1014" i="2"/>
  <c r="J1014" i="2"/>
  <c r="M1014" i="2" s="1"/>
  <c r="S1013" i="2"/>
  <c r="Q1013" i="2"/>
  <c r="P1013" i="2"/>
  <c r="O1013" i="2"/>
  <c r="M1013" i="2"/>
  <c r="L1013" i="2"/>
  <c r="K1013" i="2"/>
  <c r="J1013" i="2"/>
  <c r="N1013" i="2" s="1"/>
  <c r="S1012" i="2"/>
  <c r="Q1012" i="2"/>
  <c r="P1012" i="2"/>
  <c r="O1012" i="2"/>
  <c r="N1012" i="2"/>
  <c r="M1012" i="2"/>
  <c r="L1012" i="2"/>
  <c r="K1012" i="2"/>
  <c r="S1011" i="2"/>
  <c r="Q1011" i="2"/>
  <c r="P1011" i="2"/>
  <c r="O1011" i="2"/>
  <c r="N1011" i="2"/>
  <c r="M1011" i="2"/>
  <c r="L1011" i="2"/>
  <c r="J1011" i="2"/>
  <c r="S1010" i="2"/>
  <c r="Q1010" i="2"/>
  <c r="P1010" i="2"/>
  <c r="O1010" i="2"/>
  <c r="N1010" i="2"/>
  <c r="M1010" i="2"/>
  <c r="L1010" i="2"/>
  <c r="J1010" i="2"/>
  <c r="S1009" i="2"/>
  <c r="Q1009" i="2"/>
  <c r="P1009" i="2"/>
  <c r="O1009" i="2"/>
  <c r="N1009" i="2"/>
  <c r="L1009" i="2"/>
  <c r="K1009" i="2"/>
  <c r="J1009" i="2"/>
  <c r="M1009" i="2" s="1"/>
  <c r="S1008" i="2"/>
  <c r="Q1008" i="2"/>
  <c r="P1008" i="2"/>
  <c r="O1008" i="2"/>
  <c r="M1008" i="2"/>
  <c r="L1008" i="2"/>
  <c r="K1008" i="2"/>
  <c r="S1007" i="2"/>
  <c r="Q1007" i="2"/>
  <c r="P1007" i="2"/>
  <c r="O1007" i="2"/>
  <c r="N1007" i="2"/>
  <c r="M1007" i="2"/>
  <c r="L1007" i="2"/>
  <c r="K1007" i="2"/>
  <c r="D1007" i="2"/>
  <c r="H1011" i="2" s="1"/>
  <c r="K1011" i="2" s="1"/>
  <c r="S1006" i="2"/>
  <c r="Q1006" i="2"/>
  <c r="P1006" i="2"/>
  <c r="O1006" i="2"/>
  <c r="N1006" i="2"/>
  <c r="M1006" i="2"/>
  <c r="L1006" i="2"/>
  <c r="J1006" i="2"/>
  <c r="H1006" i="2"/>
  <c r="K1006" i="2" s="1"/>
  <c r="S1005" i="2"/>
  <c r="Q1005" i="2"/>
  <c r="P1005" i="2"/>
  <c r="O1005" i="2"/>
  <c r="N1005" i="2"/>
  <c r="M1005" i="2"/>
  <c r="L1005" i="2"/>
  <c r="K1005" i="2"/>
  <c r="J1005" i="2"/>
  <c r="H1005" i="2"/>
  <c r="S1004" i="2"/>
  <c r="Q1004" i="2"/>
  <c r="P1004" i="2"/>
  <c r="O1004" i="2"/>
  <c r="N1004" i="2"/>
  <c r="M1004" i="2"/>
  <c r="L1004" i="2"/>
  <c r="K1004" i="2"/>
  <c r="J1004" i="2"/>
  <c r="S1003" i="2"/>
  <c r="Q1003" i="2"/>
  <c r="P1003" i="2"/>
  <c r="O1003" i="2"/>
  <c r="N1003" i="2"/>
  <c r="M1003" i="2"/>
  <c r="L1003" i="2"/>
  <c r="K1003" i="2"/>
  <c r="J1003" i="2"/>
  <c r="S1002" i="2"/>
  <c r="Q1002" i="2"/>
  <c r="P1002" i="2"/>
  <c r="O1002" i="2"/>
  <c r="N1002" i="2"/>
  <c r="M1002" i="2"/>
  <c r="L1002" i="2"/>
  <c r="K1002" i="2"/>
  <c r="S1001" i="2"/>
  <c r="Q1001" i="2"/>
  <c r="P1001" i="2"/>
  <c r="O1001" i="2"/>
  <c r="N1001" i="2"/>
  <c r="M1001" i="2"/>
  <c r="L1001" i="2"/>
  <c r="J1001" i="2"/>
  <c r="K1001" i="2" s="1"/>
  <c r="H1001" i="2"/>
  <c r="S1000" i="2"/>
  <c r="Q1000" i="2"/>
  <c r="P1000" i="2"/>
  <c r="O1000" i="2"/>
  <c r="N1000" i="2"/>
  <c r="M1000" i="2"/>
  <c r="L1000" i="2"/>
  <c r="J1000" i="2"/>
  <c r="H1000" i="2"/>
  <c r="K1000" i="2" s="1"/>
  <c r="S999" i="2"/>
  <c r="Q999" i="2"/>
  <c r="P999" i="2"/>
  <c r="O999" i="2"/>
  <c r="N999" i="2"/>
  <c r="L999" i="2"/>
  <c r="K999" i="2"/>
  <c r="J999" i="2"/>
  <c r="M999" i="2" s="1"/>
  <c r="S998" i="2"/>
  <c r="Q998" i="2"/>
  <c r="P998" i="2"/>
  <c r="O998" i="2"/>
  <c r="M998" i="2"/>
  <c r="L998" i="2"/>
  <c r="K998" i="2"/>
  <c r="J998" i="2"/>
  <c r="N998" i="2" s="1"/>
  <c r="S997" i="2"/>
  <c r="Q997" i="2"/>
  <c r="P997" i="2"/>
  <c r="O997" i="2"/>
  <c r="N997" i="2"/>
  <c r="M997" i="2"/>
  <c r="L997" i="2"/>
  <c r="K997" i="2"/>
  <c r="S996" i="2"/>
  <c r="Q996" i="2"/>
  <c r="P996" i="2"/>
  <c r="O996" i="2"/>
  <c r="N996" i="2"/>
  <c r="M996" i="2"/>
  <c r="L996" i="2"/>
  <c r="J996" i="2"/>
  <c r="H996" i="2"/>
  <c r="K996" i="2" s="1"/>
  <c r="S995" i="2"/>
  <c r="Q995" i="2"/>
  <c r="P995" i="2"/>
  <c r="O995" i="2"/>
  <c r="N995" i="2"/>
  <c r="M995" i="2"/>
  <c r="L995" i="2"/>
  <c r="J995" i="2"/>
  <c r="H995" i="2"/>
  <c r="S994" i="2"/>
  <c r="Q994" i="2"/>
  <c r="P994" i="2"/>
  <c r="O994" i="2"/>
  <c r="N994" i="2"/>
  <c r="L994" i="2"/>
  <c r="K994" i="2"/>
  <c r="J994" i="2"/>
  <c r="M994" i="2" s="1"/>
  <c r="S993" i="2"/>
  <c r="Q993" i="2"/>
  <c r="P993" i="2"/>
  <c r="O993" i="2"/>
  <c r="M993" i="2"/>
  <c r="L993" i="2"/>
  <c r="K993" i="2"/>
  <c r="J993" i="2"/>
  <c r="N993" i="2" s="1"/>
  <c r="S992" i="2"/>
  <c r="Q992" i="2"/>
  <c r="P992" i="2"/>
  <c r="O992" i="2"/>
  <c r="N992" i="2"/>
  <c r="M992" i="2"/>
  <c r="L992" i="2"/>
  <c r="K992" i="2"/>
  <c r="S991" i="2"/>
  <c r="Q991" i="2"/>
  <c r="P991" i="2"/>
  <c r="O991" i="2"/>
  <c r="N991" i="2"/>
  <c r="M991" i="2"/>
  <c r="L991" i="2"/>
  <c r="K991" i="2"/>
  <c r="J991" i="2"/>
  <c r="H991" i="2"/>
  <c r="S990" i="2"/>
  <c r="Q990" i="2"/>
  <c r="P990" i="2"/>
  <c r="O990" i="2"/>
  <c r="N990" i="2"/>
  <c r="M990" i="2"/>
  <c r="L990" i="2"/>
  <c r="J990" i="2"/>
  <c r="H990" i="2"/>
  <c r="K990" i="2" s="1"/>
  <c r="S989" i="2"/>
  <c r="Q989" i="2"/>
  <c r="P989" i="2"/>
  <c r="O989" i="2"/>
  <c r="N989" i="2"/>
  <c r="L989" i="2"/>
  <c r="K989" i="2"/>
  <c r="J989" i="2"/>
  <c r="M989" i="2" s="1"/>
  <c r="S988" i="2"/>
  <c r="Q988" i="2"/>
  <c r="P988" i="2"/>
  <c r="O988" i="2"/>
  <c r="M988" i="2"/>
  <c r="L988" i="2"/>
  <c r="K988" i="2"/>
  <c r="J988" i="2"/>
  <c r="N988" i="2" s="1"/>
  <c r="S987" i="2"/>
  <c r="Q987" i="2"/>
  <c r="P987" i="2"/>
  <c r="O987" i="2"/>
  <c r="N987" i="2"/>
  <c r="M987" i="2"/>
  <c r="L987" i="2"/>
  <c r="K987" i="2"/>
  <c r="S985" i="2"/>
  <c r="Q985" i="2"/>
  <c r="P985" i="2"/>
  <c r="O985" i="2"/>
  <c r="N985" i="2"/>
  <c r="M985" i="2"/>
  <c r="L985" i="2"/>
  <c r="J985" i="2"/>
  <c r="H985" i="2"/>
  <c r="K985" i="2" s="1"/>
  <c r="S984" i="2"/>
  <c r="Q984" i="2"/>
  <c r="P984" i="2"/>
  <c r="O984" i="2"/>
  <c r="N984" i="2"/>
  <c r="M984" i="2"/>
  <c r="L984" i="2"/>
  <c r="J984" i="2"/>
  <c r="H984" i="2"/>
  <c r="K984" i="2" s="1"/>
  <c r="S983" i="2"/>
  <c r="Q983" i="2"/>
  <c r="P983" i="2"/>
  <c r="O983" i="2"/>
  <c r="M983" i="2"/>
  <c r="L983" i="2"/>
  <c r="K983" i="2"/>
  <c r="J983" i="2"/>
  <c r="N983" i="2" s="1"/>
  <c r="S982" i="2"/>
  <c r="Q982" i="2"/>
  <c r="P982" i="2"/>
  <c r="O982" i="2"/>
  <c r="N982" i="2"/>
  <c r="L982" i="2"/>
  <c r="K982" i="2"/>
  <c r="J982" i="2"/>
  <c r="M982" i="2" s="1"/>
  <c r="S981" i="2"/>
  <c r="Q981" i="2"/>
  <c r="P981" i="2"/>
  <c r="O981" i="2"/>
  <c r="M981" i="2"/>
  <c r="L981" i="2"/>
  <c r="K981" i="2"/>
  <c r="K1154" i="2" s="1"/>
  <c r="S980" i="2"/>
  <c r="Q980" i="2"/>
  <c r="P980" i="2"/>
  <c r="O980" i="2"/>
  <c r="N980" i="2"/>
  <c r="M980" i="2"/>
  <c r="L980" i="2"/>
  <c r="J980" i="2"/>
  <c r="H980" i="2"/>
  <c r="S979" i="2"/>
  <c r="Q979" i="2"/>
  <c r="P979" i="2"/>
  <c r="O979" i="2"/>
  <c r="N979" i="2"/>
  <c r="M979" i="2"/>
  <c r="L979" i="2"/>
  <c r="J979" i="2"/>
  <c r="H979" i="2"/>
  <c r="S978" i="2"/>
  <c r="Q978" i="2"/>
  <c r="P978" i="2"/>
  <c r="O978" i="2"/>
  <c r="N978" i="2"/>
  <c r="M978" i="2"/>
  <c r="L978" i="2"/>
  <c r="K978" i="2"/>
  <c r="J978" i="2"/>
  <c r="S977" i="2"/>
  <c r="Q977" i="2"/>
  <c r="P977" i="2"/>
  <c r="O977" i="2"/>
  <c r="N977" i="2"/>
  <c r="M977" i="2"/>
  <c r="L977" i="2"/>
  <c r="K977" i="2"/>
  <c r="J977" i="2"/>
  <c r="S976" i="2"/>
  <c r="Q976" i="2"/>
  <c r="P976" i="2"/>
  <c r="O976" i="2"/>
  <c r="N976" i="2"/>
  <c r="M976" i="2"/>
  <c r="L976" i="2"/>
  <c r="K976" i="2"/>
  <c r="S975" i="2"/>
  <c r="Q975" i="2"/>
  <c r="P975" i="2"/>
  <c r="O975" i="2"/>
  <c r="N975" i="2"/>
  <c r="M975" i="2"/>
  <c r="L975" i="2"/>
  <c r="J975" i="2"/>
  <c r="H975" i="2"/>
  <c r="K975" i="2" s="1"/>
  <c r="S974" i="2"/>
  <c r="Q974" i="2"/>
  <c r="P974" i="2"/>
  <c r="O974" i="2"/>
  <c r="N974" i="2"/>
  <c r="M974" i="2"/>
  <c r="L974" i="2"/>
  <c r="J974" i="2"/>
  <c r="K974" i="2" s="1"/>
  <c r="H974" i="2"/>
  <c r="S973" i="2"/>
  <c r="Q973" i="2"/>
  <c r="P973" i="2"/>
  <c r="O973" i="2"/>
  <c r="N973" i="2"/>
  <c r="L973" i="2"/>
  <c r="K973" i="2"/>
  <c r="J973" i="2"/>
  <c r="M973" i="2" s="1"/>
  <c r="S972" i="2"/>
  <c r="Q972" i="2"/>
  <c r="P972" i="2"/>
  <c r="O972" i="2"/>
  <c r="M972" i="2"/>
  <c r="L972" i="2"/>
  <c r="K972" i="2"/>
  <c r="J972" i="2"/>
  <c r="N972" i="2" s="1"/>
  <c r="S971" i="2"/>
  <c r="Q971" i="2"/>
  <c r="P971" i="2"/>
  <c r="O971" i="2"/>
  <c r="N971" i="2"/>
  <c r="M971" i="2"/>
  <c r="L971" i="2"/>
  <c r="K971" i="2"/>
  <c r="S970" i="2"/>
  <c r="Q970" i="2"/>
  <c r="P970" i="2"/>
  <c r="O970" i="2"/>
  <c r="N970" i="2"/>
  <c r="M970" i="2"/>
  <c r="L970" i="2"/>
  <c r="J970" i="2"/>
  <c r="H970" i="2"/>
  <c r="K970" i="2" s="1"/>
  <c r="S969" i="2"/>
  <c r="Q969" i="2"/>
  <c r="P969" i="2"/>
  <c r="O969" i="2"/>
  <c r="N969" i="2"/>
  <c r="M969" i="2"/>
  <c r="L969" i="2"/>
  <c r="J969" i="2"/>
  <c r="H969" i="2"/>
  <c r="K969" i="2" s="1"/>
  <c r="S968" i="2"/>
  <c r="Q968" i="2"/>
  <c r="P968" i="2"/>
  <c r="O968" i="2"/>
  <c r="N968" i="2"/>
  <c r="L968" i="2"/>
  <c r="M968" i="2"/>
  <c r="S967" i="2"/>
  <c r="Q967" i="2"/>
  <c r="P967" i="2"/>
  <c r="O967" i="2"/>
  <c r="M967" i="2"/>
  <c r="L967" i="2"/>
  <c r="K967" i="2"/>
  <c r="J967" i="2"/>
  <c r="N967" i="2" s="1"/>
  <c r="S966" i="2"/>
  <c r="Q966" i="2"/>
  <c r="P966" i="2"/>
  <c r="O966" i="2"/>
  <c r="N966" i="2"/>
  <c r="M966" i="2"/>
  <c r="L966" i="2"/>
  <c r="K966" i="2"/>
  <c r="S965" i="2"/>
  <c r="Q965" i="2"/>
  <c r="P965" i="2"/>
  <c r="O965" i="2"/>
  <c r="N965" i="2"/>
  <c r="M965" i="2"/>
  <c r="L965" i="2"/>
  <c r="J965" i="2"/>
  <c r="K965" i="2" s="1"/>
  <c r="H965" i="2"/>
  <c r="S964" i="2"/>
  <c r="Q964" i="2"/>
  <c r="P964" i="2"/>
  <c r="O964" i="2"/>
  <c r="N964" i="2"/>
  <c r="M964" i="2"/>
  <c r="L964" i="2"/>
  <c r="K964" i="2"/>
  <c r="J964" i="2"/>
  <c r="H964" i="2"/>
  <c r="S963" i="2"/>
  <c r="Q963" i="2"/>
  <c r="P963" i="2"/>
  <c r="O963" i="2"/>
  <c r="N963" i="2"/>
  <c r="L963" i="2"/>
  <c r="K963" i="2"/>
  <c r="J963" i="2"/>
  <c r="M963" i="2" s="1"/>
  <c r="S962" i="2"/>
  <c r="Q962" i="2"/>
  <c r="P962" i="2"/>
  <c r="O962" i="2"/>
  <c r="M962" i="2"/>
  <c r="L962" i="2"/>
  <c r="K962" i="2"/>
  <c r="J962" i="2"/>
  <c r="N962" i="2" s="1"/>
  <c r="S961" i="2"/>
  <c r="Q961" i="2"/>
  <c r="P961" i="2"/>
  <c r="O961" i="2"/>
  <c r="N961" i="2"/>
  <c r="M961" i="2"/>
  <c r="L961" i="2"/>
  <c r="K961" i="2"/>
  <c r="S960" i="2"/>
  <c r="Q960" i="2"/>
  <c r="P960" i="2"/>
  <c r="O960" i="2"/>
  <c r="N960" i="2"/>
  <c r="M960" i="2"/>
  <c r="L960" i="2"/>
  <c r="K960" i="2"/>
  <c r="S959" i="2"/>
  <c r="Q959" i="2"/>
  <c r="P959" i="2"/>
  <c r="O959" i="2"/>
  <c r="N959" i="2"/>
  <c r="M959" i="2"/>
  <c r="L959" i="2"/>
  <c r="K959" i="2"/>
  <c r="L1152" i="2" l="1"/>
  <c r="K995" i="2"/>
  <c r="K1015" i="2"/>
  <c r="K1062" i="2"/>
  <c r="K980" i="2"/>
  <c r="K1046" i="2"/>
  <c r="H1149" i="2"/>
  <c r="L1149" i="2" s="1"/>
  <c r="H1021" i="2"/>
  <c r="K1021" i="2" s="1"/>
  <c r="K1036" i="2"/>
  <c r="H1051" i="2"/>
  <c r="K1051" i="2" s="1"/>
  <c r="K1055" i="2"/>
  <c r="K1068" i="2"/>
  <c r="K1098" i="2"/>
  <c r="J1008" i="2"/>
  <c r="N1008" i="2" s="1"/>
  <c r="K1107" i="2"/>
  <c r="J1018" i="2"/>
  <c r="N1018" i="2" s="1"/>
  <c r="J1033" i="2"/>
  <c r="N1033" i="2" s="1"/>
  <c r="K1073" i="2"/>
  <c r="K1097" i="2"/>
  <c r="K1103" i="2"/>
  <c r="H1128" i="2"/>
  <c r="K1128" i="2" s="1"/>
  <c r="H1133" i="2"/>
  <c r="K1133" i="2" s="1"/>
  <c r="K979" i="2"/>
  <c r="K1035" i="2"/>
  <c r="K1088" i="2"/>
  <c r="J1053" i="2"/>
  <c r="N1053" i="2" s="1"/>
  <c r="J1131" i="2"/>
  <c r="M1131" i="2" s="1"/>
  <c r="J1135" i="2"/>
  <c r="M1135" i="2" s="1"/>
  <c r="J1126" i="2"/>
  <c r="M1126" i="2" s="1"/>
  <c r="H1010" i="2"/>
  <c r="K1010" i="2" s="1"/>
  <c r="H1122" i="2"/>
  <c r="K1122" i="2" s="1"/>
  <c r="H1123" i="2"/>
  <c r="K1123" i="2" s="1"/>
  <c r="H1142" i="2"/>
  <c r="K1142" i="2" s="1"/>
  <c r="H1143" i="2"/>
  <c r="K1143" i="2" s="1"/>
  <c r="H1148" i="2"/>
  <c r="L1148" i="2" s="1"/>
  <c r="H1153" i="2"/>
  <c r="L1153" i="2" s="1"/>
  <c r="J1043" i="2"/>
  <c r="N1043" i="2" s="1"/>
  <c r="H1045" i="2"/>
  <c r="K1045" i="2" s="1"/>
  <c r="H1137" i="2"/>
  <c r="K1137" i="2" s="1"/>
  <c r="H1138" i="2"/>
  <c r="K1138" i="2" s="1"/>
  <c r="J1048" i="2"/>
  <c r="N1048" i="2" s="1"/>
  <c r="I283" i="1"/>
  <c r="L316" i="1"/>
  <c r="I310" i="1"/>
  <c r="L310" i="1" s="1"/>
  <c r="I309" i="1"/>
  <c r="L309" i="1" s="1"/>
  <c r="I307" i="1"/>
  <c r="I304" i="1"/>
  <c r="I301" i="1"/>
  <c r="I298" i="1"/>
  <c r="L298" i="1" s="1"/>
  <c r="I289" i="1"/>
  <c r="L289" i="1" s="1"/>
  <c r="I287" i="1"/>
  <c r="I288" i="1" s="1"/>
  <c r="L288" i="1" s="1"/>
  <c r="I285" i="1"/>
  <c r="L285" i="1" s="1"/>
  <c r="I282" i="1"/>
  <c r="L282" i="1" s="1"/>
  <c r="M317" i="1" s="1"/>
  <c r="I281" i="1"/>
  <c r="L283" i="1"/>
  <c r="L284" i="1"/>
  <c r="L286" i="1"/>
  <c r="L287" i="1"/>
  <c r="L290" i="1"/>
  <c r="L291" i="1"/>
  <c r="L292" i="1"/>
  <c r="L293" i="1"/>
  <c r="L294" i="1"/>
  <c r="L295" i="1"/>
  <c r="L296" i="1"/>
  <c r="L297" i="1"/>
  <c r="L299" i="1"/>
  <c r="L300" i="1"/>
  <c r="L301" i="1"/>
  <c r="L302" i="1"/>
  <c r="L303" i="1"/>
  <c r="L304" i="1"/>
  <c r="L305" i="1"/>
  <c r="L306" i="1"/>
  <c r="L307" i="1"/>
  <c r="L308" i="1"/>
  <c r="L311" i="1"/>
  <c r="L312" i="1"/>
  <c r="L313" i="1"/>
  <c r="L314" i="1"/>
  <c r="L315" i="1"/>
  <c r="L281" i="1"/>
  <c r="L249" i="1"/>
  <c r="L250" i="1"/>
  <c r="L253" i="1"/>
  <c r="L254" i="1"/>
  <c r="L255" i="1"/>
  <c r="L256" i="1"/>
  <c r="L257" i="1"/>
  <c r="L258" i="1"/>
  <c r="L259" i="1"/>
  <c r="L260" i="1"/>
  <c r="L261" i="1"/>
  <c r="L262" i="1"/>
  <c r="L272" i="1"/>
  <c r="L273" i="1"/>
  <c r="L274" i="1"/>
  <c r="L275" i="1"/>
  <c r="L276" i="1"/>
  <c r="L277" i="1"/>
  <c r="L248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21" i="1"/>
  <c r="I271" i="1"/>
  <c r="L271" i="1" s="1"/>
  <c r="I270" i="1"/>
  <c r="L270" i="1" s="1"/>
  <c r="I269" i="1"/>
  <c r="L269" i="1" s="1"/>
  <c r="I268" i="1"/>
  <c r="L268" i="1" s="1"/>
  <c r="I267" i="1"/>
  <c r="L267" i="1" s="1"/>
  <c r="I266" i="1"/>
  <c r="L266" i="1" s="1"/>
  <c r="I265" i="1"/>
  <c r="L265" i="1" s="1"/>
  <c r="I264" i="1"/>
  <c r="L264" i="1" s="1"/>
  <c r="I263" i="1"/>
  <c r="L263" i="1" s="1"/>
  <c r="I262" i="1"/>
  <c r="I252" i="1"/>
  <c r="L252" i="1" s="1"/>
  <c r="I251" i="1"/>
  <c r="L251" i="1" s="1"/>
  <c r="O220" i="1"/>
  <c r="N220" i="1"/>
  <c r="M220" i="1"/>
  <c r="L220" i="1"/>
  <c r="K220" i="1"/>
  <c r="S219" i="1"/>
  <c r="P219" i="1"/>
  <c r="O219" i="1"/>
  <c r="N219" i="1"/>
  <c r="M244" i="1" l="1"/>
  <c r="M278" i="1"/>
  <c r="J506" i="1" l="1"/>
  <c r="I506" i="1"/>
  <c r="J504" i="1"/>
  <c r="I504" i="1"/>
  <c r="K321" i="1"/>
  <c r="L321" i="1" s="1"/>
  <c r="K322" i="1"/>
  <c r="L322" i="1" s="1"/>
  <c r="K323" i="1"/>
  <c r="L323" i="1" s="1"/>
  <c r="K324" i="1"/>
  <c r="L324" i="1"/>
  <c r="K325" i="1"/>
  <c r="L325" i="1" s="1"/>
  <c r="K326" i="1"/>
  <c r="L326" i="1" s="1"/>
  <c r="L506" i="1" l="1"/>
  <c r="M506" i="1"/>
  <c r="L504" i="1"/>
  <c r="M504" i="1"/>
  <c r="P958" i="2"/>
  <c r="O958" i="2"/>
  <c r="M958" i="2"/>
  <c r="L958" i="2"/>
  <c r="J958" i="2"/>
  <c r="H958" i="2"/>
  <c r="P957" i="2"/>
  <c r="O957" i="2"/>
  <c r="M957" i="2"/>
  <c r="L957" i="2"/>
  <c r="J957" i="2"/>
  <c r="H957" i="2"/>
  <c r="M956" i="2"/>
  <c r="L956" i="2"/>
  <c r="K956" i="2"/>
  <c r="J956" i="2"/>
  <c r="O956" i="2" s="1"/>
  <c r="P955" i="2"/>
  <c r="M955" i="2"/>
  <c r="L955" i="2"/>
  <c r="K955" i="2"/>
  <c r="J955" i="2"/>
  <c r="O955" i="2" s="1"/>
  <c r="P954" i="2"/>
  <c r="O954" i="2"/>
  <c r="M954" i="2"/>
  <c r="L954" i="2"/>
  <c r="K954" i="2"/>
  <c r="P953" i="2"/>
  <c r="O953" i="2"/>
  <c r="M953" i="2"/>
  <c r="L953" i="2"/>
  <c r="J953" i="2"/>
  <c r="H953" i="2"/>
  <c r="P952" i="2"/>
  <c r="O952" i="2"/>
  <c r="M952" i="2"/>
  <c r="L952" i="2"/>
  <c r="J952" i="2"/>
  <c r="H952" i="2"/>
  <c r="P951" i="2"/>
  <c r="M951" i="2"/>
  <c r="L951" i="2"/>
  <c r="K951" i="2"/>
  <c r="J951" i="2"/>
  <c r="O951" i="2" s="1"/>
  <c r="P950" i="2"/>
  <c r="O950" i="2"/>
  <c r="M950" i="2"/>
  <c r="L950" i="2"/>
  <c r="K950" i="2"/>
  <c r="P949" i="2"/>
  <c r="O949" i="2"/>
  <c r="M949" i="2"/>
  <c r="L949" i="2"/>
  <c r="J949" i="2"/>
  <c r="H949" i="2"/>
  <c r="P948" i="2"/>
  <c r="O948" i="2"/>
  <c r="M948" i="2"/>
  <c r="L948" i="2"/>
  <c r="J948" i="2"/>
  <c r="H948" i="2"/>
  <c r="P947" i="2"/>
  <c r="M947" i="2"/>
  <c r="L947" i="2"/>
  <c r="K947" i="2"/>
  <c r="J947" i="2"/>
  <c r="O947" i="2" s="1"/>
  <c r="P946" i="2"/>
  <c r="O946" i="2"/>
  <c r="M946" i="2"/>
  <c r="L946" i="2"/>
  <c r="K946" i="2"/>
  <c r="P945" i="2"/>
  <c r="O945" i="2"/>
  <c r="M945" i="2"/>
  <c r="L945" i="2"/>
  <c r="J945" i="2"/>
  <c r="H945" i="2"/>
  <c r="P944" i="2"/>
  <c r="O944" i="2"/>
  <c r="M944" i="2"/>
  <c r="L944" i="2"/>
  <c r="J944" i="2"/>
  <c r="H944" i="2"/>
  <c r="P943" i="2"/>
  <c r="M943" i="2"/>
  <c r="L943" i="2"/>
  <c r="K943" i="2"/>
  <c r="J943" i="2"/>
  <c r="O943" i="2" s="1"/>
  <c r="P942" i="2"/>
  <c r="O942" i="2"/>
  <c r="M942" i="2"/>
  <c r="L942" i="2"/>
  <c r="K942" i="2"/>
  <c r="P941" i="2"/>
  <c r="O941" i="2"/>
  <c r="M941" i="2"/>
  <c r="L941" i="2"/>
  <c r="J941" i="2"/>
  <c r="H941" i="2"/>
  <c r="P940" i="2"/>
  <c r="O940" i="2"/>
  <c r="M940" i="2"/>
  <c r="L940" i="2"/>
  <c r="J940" i="2"/>
  <c r="H940" i="2"/>
  <c r="M939" i="2"/>
  <c r="L939" i="2"/>
  <c r="K939" i="2"/>
  <c r="J939" i="2"/>
  <c r="O939" i="2" s="1"/>
  <c r="P938" i="2"/>
  <c r="M938" i="2"/>
  <c r="L938" i="2"/>
  <c r="K938" i="2"/>
  <c r="J938" i="2"/>
  <c r="O938" i="2" s="1"/>
  <c r="P937" i="2"/>
  <c r="O937" i="2"/>
  <c r="M937" i="2"/>
  <c r="L937" i="2"/>
  <c r="K937" i="2"/>
  <c r="P936" i="2"/>
  <c r="O936" i="2"/>
  <c r="M936" i="2"/>
  <c r="L936" i="2"/>
  <c r="K936" i="2"/>
  <c r="P935" i="2"/>
  <c r="O935" i="2"/>
  <c r="M935" i="2"/>
  <c r="L935" i="2"/>
  <c r="J935" i="2"/>
  <c r="H935" i="2"/>
  <c r="O934" i="2"/>
  <c r="M934" i="2"/>
  <c r="L934" i="2"/>
  <c r="J934" i="2"/>
  <c r="H934" i="2"/>
  <c r="P933" i="2"/>
  <c r="M933" i="2"/>
  <c r="L933" i="2"/>
  <c r="K933" i="2"/>
  <c r="J933" i="2"/>
  <c r="O933" i="2" s="1"/>
  <c r="P932" i="2"/>
  <c r="O932" i="2"/>
  <c r="M932" i="2"/>
  <c r="L932" i="2"/>
  <c r="K932" i="2"/>
  <c r="P931" i="2"/>
  <c r="O931" i="2"/>
  <c r="M931" i="2"/>
  <c r="L931" i="2"/>
  <c r="J931" i="2"/>
  <c r="H931" i="2"/>
  <c r="O930" i="2"/>
  <c r="M930" i="2"/>
  <c r="L930" i="2"/>
  <c r="J930" i="2"/>
  <c r="H930" i="2"/>
  <c r="P929" i="2"/>
  <c r="M929" i="2"/>
  <c r="L929" i="2"/>
  <c r="K929" i="2"/>
  <c r="J929" i="2"/>
  <c r="O929" i="2" s="1"/>
  <c r="S928" i="2"/>
  <c r="Q928" i="2"/>
  <c r="P928" i="2"/>
  <c r="O928" i="2"/>
  <c r="N928" i="2"/>
  <c r="M928" i="2"/>
  <c r="L928" i="2"/>
  <c r="K928" i="2"/>
  <c r="S927" i="2"/>
  <c r="Q927" i="2"/>
  <c r="P927" i="2"/>
  <c r="O927" i="2"/>
  <c r="N927" i="2"/>
  <c r="M927" i="2"/>
  <c r="L927" i="2"/>
  <c r="J927" i="2"/>
  <c r="H927" i="2"/>
  <c r="O926" i="2"/>
  <c r="M926" i="2"/>
  <c r="L926" i="2"/>
  <c r="J926" i="2"/>
  <c r="H926" i="2"/>
  <c r="P925" i="2"/>
  <c r="M925" i="2"/>
  <c r="L925" i="2"/>
  <c r="J925" i="2"/>
  <c r="O925" i="2" s="1"/>
  <c r="S924" i="2"/>
  <c r="Q924" i="2"/>
  <c r="P924" i="2"/>
  <c r="O924" i="2"/>
  <c r="N924" i="2"/>
  <c r="M924" i="2"/>
  <c r="L924" i="2"/>
  <c r="K924" i="2"/>
  <c r="S923" i="2"/>
  <c r="Q923" i="2"/>
  <c r="P923" i="2"/>
  <c r="O923" i="2"/>
  <c r="N923" i="2"/>
  <c r="M923" i="2"/>
  <c r="L923" i="2"/>
  <c r="J923" i="2"/>
  <c r="H923" i="2"/>
  <c r="S922" i="2"/>
  <c r="Q922" i="2"/>
  <c r="P922" i="2"/>
  <c r="O922" i="2"/>
  <c r="N922" i="2"/>
  <c r="M922" i="2"/>
  <c r="L922" i="2"/>
  <c r="J922" i="2"/>
  <c r="H922" i="2"/>
  <c r="P921" i="2"/>
  <c r="M921" i="2"/>
  <c r="L921" i="2"/>
  <c r="J921" i="2"/>
  <c r="O921" i="2" s="1"/>
  <c r="S920" i="2"/>
  <c r="Q920" i="2"/>
  <c r="P920" i="2"/>
  <c r="O920" i="2"/>
  <c r="N920" i="2"/>
  <c r="M920" i="2"/>
  <c r="L920" i="2"/>
  <c r="K920" i="2"/>
  <c r="S919" i="2"/>
  <c r="Q919" i="2"/>
  <c r="P919" i="2"/>
  <c r="O919" i="2"/>
  <c r="N919" i="2"/>
  <c r="M919" i="2"/>
  <c r="L919" i="2"/>
  <c r="J919" i="2"/>
  <c r="H919" i="2"/>
  <c r="S918" i="2"/>
  <c r="Q918" i="2"/>
  <c r="P918" i="2"/>
  <c r="O918" i="2"/>
  <c r="N918" i="2"/>
  <c r="M918" i="2"/>
  <c r="L918" i="2"/>
  <c r="J918" i="2"/>
  <c r="H918" i="2"/>
  <c r="P917" i="2"/>
  <c r="M917" i="2"/>
  <c r="L917" i="2"/>
  <c r="J917" i="2"/>
  <c r="O917" i="2" s="1"/>
  <c r="S916" i="2"/>
  <c r="Q916" i="2"/>
  <c r="P916" i="2"/>
  <c r="O916" i="2"/>
  <c r="N916" i="2"/>
  <c r="M916" i="2"/>
  <c r="L916" i="2"/>
  <c r="K916" i="2"/>
  <c r="S915" i="2"/>
  <c r="Q915" i="2"/>
  <c r="P915" i="2"/>
  <c r="O915" i="2"/>
  <c r="N915" i="2"/>
  <c r="M915" i="2"/>
  <c r="L915" i="2"/>
  <c r="J915" i="2"/>
  <c r="H915" i="2"/>
  <c r="S914" i="2"/>
  <c r="Q914" i="2"/>
  <c r="P914" i="2"/>
  <c r="O914" i="2"/>
  <c r="N914" i="2"/>
  <c r="M914" i="2"/>
  <c r="L914" i="2"/>
  <c r="J914" i="2"/>
  <c r="H914" i="2"/>
  <c r="P913" i="2"/>
  <c r="M913" i="2"/>
  <c r="L913" i="2"/>
  <c r="J913" i="2"/>
  <c r="O913" i="2" s="1"/>
  <c r="S912" i="2"/>
  <c r="Q912" i="2"/>
  <c r="P912" i="2"/>
  <c r="O912" i="2"/>
  <c r="N912" i="2"/>
  <c r="M912" i="2"/>
  <c r="L912" i="2"/>
  <c r="K912" i="2"/>
  <c r="S911" i="2"/>
  <c r="Q911" i="2"/>
  <c r="P911" i="2"/>
  <c r="O911" i="2"/>
  <c r="N911" i="2"/>
  <c r="M911" i="2"/>
  <c r="L911" i="2"/>
  <c r="J911" i="2"/>
  <c r="H911" i="2"/>
  <c r="S910" i="2"/>
  <c r="Q910" i="2"/>
  <c r="P910" i="2"/>
  <c r="O910" i="2"/>
  <c r="N910" i="2"/>
  <c r="M910" i="2"/>
  <c r="L910" i="2"/>
  <c r="J910" i="2"/>
  <c r="H910" i="2"/>
  <c r="M909" i="2"/>
  <c r="L909" i="2"/>
  <c r="J909" i="2"/>
  <c r="O909" i="2" s="1"/>
  <c r="P908" i="2"/>
  <c r="M908" i="2"/>
  <c r="L908" i="2"/>
  <c r="J908" i="2"/>
  <c r="O908" i="2" s="1"/>
  <c r="S907" i="2"/>
  <c r="Q907" i="2"/>
  <c r="P907" i="2"/>
  <c r="O907" i="2"/>
  <c r="N907" i="2"/>
  <c r="M907" i="2"/>
  <c r="L907" i="2"/>
  <c r="K907" i="2"/>
  <c r="S906" i="2"/>
  <c r="Q906" i="2"/>
  <c r="P906" i="2"/>
  <c r="O906" i="2"/>
  <c r="N906" i="2"/>
  <c r="M906" i="2"/>
  <c r="L906" i="2"/>
  <c r="J906" i="2"/>
  <c r="H906" i="2"/>
  <c r="S905" i="2"/>
  <c r="Q905" i="2"/>
  <c r="P905" i="2"/>
  <c r="O905" i="2"/>
  <c r="N905" i="2"/>
  <c r="M905" i="2"/>
  <c r="L905" i="2"/>
  <c r="J905" i="2"/>
  <c r="H905" i="2"/>
  <c r="P904" i="2"/>
  <c r="M904" i="2"/>
  <c r="L904" i="2"/>
  <c r="J904" i="2"/>
  <c r="O904" i="2" s="1"/>
  <c r="S903" i="2"/>
  <c r="Q903" i="2"/>
  <c r="P903" i="2"/>
  <c r="O903" i="2"/>
  <c r="N903" i="2"/>
  <c r="M903" i="2"/>
  <c r="L903" i="2"/>
  <c r="K903" i="2"/>
  <c r="S902" i="2"/>
  <c r="Q902" i="2"/>
  <c r="P902" i="2"/>
  <c r="O902" i="2"/>
  <c r="N902" i="2"/>
  <c r="M902" i="2"/>
  <c r="L902" i="2"/>
  <c r="J902" i="2"/>
  <c r="H902" i="2"/>
  <c r="S901" i="2"/>
  <c r="Q901" i="2"/>
  <c r="P901" i="2"/>
  <c r="O901" i="2"/>
  <c r="N901" i="2"/>
  <c r="M901" i="2"/>
  <c r="L901" i="2"/>
  <c r="J901" i="2"/>
  <c r="H901" i="2"/>
  <c r="M900" i="2"/>
  <c r="L900" i="2"/>
  <c r="J900" i="2"/>
  <c r="O900" i="2" s="1"/>
  <c r="P899" i="2"/>
  <c r="M899" i="2"/>
  <c r="L899" i="2"/>
  <c r="J899" i="2"/>
  <c r="O899" i="2" s="1"/>
  <c r="S898" i="2"/>
  <c r="Q898" i="2"/>
  <c r="P898" i="2"/>
  <c r="O898" i="2"/>
  <c r="N898" i="2"/>
  <c r="M898" i="2"/>
  <c r="L898" i="2"/>
  <c r="K898" i="2"/>
  <c r="S897" i="2"/>
  <c r="Q897" i="2"/>
  <c r="P897" i="2"/>
  <c r="O897" i="2"/>
  <c r="N897" i="2"/>
  <c r="M897" i="2"/>
  <c r="L897" i="2"/>
  <c r="J897" i="2"/>
  <c r="H897" i="2"/>
  <c r="S896" i="2"/>
  <c r="Q896" i="2"/>
  <c r="P896" i="2"/>
  <c r="O896" i="2"/>
  <c r="N896" i="2"/>
  <c r="M896" i="2"/>
  <c r="L896" i="2"/>
  <c r="J896" i="2"/>
  <c r="H896" i="2"/>
  <c r="P895" i="2"/>
  <c r="M895" i="2"/>
  <c r="L895" i="2"/>
  <c r="J895" i="2"/>
  <c r="O895" i="2" s="1"/>
  <c r="S894" i="2"/>
  <c r="Q894" i="2"/>
  <c r="P894" i="2"/>
  <c r="O894" i="2"/>
  <c r="N894" i="2"/>
  <c r="M894" i="2"/>
  <c r="L894" i="2"/>
  <c r="K894" i="2"/>
  <c r="S893" i="2"/>
  <c r="Q893" i="2"/>
  <c r="P893" i="2"/>
  <c r="O893" i="2"/>
  <c r="N893" i="2"/>
  <c r="M893" i="2"/>
  <c r="L893" i="2"/>
  <c r="J893" i="2"/>
  <c r="H893" i="2"/>
  <c r="S892" i="2"/>
  <c r="Q892" i="2"/>
  <c r="P892" i="2"/>
  <c r="O892" i="2"/>
  <c r="N892" i="2"/>
  <c r="M892" i="2"/>
  <c r="L892" i="2"/>
  <c r="J892" i="2"/>
  <c r="H892" i="2"/>
  <c r="P891" i="2"/>
  <c r="M891" i="2"/>
  <c r="L891" i="2"/>
  <c r="J891" i="2"/>
  <c r="O891" i="2" s="1"/>
  <c r="P890" i="2"/>
  <c r="M890" i="2"/>
  <c r="L890" i="2"/>
  <c r="J890" i="2"/>
  <c r="O890" i="2" s="1"/>
  <c r="S889" i="2"/>
  <c r="Q889" i="2"/>
  <c r="P889" i="2"/>
  <c r="O889" i="2"/>
  <c r="N889" i="2"/>
  <c r="M889" i="2"/>
  <c r="L889" i="2"/>
  <c r="K889" i="2"/>
  <c r="S888" i="2"/>
  <c r="Q888" i="2"/>
  <c r="P888" i="2"/>
  <c r="O888" i="2"/>
  <c r="N888" i="2"/>
  <c r="M888" i="2"/>
  <c r="L888" i="2"/>
  <c r="J888" i="2"/>
  <c r="H888" i="2"/>
  <c r="S887" i="2"/>
  <c r="Q887" i="2"/>
  <c r="P887" i="2"/>
  <c r="O887" i="2"/>
  <c r="N887" i="2"/>
  <c r="M887" i="2"/>
  <c r="L887" i="2"/>
  <c r="J887" i="2"/>
  <c r="H887" i="2"/>
  <c r="P886" i="2"/>
  <c r="M886" i="2"/>
  <c r="L886" i="2"/>
  <c r="J886" i="2"/>
  <c r="O886" i="2" s="1"/>
  <c r="P885" i="2"/>
  <c r="M885" i="2"/>
  <c r="L885" i="2"/>
  <c r="J885" i="2"/>
  <c r="O885" i="2" s="1"/>
  <c r="S884" i="2"/>
  <c r="Q884" i="2"/>
  <c r="P884" i="2"/>
  <c r="O884" i="2"/>
  <c r="N884" i="2"/>
  <c r="M884" i="2"/>
  <c r="L884" i="2"/>
  <c r="K884" i="2"/>
  <c r="S883" i="2"/>
  <c r="Q883" i="2"/>
  <c r="P883" i="2"/>
  <c r="O883" i="2"/>
  <c r="N883" i="2"/>
  <c r="M883" i="2"/>
  <c r="L883" i="2"/>
  <c r="J883" i="2"/>
  <c r="H883" i="2"/>
  <c r="S882" i="2"/>
  <c r="Q882" i="2"/>
  <c r="P882" i="2"/>
  <c r="O882" i="2"/>
  <c r="N882" i="2"/>
  <c r="M882" i="2"/>
  <c r="L882" i="2"/>
  <c r="J882" i="2"/>
  <c r="H882" i="2"/>
  <c r="M881" i="2"/>
  <c r="L881" i="2"/>
  <c r="J881" i="2"/>
  <c r="O881" i="2" s="1"/>
  <c r="P880" i="2"/>
  <c r="M880" i="2"/>
  <c r="L880" i="2"/>
  <c r="J880" i="2"/>
  <c r="O880" i="2" s="1"/>
  <c r="S879" i="2"/>
  <c r="Q879" i="2"/>
  <c r="P879" i="2"/>
  <c r="O879" i="2"/>
  <c r="N879" i="2"/>
  <c r="M879" i="2"/>
  <c r="L879" i="2"/>
  <c r="S878" i="2"/>
  <c r="Q878" i="2"/>
  <c r="P878" i="2"/>
  <c r="O878" i="2"/>
  <c r="N878" i="2"/>
  <c r="M878" i="2"/>
  <c r="L878" i="2"/>
  <c r="J878" i="2"/>
  <c r="H878" i="2"/>
  <c r="P877" i="2"/>
  <c r="O877" i="2"/>
  <c r="M877" i="2"/>
  <c r="L877" i="2"/>
  <c r="J877" i="2"/>
  <c r="H877" i="2"/>
  <c r="M876" i="2"/>
  <c r="L876" i="2"/>
  <c r="J876" i="2"/>
  <c r="O876" i="2" s="1"/>
  <c r="S875" i="2"/>
  <c r="Q875" i="2"/>
  <c r="P875" i="2"/>
  <c r="N875" i="2"/>
  <c r="M875" i="2"/>
  <c r="L875" i="2"/>
  <c r="J875" i="2"/>
  <c r="O875" i="2" s="1"/>
  <c r="S874" i="2"/>
  <c r="Q874" i="2"/>
  <c r="P874" i="2"/>
  <c r="O874" i="2"/>
  <c r="N874" i="2"/>
  <c r="M874" i="2"/>
  <c r="L874" i="2"/>
  <c r="K874" i="2"/>
  <c r="S873" i="2"/>
  <c r="Q873" i="2"/>
  <c r="P873" i="2"/>
  <c r="O873" i="2"/>
  <c r="N873" i="2"/>
  <c r="M873" i="2"/>
  <c r="L873" i="2"/>
  <c r="J873" i="2"/>
  <c r="H873" i="2"/>
  <c r="S872" i="2"/>
  <c r="Q872" i="2"/>
  <c r="P872" i="2"/>
  <c r="O872" i="2"/>
  <c r="N872" i="2"/>
  <c r="M872" i="2"/>
  <c r="L872" i="2"/>
  <c r="J872" i="2"/>
  <c r="H872" i="2"/>
  <c r="M871" i="2"/>
  <c r="L871" i="2"/>
  <c r="J871" i="2"/>
  <c r="P870" i="2"/>
  <c r="M870" i="2"/>
  <c r="L870" i="2"/>
  <c r="J870" i="2"/>
  <c r="S869" i="2"/>
  <c r="Q869" i="2"/>
  <c r="P869" i="2"/>
  <c r="O869" i="2"/>
  <c r="N869" i="2"/>
  <c r="M869" i="2"/>
  <c r="L869" i="2"/>
  <c r="K869" i="2"/>
  <c r="S868" i="2"/>
  <c r="Q868" i="2"/>
  <c r="P868" i="2"/>
  <c r="O868" i="2"/>
  <c r="N868" i="2"/>
  <c r="M868" i="2"/>
  <c r="L868" i="2"/>
  <c r="J868" i="2"/>
  <c r="H868" i="2"/>
  <c r="P867" i="2"/>
  <c r="M867" i="2"/>
  <c r="L867" i="2"/>
  <c r="J867" i="2"/>
  <c r="H867" i="2"/>
  <c r="M866" i="2"/>
  <c r="L866" i="2"/>
  <c r="J866" i="2"/>
  <c r="S865" i="2"/>
  <c r="Q865" i="2"/>
  <c r="P865" i="2"/>
  <c r="N865" i="2"/>
  <c r="M865" i="2"/>
  <c r="L865" i="2"/>
  <c r="K865" i="2"/>
  <c r="J865" i="2"/>
  <c r="O865" i="2" s="1"/>
  <c r="S864" i="2"/>
  <c r="Q864" i="2"/>
  <c r="P864" i="2"/>
  <c r="O864" i="2"/>
  <c r="N864" i="2"/>
  <c r="M864" i="2"/>
  <c r="L864" i="2"/>
  <c r="K864" i="2"/>
  <c r="S863" i="2"/>
  <c r="Q863" i="2"/>
  <c r="P863" i="2"/>
  <c r="O863" i="2"/>
  <c r="N863" i="2"/>
  <c r="M863" i="2"/>
  <c r="L863" i="2"/>
  <c r="J863" i="2"/>
  <c r="H863" i="2"/>
  <c r="S862" i="2"/>
  <c r="Q862" i="2"/>
  <c r="P862" i="2"/>
  <c r="O862" i="2"/>
  <c r="N862" i="2"/>
  <c r="M862" i="2"/>
  <c r="L862" i="2"/>
  <c r="J862" i="2"/>
  <c r="H862" i="2"/>
  <c r="M861" i="2"/>
  <c r="L861" i="2"/>
  <c r="J861" i="2"/>
  <c r="S860" i="2"/>
  <c r="Q860" i="2"/>
  <c r="P860" i="2"/>
  <c r="N860" i="2"/>
  <c r="M860" i="2"/>
  <c r="L860" i="2"/>
  <c r="K860" i="2"/>
  <c r="J860" i="2"/>
  <c r="O860" i="2" s="1"/>
  <c r="S859" i="2"/>
  <c r="Q859" i="2"/>
  <c r="P859" i="2"/>
  <c r="O859" i="2"/>
  <c r="N859" i="2"/>
  <c r="M859" i="2"/>
  <c r="L859" i="2"/>
  <c r="K859" i="2"/>
  <c r="S858" i="2"/>
  <c r="Q858" i="2"/>
  <c r="P858" i="2"/>
  <c r="O858" i="2"/>
  <c r="N858" i="2"/>
  <c r="M858" i="2"/>
  <c r="L858" i="2"/>
  <c r="K858" i="2"/>
  <c r="S857" i="2"/>
  <c r="Q857" i="2"/>
  <c r="P857" i="2"/>
  <c r="O857" i="2"/>
  <c r="N857" i="2"/>
  <c r="M857" i="2"/>
  <c r="L857" i="2"/>
  <c r="K857" i="2"/>
  <c r="S856" i="2"/>
  <c r="Q856" i="2"/>
  <c r="P856" i="2"/>
  <c r="O856" i="2"/>
  <c r="M856" i="2"/>
  <c r="L856" i="2"/>
  <c r="K856" i="2"/>
  <c r="J856" i="2"/>
  <c r="N856" i="2" s="1"/>
  <c r="S855" i="2"/>
  <c r="Q855" i="2"/>
  <c r="P855" i="2"/>
  <c r="O855" i="2"/>
  <c r="M855" i="2"/>
  <c r="L855" i="2"/>
  <c r="K855" i="2"/>
  <c r="J855" i="2"/>
  <c r="N855" i="2" s="1"/>
  <c r="S854" i="2"/>
  <c r="Q854" i="2"/>
  <c r="P854" i="2"/>
  <c r="O854" i="2"/>
  <c r="N854" i="2"/>
  <c r="M854" i="2"/>
  <c r="L854" i="2"/>
  <c r="K854" i="2"/>
  <c r="S853" i="2"/>
  <c r="Q853" i="2"/>
  <c r="P853" i="2"/>
  <c r="O853" i="2"/>
  <c r="M853" i="2"/>
  <c r="L853" i="2"/>
  <c r="K853" i="2"/>
  <c r="J853" i="2"/>
  <c r="N853" i="2" s="1"/>
  <c r="S852" i="2"/>
  <c r="Q852" i="2"/>
  <c r="P852" i="2"/>
  <c r="O852" i="2"/>
  <c r="M852" i="2"/>
  <c r="L852" i="2"/>
  <c r="K852" i="2"/>
  <c r="J852" i="2"/>
  <c r="N852" i="2" s="1"/>
  <c r="S851" i="2"/>
  <c r="Q851" i="2"/>
  <c r="P851" i="2"/>
  <c r="O851" i="2"/>
  <c r="N851" i="2"/>
  <c r="M851" i="2"/>
  <c r="L851" i="2"/>
  <c r="K851" i="2"/>
  <c r="S850" i="2"/>
  <c r="Q850" i="2"/>
  <c r="P850" i="2"/>
  <c r="O850" i="2"/>
  <c r="M850" i="2"/>
  <c r="L850" i="2"/>
  <c r="K850" i="2"/>
  <c r="J850" i="2"/>
  <c r="N850" i="2" s="1"/>
  <c r="S849" i="2"/>
  <c r="Q849" i="2"/>
  <c r="P849" i="2"/>
  <c r="O849" i="2"/>
  <c r="M849" i="2"/>
  <c r="L849" i="2"/>
  <c r="K849" i="2"/>
  <c r="J849" i="2"/>
  <c r="N849" i="2" s="1"/>
  <c r="S848" i="2"/>
  <c r="Q848" i="2"/>
  <c r="P848" i="2"/>
  <c r="O848" i="2"/>
  <c r="N848" i="2"/>
  <c r="M848" i="2"/>
  <c r="L848" i="2"/>
  <c r="K848" i="2"/>
  <c r="S847" i="2"/>
  <c r="Q847" i="2"/>
  <c r="P847" i="2"/>
  <c r="O847" i="2"/>
  <c r="M847" i="2"/>
  <c r="L847" i="2"/>
  <c r="K847" i="2"/>
  <c r="J847" i="2"/>
  <c r="N847" i="2" s="1"/>
  <c r="S846" i="2"/>
  <c r="Q846" i="2"/>
  <c r="P846" i="2"/>
  <c r="O846" i="2"/>
  <c r="M846" i="2"/>
  <c r="L846" i="2"/>
  <c r="K846" i="2"/>
  <c r="J846" i="2"/>
  <c r="N846" i="2" s="1"/>
  <c r="S845" i="2"/>
  <c r="Q845" i="2"/>
  <c r="P845" i="2"/>
  <c r="O845" i="2"/>
  <c r="N845" i="2"/>
  <c r="M845" i="2"/>
  <c r="L845" i="2"/>
  <c r="K845" i="2"/>
  <c r="S844" i="2"/>
  <c r="Q844" i="2"/>
  <c r="P844" i="2"/>
  <c r="O844" i="2"/>
  <c r="M844" i="2"/>
  <c r="L844" i="2"/>
  <c r="K844" i="2"/>
  <c r="J844" i="2"/>
  <c r="N844" i="2" s="1"/>
  <c r="S843" i="2"/>
  <c r="R843" i="2"/>
  <c r="Q843" i="2"/>
  <c r="P843" i="2"/>
  <c r="O843" i="2"/>
  <c r="M843" i="2"/>
  <c r="L843" i="2"/>
  <c r="K843" i="2"/>
  <c r="J843" i="2"/>
  <c r="N843" i="2" s="1"/>
  <c r="S842" i="2"/>
  <c r="R842" i="2"/>
  <c r="Q842" i="2"/>
  <c r="P842" i="2"/>
  <c r="O842" i="2"/>
  <c r="N842" i="2"/>
  <c r="M842" i="2"/>
  <c r="L842" i="2"/>
  <c r="K842" i="2"/>
  <c r="S841" i="2"/>
  <c r="R841" i="2"/>
  <c r="Q841" i="2"/>
  <c r="P841" i="2"/>
  <c r="O841" i="2"/>
  <c r="M841" i="2"/>
  <c r="L841" i="2"/>
  <c r="K841" i="2"/>
  <c r="J841" i="2"/>
  <c r="N841" i="2" s="1"/>
  <c r="S840" i="2"/>
  <c r="R840" i="2"/>
  <c r="Q840" i="2"/>
  <c r="P840" i="2"/>
  <c r="O840" i="2"/>
  <c r="M840" i="2"/>
  <c r="L840" i="2"/>
  <c r="K840" i="2"/>
  <c r="J840" i="2"/>
  <c r="N840" i="2" s="1"/>
  <c r="S839" i="2"/>
  <c r="R839" i="2"/>
  <c r="Q839" i="2"/>
  <c r="P839" i="2"/>
  <c r="O839" i="2"/>
  <c r="N839" i="2"/>
  <c r="M839" i="2"/>
  <c r="L839" i="2"/>
  <c r="K839" i="2"/>
  <c r="S838" i="2"/>
  <c r="R838" i="2"/>
  <c r="Q838" i="2"/>
  <c r="P838" i="2"/>
  <c r="O838" i="2"/>
  <c r="M838" i="2"/>
  <c r="L838" i="2"/>
  <c r="K838" i="2"/>
  <c r="J838" i="2"/>
  <c r="N838" i="2" s="1"/>
  <c r="S837" i="2"/>
  <c r="R837" i="2"/>
  <c r="Q837" i="2"/>
  <c r="P837" i="2"/>
  <c r="O837" i="2"/>
  <c r="M837" i="2"/>
  <c r="L837" i="2"/>
  <c r="K837" i="2"/>
  <c r="J837" i="2"/>
  <c r="N837" i="2" s="1"/>
  <c r="S836" i="2"/>
  <c r="R836" i="2"/>
  <c r="Q836" i="2"/>
  <c r="P836" i="2"/>
  <c r="O836" i="2"/>
  <c r="N836" i="2"/>
  <c r="M836" i="2"/>
  <c r="L836" i="2"/>
  <c r="K836" i="2"/>
  <c r="S835" i="2"/>
  <c r="R835" i="2"/>
  <c r="Q835" i="2"/>
  <c r="P835" i="2"/>
  <c r="O835" i="2"/>
  <c r="M835" i="2"/>
  <c r="L835" i="2"/>
  <c r="K835" i="2"/>
  <c r="J835" i="2"/>
  <c r="N835" i="2" s="1"/>
  <c r="S834" i="2"/>
  <c r="R834" i="2"/>
  <c r="Q834" i="2"/>
  <c r="P834" i="2"/>
  <c r="O834" i="2"/>
  <c r="M834" i="2"/>
  <c r="L834" i="2"/>
  <c r="K834" i="2"/>
  <c r="J834" i="2"/>
  <c r="N834" i="2" s="1"/>
  <c r="S833" i="2"/>
  <c r="R833" i="2"/>
  <c r="Q833" i="2"/>
  <c r="P833" i="2"/>
  <c r="O833" i="2"/>
  <c r="N833" i="2"/>
  <c r="M833" i="2"/>
  <c r="L833" i="2"/>
  <c r="K833" i="2"/>
  <c r="S832" i="2"/>
  <c r="R832" i="2"/>
  <c r="Q832" i="2"/>
  <c r="P832" i="2"/>
  <c r="O832" i="2"/>
  <c r="M832" i="2"/>
  <c r="L832" i="2"/>
  <c r="K832" i="2"/>
  <c r="J832" i="2"/>
  <c r="N832" i="2" s="1"/>
  <c r="S831" i="2"/>
  <c r="R831" i="2"/>
  <c r="Q831" i="2"/>
  <c r="P831" i="2"/>
  <c r="O831" i="2"/>
  <c r="M831" i="2"/>
  <c r="L831" i="2"/>
  <c r="K831" i="2"/>
  <c r="J831" i="2"/>
  <c r="N831" i="2" s="1"/>
  <c r="S830" i="2"/>
  <c r="R830" i="2"/>
  <c r="Q830" i="2"/>
  <c r="P830" i="2"/>
  <c r="O830" i="2"/>
  <c r="N830" i="2"/>
  <c r="M830" i="2"/>
  <c r="L830" i="2"/>
  <c r="K830" i="2"/>
  <c r="S829" i="2"/>
  <c r="R829" i="2"/>
  <c r="Q829" i="2"/>
  <c r="P829" i="2"/>
  <c r="O829" i="2"/>
  <c r="M829" i="2"/>
  <c r="L829" i="2"/>
  <c r="K829" i="2"/>
  <c r="J829" i="2"/>
  <c r="N829" i="2" s="1"/>
  <c r="S828" i="2"/>
  <c r="R828" i="2"/>
  <c r="Q828" i="2"/>
  <c r="P828" i="2"/>
  <c r="O828" i="2"/>
  <c r="M828" i="2"/>
  <c r="L828" i="2"/>
  <c r="K828" i="2"/>
  <c r="J828" i="2"/>
  <c r="N828" i="2" s="1"/>
  <c r="S827" i="2"/>
  <c r="R827" i="2"/>
  <c r="Q827" i="2"/>
  <c r="P827" i="2"/>
  <c r="O827" i="2"/>
  <c r="N827" i="2"/>
  <c r="M827" i="2"/>
  <c r="L827" i="2"/>
  <c r="K827" i="2"/>
  <c r="S826" i="2"/>
  <c r="R826" i="2"/>
  <c r="Q826" i="2"/>
  <c r="P826" i="2"/>
  <c r="O826" i="2"/>
  <c r="M826" i="2"/>
  <c r="L826" i="2"/>
  <c r="K826" i="2"/>
  <c r="J826" i="2"/>
  <c r="N826" i="2" s="1"/>
  <c r="S825" i="2"/>
  <c r="R825" i="2"/>
  <c r="Q825" i="2"/>
  <c r="P825" i="2"/>
  <c r="O825" i="2"/>
  <c r="M825" i="2"/>
  <c r="L825" i="2"/>
  <c r="K825" i="2"/>
  <c r="J825" i="2"/>
  <c r="N825" i="2" s="1"/>
  <c r="S824" i="2"/>
  <c r="R824" i="2"/>
  <c r="Q824" i="2"/>
  <c r="P824" i="2"/>
  <c r="O824" i="2"/>
  <c r="N824" i="2"/>
  <c r="M824" i="2"/>
  <c r="L824" i="2"/>
  <c r="K824" i="2"/>
  <c r="S823" i="2"/>
  <c r="R823" i="2"/>
  <c r="Q823" i="2"/>
  <c r="P823" i="2"/>
  <c r="O823" i="2"/>
  <c r="M823" i="2"/>
  <c r="L823" i="2"/>
  <c r="K823" i="2"/>
  <c r="J823" i="2"/>
  <c r="N823" i="2" s="1"/>
  <c r="S822" i="2"/>
  <c r="R822" i="2"/>
  <c r="Q822" i="2"/>
  <c r="P822" i="2"/>
  <c r="O822" i="2"/>
  <c r="M822" i="2"/>
  <c r="L822" i="2"/>
  <c r="K822" i="2"/>
  <c r="J822" i="2"/>
  <c r="N822" i="2" s="1"/>
  <c r="S821" i="2"/>
  <c r="R821" i="2"/>
  <c r="Q821" i="2"/>
  <c r="P821" i="2"/>
  <c r="O821" i="2"/>
  <c r="N821" i="2"/>
  <c r="M821" i="2"/>
  <c r="L821" i="2"/>
  <c r="K821" i="2"/>
  <c r="S820" i="2"/>
  <c r="R820" i="2"/>
  <c r="Q820" i="2"/>
  <c r="P820" i="2"/>
  <c r="O820" i="2"/>
  <c r="M820" i="2"/>
  <c r="L820" i="2"/>
  <c r="K820" i="2"/>
  <c r="J820" i="2"/>
  <c r="N820" i="2" s="1"/>
  <c r="S819" i="2"/>
  <c r="R819" i="2"/>
  <c r="Q819" i="2"/>
  <c r="P819" i="2"/>
  <c r="O819" i="2"/>
  <c r="M819" i="2"/>
  <c r="L819" i="2"/>
  <c r="K819" i="2"/>
  <c r="J819" i="2"/>
  <c r="N819" i="2" s="1"/>
  <c r="S818" i="2"/>
  <c r="R818" i="2"/>
  <c r="Q818" i="2"/>
  <c r="P818" i="2"/>
  <c r="O818" i="2"/>
  <c r="N818" i="2"/>
  <c r="M818" i="2"/>
  <c r="L818" i="2"/>
  <c r="K818" i="2"/>
  <c r="S817" i="2"/>
  <c r="R817" i="2"/>
  <c r="Q817" i="2"/>
  <c r="P817" i="2"/>
  <c r="O817" i="2"/>
  <c r="M817" i="2"/>
  <c r="L817" i="2"/>
  <c r="K817" i="2"/>
  <c r="J817" i="2"/>
  <c r="N817" i="2" s="1"/>
  <c r="S816" i="2"/>
  <c r="R816" i="2"/>
  <c r="Q816" i="2"/>
  <c r="P816" i="2"/>
  <c r="O816" i="2"/>
  <c r="M816" i="2"/>
  <c r="L816" i="2"/>
  <c r="K816" i="2"/>
  <c r="J816" i="2"/>
  <c r="N816" i="2" s="1"/>
  <c r="S815" i="2"/>
  <c r="R815" i="2"/>
  <c r="Q815" i="2"/>
  <c r="P815" i="2"/>
  <c r="O815" i="2"/>
  <c r="N815" i="2"/>
  <c r="M815" i="2"/>
  <c r="L815" i="2"/>
  <c r="K815" i="2"/>
  <c r="S814" i="2"/>
  <c r="R814" i="2"/>
  <c r="Q814" i="2"/>
  <c r="P814" i="2"/>
  <c r="O814" i="2"/>
  <c r="M814" i="2"/>
  <c r="L814" i="2"/>
  <c r="K814" i="2"/>
  <c r="J814" i="2"/>
  <c r="N814" i="2" s="1"/>
  <c r="S813" i="2"/>
  <c r="R813" i="2"/>
  <c r="Q813" i="2"/>
  <c r="P813" i="2"/>
  <c r="O813" i="2"/>
  <c r="M813" i="2"/>
  <c r="L813" i="2"/>
  <c r="K813" i="2"/>
  <c r="J813" i="2"/>
  <c r="N813" i="2" s="1"/>
  <c r="S812" i="2"/>
  <c r="R812" i="2"/>
  <c r="Q812" i="2"/>
  <c r="P812" i="2"/>
  <c r="O812" i="2"/>
  <c r="N812" i="2"/>
  <c r="M812" i="2"/>
  <c r="L812" i="2"/>
  <c r="K812" i="2"/>
  <c r="S811" i="2"/>
  <c r="R811" i="2"/>
  <c r="Q811" i="2"/>
  <c r="P811" i="2"/>
  <c r="O811" i="2"/>
  <c r="M811" i="2"/>
  <c r="L811" i="2"/>
  <c r="K811" i="2"/>
  <c r="J811" i="2"/>
  <c r="N811" i="2" s="1"/>
  <c r="S810" i="2"/>
  <c r="R810" i="2"/>
  <c r="Q810" i="2"/>
  <c r="P810" i="2"/>
  <c r="O810" i="2"/>
  <c r="M810" i="2"/>
  <c r="L810" i="2"/>
  <c r="K810" i="2"/>
  <c r="J810" i="2"/>
  <c r="N810" i="2" s="1"/>
  <c r="S809" i="2"/>
  <c r="R809" i="2"/>
  <c r="Q809" i="2"/>
  <c r="P809" i="2"/>
  <c r="O809" i="2"/>
  <c r="N809" i="2"/>
  <c r="M809" i="2"/>
  <c r="L809" i="2"/>
  <c r="K809" i="2"/>
  <c r="S808" i="2"/>
  <c r="R808" i="2"/>
  <c r="Q808" i="2"/>
  <c r="P808" i="2"/>
  <c r="O808" i="2"/>
  <c r="M808" i="2"/>
  <c r="L808" i="2"/>
  <c r="K808" i="2"/>
  <c r="J808" i="2"/>
  <c r="N808" i="2" s="1"/>
  <c r="S807" i="2"/>
  <c r="R807" i="2"/>
  <c r="Q807" i="2"/>
  <c r="P807" i="2"/>
  <c r="O807" i="2"/>
  <c r="M807" i="2"/>
  <c r="L807" i="2"/>
  <c r="K807" i="2"/>
  <c r="J807" i="2"/>
  <c r="N807" i="2" s="1"/>
  <c r="S806" i="2"/>
  <c r="R806" i="2"/>
  <c r="Q806" i="2"/>
  <c r="P806" i="2"/>
  <c r="O806" i="2"/>
  <c r="N806" i="2"/>
  <c r="M806" i="2"/>
  <c r="L806" i="2"/>
  <c r="K806" i="2"/>
  <c r="S805" i="2"/>
  <c r="R805" i="2"/>
  <c r="Q805" i="2"/>
  <c r="P805" i="2"/>
  <c r="O805" i="2"/>
  <c r="M805" i="2"/>
  <c r="L805" i="2"/>
  <c r="K805" i="2"/>
  <c r="J805" i="2"/>
  <c r="N805" i="2" s="1"/>
  <c r="S804" i="2"/>
  <c r="R804" i="2"/>
  <c r="Q804" i="2"/>
  <c r="P804" i="2"/>
  <c r="O804" i="2"/>
  <c r="M804" i="2"/>
  <c r="L804" i="2"/>
  <c r="K804" i="2"/>
  <c r="J804" i="2"/>
  <c r="N804" i="2" s="1"/>
  <c r="S803" i="2"/>
  <c r="R803" i="2"/>
  <c r="Q803" i="2"/>
  <c r="P803" i="2"/>
  <c r="O803" i="2"/>
  <c r="N803" i="2"/>
  <c r="M803" i="2"/>
  <c r="L803" i="2"/>
  <c r="K803" i="2"/>
  <c r="S802" i="2"/>
  <c r="R802" i="2"/>
  <c r="Q802" i="2"/>
  <c r="P802" i="2"/>
  <c r="O802" i="2"/>
  <c r="M802" i="2"/>
  <c r="L802" i="2"/>
  <c r="K802" i="2"/>
  <c r="J802" i="2"/>
  <c r="N802" i="2" s="1"/>
  <c r="S801" i="2"/>
  <c r="R801" i="2"/>
  <c r="Q801" i="2"/>
  <c r="P801" i="2"/>
  <c r="O801" i="2"/>
  <c r="M801" i="2"/>
  <c r="L801" i="2"/>
  <c r="K801" i="2"/>
  <c r="J801" i="2"/>
  <c r="N801" i="2" s="1"/>
  <c r="S800" i="2"/>
  <c r="R800" i="2"/>
  <c r="Q800" i="2"/>
  <c r="P800" i="2"/>
  <c r="O800" i="2"/>
  <c r="N800" i="2"/>
  <c r="M800" i="2"/>
  <c r="L800" i="2"/>
  <c r="K800" i="2"/>
  <c r="S799" i="2"/>
  <c r="R799" i="2"/>
  <c r="Q799" i="2"/>
  <c r="P799" i="2"/>
  <c r="O799" i="2"/>
  <c r="M799" i="2"/>
  <c r="L799" i="2"/>
  <c r="K799" i="2"/>
  <c r="J799" i="2"/>
  <c r="N799" i="2" s="1"/>
  <c r="S798" i="2"/>
  <c r="R798" i="2"/>
  <c r="Q798" i="2"/>
  <c r="P798" i="2"/>
  <c r="O798" i="2"/>
  <c r="M798" i="2"/>
  <c r="L798" i="2"/>
  <c r="K798" i="2"/>
  <c r="J798" i="2"/>
  <c r="N798" i="2" s="1"/>
  <c r="S797" i="2"/>
  <c r="R797" i="2"/>
  <c r="Q797" i="2"/>
  <c r="P797" i="2"/>
  <c r="O797" i="2"/>
  <c r="N797" i="2"/>
  <c r="M797" i="2"/>
  <c r="L797" i="2"/>
  <c r="K797" i="2"/>
  <c r="S796" i="2"/>
  <c r="R796" i="2"/>
  <c r="Q796" i="2"/>
  <c r="P796" i="2"/>
  <c r="O796" i="2"/>
  <c r="M796" i="2"/>
  <c r="L796" i="2"/>
  <c r="K796" i="2"/>
  <c r="J796" i="2"/>
  <c r="N796" i="2" s="1"/>
  <c r="S795" i="2"/>
  <c r="R795" i="2"/>
  <c r="Q795" i="2"/>
  <c r="P795" i="2"/>
  <c r="O795" i="2"/>
  <c r="M795" i="2"/>
  <c r="L795" i="2"/>
  <c r="K795" i="2"/>
  <c r="J795" i="2"/>
  <c r="N795" i="2" s="1"/>
  <c r="S794" i="2"/>
  <c r="R794" i="2"/>
  <c r="Q794" i="2"/>
  <c r="P794" i="2"/>
  <c r="O794" i="2"/>
  <c r="N794" i="2"/>
  <c r="M794" i="2"/>
  <c r="L794" i="2"/>
  <c r="K794" i="2"/>
  <c r="S793" i="2"/>
  <c r="R793" i="2"/>
  <c r="Q793" i="2"/>
  <c r="P793" i="2"/>
  <c r="O793" i="2"/>
  <c r="M793" i="2"/>
  <c r="L793" i="2"/>
  <c r="K793" i="2"/>
  <c r="J793" i="2"/>
  <c r="N793" i="2" s="1"/>
  <c r="S792" i="2"/>
  <c r="R792" i="2"/>
  <c r="Q792" i="2"/>
  <c r="P792" i="2"/>
  <c r="O792" i="2"/>
  <c r="M792" i="2"/>
  <c r="L792" i="2"/>
  <c r="K792" i="2"/>
  <c r="J792" i="2"/>
  <c r="N792" i="2" s="1"/>
  <c r="S791" i="2"/>
  <c r="R791" i="2"/>
  <c r="Q791" i="2"/>
  <c r="P791" i="2"/>
  <c r="O791" i="2"/>
  <c r="N791" i="2"/>
  <c r="M791" i="2"/>
  <c r="L791" i="2"/>
  <c r="K791" i="2"/>
  <c r="S790" i="2"/>
  <c r="R790" i="2"/>
  <c r="Q790" i="2"/>
  <c r="P790" i="2"/>
  <c r="O790" i="2"/>
  <c r="M790" i="2"/>
  <c r="K790" i="2"/>
  <c r="J790" i="2"/>
  <c r="L790" i="2" s="1"/>
  <c r="S789" i="2"/>
  <c r="R789" i="2"/>
  <c r="Q789" i="2"/>
  <c r="P789" i="2"/>
  <c r="O789" i="2"/>
  <c r="M789" i="2"/>
  <c r="K789" i="2"/>
  <c r="J789" i="2"/>
  <c r="L789" i="2" s="1"/>
  <c r="M1154" i="2" l="1"/>
  <c r="M1156" i="2" s="1"/>
  <c r="M1158" i="2" s="1"/>
  <c r="M1159" i="2" s="1"/>
  <c r="O1154" i="2"/>
  <c r="O1156" i="2" s="1"/>
  <c r="O1158" i="2" s="1"/>
  <c r="O1159" i="2" s="1"/>
  <c r="P1154" i="2"/>
  <c r="P1156" i="2" s="1"/>
  <c r="P1158" i="2" s="1"/>
  <c r="P1159" i="2" s="1"/>
  <c r="Q1154" i="2"/>
  <c r="Q1156" i="2" s="1"/>
  <c r="Q1158" i="2" s="1"/>
  <c r="Q1159" i="2" s="1"/>
  <c r="R1154" i="2"/>
  <c r="R1156" i="2" s="1"/>
  <c r="S1154" i="2"/>
  <c r="S1156" i="2" s="1"/>
  <c r="S1158" i="2" s="1"/>
  <c r="S1159" i="2" s="1"/>
  <c r="L1154" i="2"/>
  <c r="L1156" i="2" s="1"/>
  <c r="L1158" i="2" s="1"/>
  <c r="L1159" i="2" s="1"/>
  <c r="K873" i="2"/>
  <c r="K918" i="2"/>
  <c r="K941" i="2"/>
  <c r="K883" i="2"/>
  <c r="K910" i="2"/>
  <c r="K952" i="2"/>
  <c r="K958" i="2"/>
  <c r="K957" i="2"/>
  <c r="N790" i="2"/>
  <c r="K923" i="2"/>
  <c r="K944" i="2"/>
  <c r="K914" i="2"/>
  <c r="K919" i="2"/>
  <c r="K953" i="2"/>
  <c r="K862" i="2"/>
  <c r="K1156" i="2" s="1"/>
  <c r="K1158" i="2" s="1"/>
  <c r="K1159" i="2" s="1"/>
  <c r="K888" i="2"/>
  <c r="K911" i="2"/>
  <c r="K872" i="2"/>
  <c r="K922" i="2"/>
  <c r="K882" i="2"/>
  <c r="K863" i="2"/>
  <c r="K927" i="2"/>
  <c r="K948" i="2"/>
  <c r="K892" i="2"/>
  <c r="K897" i="2"/>
  <c r="K901" i="2"/>
  <c r="K906" i="2"/>
  <c r="K893" i="2"/>
  <c r="K902" i="2"/>
  <c r="K896" i="2"/>
  <c r="K931" i="2"/>
  <c r="K945" i="2"/>
  <c r="K868" i="2"/>
  <c r="K905" i="2"/>
  <c r="K934" i="2"/>
  <c r="K940" i="2"/>
  <c r="K887" i="2"/>
  <c r="K915" i="2"/>
  <c r="K930" i="2"/>
  <c r="K935" i="2"/>
  <c r="K949" i="2"/>
  <c r="N789" i="2"/>
  <c r="N1154" i="2" l="1"/>
  <c r="N1156" i="2" s="1"/>
  <c r="K15" i="1"/>
  <c r="K18" i="1"/>
  <c r="L499" i="1"/>
  <c r="K498" i="1"/>
  <c r="L498" i="1" s="1"/>
  <c r="K497" i="1"/>
  <c r="L497" i="1" s="1"/>
  <c r="K496" i="1"/>
  <c r="L496" i="1" s="1"/>
  <c r="K495" i="1"/>
  <c r="L495" i="1" s="1"/>
  <c r="K494" i="1"/>
  <c r="L494" i="1" s="1"/>
  <c r="K493" i="1"/>
  <c r="L493" i="1" s="1"/>
  <c r="K492" i="1"/>
  <c r="L492" i="1" s="1"/>
  <c r="K491" i="1"/>
  <c r="L491" i="1" s="1"/>
  <c r="K490" i="1"/>
  <c r="L490" i="1" s="1"/>
  <c r="K489" i="1"/>
  <c r="L489" i="1" s="1"/>
  <c r="K488" i="1"/>
  <c r="L488" i="1" s="1"/>
  <c r="K487" i="1"/>
  <c r="L487" i="1" s="1"/>
  <c r="K486" i="1"/>
  <c r="L486" i="1" s="1"/>
  <c r="K485" i="1"/>
  <c r="L485" i="1" s="1"/>
  <c r="K484" i="1"/>
  <c r="L484" i="1" s="1"/>
  <c r="K483" i="1"/>
  <c r="L483" i="1" s="1"/>
  <c r="K482" i="1"/>
  <c r="L482" i="1" s="1"/>
  <c r="K481" i="1"/>
  <c r="L481" i="1" s="1"/>
  <c r="K480" i="1"/>
  <c r="L480" i="1" s="1"/>
  <c r="K479" i="1"/>
  <c r="L479" i="1" s="1"/>
  <c r="K478" i="1"/>
  <c r="L478" i="1" s="1"/>
  <c r="K477" i="1"/>
  <c r="L477" i="1" s="1"/>
  <c r="K476" i="1"/>
  <c r="L476" i="1" s="1"/>
  <c r="I474" i="1"/>
  <c r="L474" i="1" s="1"/>
  <c r="I473" i="1"/>
  <c r="L473" i="1" s="1"/>
  <c r="I472" i="1"/>
  <c r="L472" i="1" s="1"/>
  <c r="I471" i="1"/>
  <c r="L471" i="1" s="1"/>
  <c r="I470" i="1"/>
  <c r="L470" i="1" s="1"/>
  <c r="L469" i="1"/>
  <c r="L468" i="1"/>
  <c r="L467" i="1"/>
  <c r="L466" i="1"/>
  <c r="L465" i="1"/>
  <c r="L464" i="1"/>
  <c r="L463" i="1"/>
  <c r="L462" i="1"/>
  <c r="L461" i="1"/>
  <c r="L460" i="1"/>
  <c r="L459" i="1"/>
  <c r="L458" i="1"/>
  <c r="I456" i="1"/>
  <c r="L456" i="1" s="1"/>
  <c r="I455" i="1"/>
  <c r="L455" i="1" s="1"/>
  <c r="I454" i="1"/>
  <c r="L454" i="1" s="1"/>
  <c r="L453" i="1"/>
  <c r="I452" i="1"/>
  <c r="L452" i="1" s="1"/>
  <c r="L451" i="1"/>
  <c r="L450" i="1"/>
  <c r="I449" i="1"/>
  <c r="L449" i="1" s="1"/>
  <c r="L448" i="1"/>
  <c r="I447" i="1"/>
  <c r="L447" i="1" s="1"/>
  <c r="L446" i="1"/>
  <c r="L445" i="1"/>
  <c r="L444" i="1"/>
  <c r="L443" i="1"/>
  <c r="L442" i="1"/>
  <c r="L441" i="1"/>
  <c r="L440" i="1"/>
  <c r="L439" i="1"/>
  <c r="L438" i="1"/>
  <c r="O437" i="1"/>
  <c r="N437" i="1"/>
  <c r="M437" i="1"/>
  <c r="L437" i="1"/>
  <c r="K437" i="1"/>
  <c r="L436" i="1"/>
  <c r="L435" i="1"/>
  <c r="L434" i="1"/>
  <c r="L433" i="1"/>
  <c r="L432" i="1"/>
  <c r="L431" i="1"/>
  <c r="P430" i="1"/>
  <c r="L430" i="1"/>
  <c r="L429" i="1"/>
  <c r="L428" i="1"/>
  <c r="L427" i="1"/>
  <c r="L426" i="1"/>
  <c r="L425" i="1"/>
  <c r="L424" i="1"/>
  <c r="L423" i="1"/>
  <c r="L422" i="1"/>
  <c r="L421" i="1"/>
  <c r="L420" i="1"/>
  <c r="L419" i="1"/>
  <c r="L418" i="1"/>
  <c r="L417" i="1"/>
  <c r="L416" i="1"/>
  <c r="L415" i="1"/>
  <c r="L414" i="1"/>
  <c r="J412" i="1"/>
  <c r="L412" i="1" s="1"/>
  <c r="K410" i="1"/>
  <c r="I410" i="1"/>
  <c r="K409" i="1"/>
  <c r="I409" i="1"/>
  <c r="K408" i="1"/>
  <c r="I408" i="1"/>
  <c r="K407" i="1"/>
  <c r="I407" i="1"/>
  <c r="K406" i="1"/>
  <c r="I406" i="1"/>
  <c r="K405" i="1"/>
  <c r="L405" i="1" s="1"/>
  <c r="K404" i="1"/>
  <c r="L404" i="1" s="1"/>
  <c r="K403" i="1"/>
  <c r="L403" i="1" s="1"/>
  <c r="K402" i="1"/>
  <c r="L402" i="1" s="1"/>
  <c r="K401" i="1"/>
  <c r="L401" i="1" s="1"/>
  <c r="K400" i="1"/>
  <c r="L400" i="1" s="1"/>
  <c r="K399" i="1"/>
  <c r="L399" i="1" s="1"/>
  <c r="K398" i="1"/>
  <c r="L398" i="1" s="1"/>
  <c r="K397" i="1"/>
  <c r="L397" i="1" s="1"/>
  <c r="K396" i="1"/>
  <c r="L396" i="1" s="1"/>
  <c r="K395" i="1"/>
  <c r="L395" i="1" s="1"/>
  <c r="K394" i="1"/>
  <c r="L394" i="1" s="1"/>
  <c r="L392" i="1"/>
  <c r="L391" i="1"/>
  <c r="L390" i="1"/>
  <c r="L389" i="1"/>
  <c r="L388" i="1"/>
  <c r="L387" i="1"/>
  <c r="L386" i="1"/>
  <c r="L385" i="1"/>
  <c r="L384" i="1"/>
  <c r="L383" i="1"/>
  <c r="L382" i="1"/>
  <c r="L381" i="1"/>
  <c r="L380" i="1"/>
  <c r="L379" i="1"/>
  <c r="L378" i="1"/>
  <c r="L377" i="1"/>
  <c r="I375" i="1"/>
  <c r="L375" i="1" s="1"/>
  <c r="I374" i="1"/>
  <c r="L374" i="1" s="1"/>
  <c r="I373" i="1"/>
  <c r="L373" i="1" s="1"/>
  <c r="I372" i="1"/>
  <c r="L372" i="1" s="1"/>
  <c r="I371" i="1"/>
  <c r="L371" i="1" s="1"/>
  <c r="L370" i="1"/>
  <c r="L369" i="1"/>
  <c r="L368" i="1"/>
  <c r="L367" i="1"/>
  <c r="L366" i="1"/>
  <c r="L365" i="1"/>
  <c r="L364" i="1"/>
  <c r="L363" i="1"/>
  <c r="L362" i="1"/>
  <c r="L361" i="1"/>
  <c r="L360" i="1"/>
  <c r="L359" i="1"/>
  <c r="I357" i="1"/>
  <c r="L357" i="1" s="1"/>
  <c r="I356" i="1"/>
  <c r="L356" i="1" s="1"/>
  <c r="I355" i="1"/>
  <c r="L355" i="1" s="1"/>
  <c r="L354" i="1"/>
  <c r="I353" i="1"/>
  <c r="L353" i="1" s="1"/>
  <c r="L352" i="1"/>
  <c r="L351" i="1"/>
  <c r="I350" i="1"/>
  <c r="L350" i="1" s="1"/>
  <c r="L349" i="1"/>
  <c r="I348" i="1"/>
  <c r="L348" i="1" s="1"/>
  <c r="L347" i="1"/>
  <c r="L346" i="1"/>
  <c r="L345" i="1"/>
  <c r="L344" i="1"/>
  <c r="L343" i="1"/>
  <c r="L342" i="1"/>
  <c r="L341" i="1"/>
  <c r="L340" i="1"/>
  <c r="L339" i="1"/>
  <c r="S338" i="1"/>
  <c r="Q338" i="1"/>
  <c r="P338" i="1"/>
  <c r="O338" i="1"/>
  <c r="N338" i="1"/>
  <c r="M338" i="1"/>
  <c r="L338" i="1"/>
  <c r="K338" i="1"/>
  <c r="J337" i="1"/>
  <c r="I337" i="1"/>
  <c r="M337" i="1" s="1"/>
  <c r="J336" i="1"/>
  <c r="I336" i="1"/>
  <c r="M336" i="1" s="1"/>
  <c r="J335" i="1"/>
  <c r="I335" i="1"/>
  <c r="M335" i="1" s="1"/>
  <c r="J334" i="1"/>
  <c r="I334" i="1"/>
  <c r="M334" i="1" s="1"/>
  <c r="J333" i="1"/>
  <c r="I333" i="1"/>
  <c r="M333" i="1" s="1"/>
  <c r="J332" i="1"/>
  <c r="I332" i="1"/>
  <c r="M332" i="1" s="1"/>
  <c r="J331" i="1"/>
  <c r="I331" i="1"/>
  <c r="K209" i="1"/>
  <c r="L209" i="1" s="1"/>
  <c r="S111" i="2"/>
  <c r="Q111" i="2"/>
  <c r="P111" i="2"/>
  <c r="O111" i="2"/>
  <c r="N111" i="2"/>
  <c r="M111" i="2"/>
  <c r="L111" i="2"/>
  <c r="J111" i="2"/>
  <c r="H111" i="2"/>
  <c r="S110" i="2"/>
  <c r="Q110" i="2"/>
  <c r="P110" i="2"/>
  <c r="O110" i="2"/>
  <c r="N110" i="2"/>
  <c r="M110" i="2"/>
  <c r="L110" i="2"/>
  <c r="J110" i="2"/>
  <c r="H110" i="2"/>
  <c r="P109" i="2"/>
  <c r="M109" i="2"/>
  <c r="L109" i="2"/>
  <c r="J109" i="2"/>
  <c r="O109" i="2" s="1"/>
  <c r="P108" i="2"/>
  <c r="M108" i="2"/>
  <c r="L108" i="2"/>
  <c r="J108" i="2"/>
  <c r="O108" i="2" s="1"/>
  <c r="S107" i="2"/>
  <c r="Q107" i="2"/>
  <c r="P107" i="2"/>
  <c r="O107" i="2"/>
  <c r="N107" i="2"/>
  <c r="M107" i="2"/>
  <c r="L107" i="2"/>
  <c r="K107" i="2"/>
  <c r="K193" i="1"/>
  <c r="L193" i="1" s="1"/>
  <c r="K194" i="1"/>
  <c r="L194" i="1" s="1"/>
  <c r="K195" i="1"/>
  <c r="L195" i="1" s="1"/>
  <c r="K196" i="1"/>
  <c r="L196" i="1" s="1"/>
  <c r="K197" i="1"/>
  <c r="L197" i="1" s="1"/>
  <c r="K198" i="1"/>
  <c r="L198" i="1" s="1"/>
  <c r="K199" i="1"/>
  <c r="L199" i="1" s="1"/>
  <c r="K200" i="1"/>
  <c r="L200" i="1" s="1"/>
  <c r="K201" i="1"/>
  <c r="L201" i="1" s="1"/>
  <c r="K202" i="1"/>
  <c r="L202" i="1" s="1"/>
  <c r="K203" i="1"/>
  <c r="L203" i="1" s="1"/>
  <c r="K204" i="1"/>
  <c r="L204" i="1" s="1"/>
  <c r="K205" i="1"/>
  <c r="L205" i="1" s="1"/>
  <c r="K206" i="1"/>
  <c r="L206" i="1" s="1"/>
  <c r="K207" i="1"/>
  <c r="L207" i="1" s="1"/>
  <c r="K208" i="1"/>
  <c r="L208" i="1" s="1"/>
  <c r="K210" i="1"/>
  <c r="L210" i="1" s="1"/>
  <c r="K211" i="1"/>
  <c r="L211" i="1" s="1"/>
  <c r="K212" i="1"/>
  <c r="L212" i="1" s="1"/>
  <c r="K213" i="1"/>
  <c r="L213" i="1" s="1"/>
  <c r="K214" i="1"/>
  <c r="L214" i="1" s="1"/>
  <c r="K192" i="1"/>
  <c r="L192" i="1" s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24" i="1"/>
  <c r="I188" i="1"/>
  <c r="I187" i="1"/>
  <c r="I186" i="1"/>
  <c r="I185" i="1"/>
  <c r="I184" i="1"/>
  <c r="I168" i="1"/>
  <c r="L168" i="1" s="1"/>
  <c r="I167" i="1"/>
  <c r="L167" i="1" s="1"/>
  <c r="I166" i="1"/>
  <c r="L166" i="1" s="1"/>
  <c r="L165" i="1"/>
  <c r="I164" i="1"/>
  <c r="L164" i="1" s="1"/>
  <c r="L163" i="1"/>
  <c r="L162" i="1"/>
  <c r="I161" i="1"/>
  <c r="L161" i="1" s="1"/>
  <c r="L160" i="1"/>
  <c r="I159" i="1"/>
  <c r="L159" i="1" s="1"/>
  <c r="L158" i="1"/>
  <c r="L157" i="1"/>
  <c r="L156" i="1"/>
  <c r="L155" i="1"/>
  <c r="L154" i="1"/>
  <c r="L153" i="1"/>
  <c r="L152" i="1"/>
  <c r="L151" i="1"/>
  <c r="L150" i="1"/>
  <c r="P140" i="1"/>
  <c r="O149" i="1"/>
  <c r="N149" i="1"/>
  <c r="M149" i="1"/>
  <c r="L149" i="1"/>
  <c r="K149" i="1"/>
  <c r="L217" i="1"/>
  <c r="K104" i="1"/>
  <c r="L104" i="1" s="1"/>
  <c r="K105" i="1"/>
  <c r="L105" i="1" s="1"/>
  <c r="K106" i="1"/>
  <c r="L106" i="1" s="1"/>
  <c r="K107" i="1"/>
  <c r="L107" i="1" s="1"/>
  <c r="K108" i="1"/>
  <c r="L108" i="1" s="1"/>
  <c r="K109" i="1"/>
  <c r="L109" i="1" s="1"/>
  <c r="K110" i="1"/>
  <c r="L110" i="1" s="1"/>
  <c r="K111" i="1"/>
  <c r="L111" i="1" s="1"/>
  <c r="K112" i="1"/>
  <c r="L112" i="1" s="1"/>
  <c r="K113" i="1"/>
  <c r="L113" i="1" s="1"/>
  <c r="K114" i="1"/>
  <c r="L114" i="1" s="1"/>
  <c r="K115" i="1"/>
  <c r="K116" i="1"/>
  <c r="K117" i="1"/>
  <c r="K118" i="1"/>
  <c r="K119" i="1"/>
  <c r="K103" i="1"/>
  <c r="L103" i="1" s="1"/>
  <c r="I119" i="1"/>
  <c r="I118" i="1"/>
  <c r="I117" i="1"/>
  <c r="I116" i="1"/>
  <c r="I115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58" i="1"/>
  <c r="L59" i="1"/>
  <c r="L60" i="1"/>
  <c r="L61" i="1"/>
  <c r="L62" i="1"/>
  <c r="L63" i="1"/>
  <c r="L65" i="1"/>
  <c r="L66" i="1"/>
  <c r="L67" i="1"/>
  <c r="L68" i="1"/>
  <c r="L69" i="1"/>
  <c r="L64" i="1"/>
  <c r="I74" i="1"/>
  <c r="L74" i="1" s="1"/>
  <c r="I73" i="1"/>
  <c r="L73" i="1" s="1"/>
  <c r="I72" i="1"/>
  <c r="L72" i="1" s="1"/>
  <c r="I71" i="1"/>
  <c r="L71" i="1" s="1"/>
  <c r="I70" i="1"/>
  <c r="L70" i="1" s="1"/>
  <c r="L37" i="1"/>
  <c r="L38" i="1"/>
  <c r="L39" i="1"/>
  <c r="L40" i="1"/>
  <c r="L41" i="1"/>
  <c r="L42" i="1"/>
  <c r="L43" i="1"/>
  <c r="L44" i="1"/>
  <c r="L46" i="1"/>
  <c r="L48" i="1"/>
  <c r="L49" i="1"/>
  <c r="L51" i="1"/>
  <c r="L36" i="1"/>
  <c r="I54" i="1"/>
  <c r="L54" i="1" s="1"/>
  <c r="I53" i="1"/>
  <c r="L53" i="1" s="1"/>
  <c r="I52" i="1"/>
  <c r="L52" i="1" s="1"/>
  <c r="I50" i="1"/>
  <c r="L50" i="1" s="1"/>
  <c r="I47" i="1"/>
  <c r="L47" i="1" s="1"/>
  <c r="I45" i="1"/>
  <c r="L45" i="1" s="1"/>
  <c r="S35" i="1"/>
  <c r="Q35" i="1"/>
  <c r="P35" i="1"/>
  <c r="O35" i="1"/>
  <c r="N35" i="1"/>
  <c r="M35" i="1"/>
  <c r="L35" i="1"/>
  <c r="K35" i="1"/>
  <c r="J27" i="1"/>
  <c r="J28" i="1"/>
  <c r="J29" i="1"/>
  <c r="J30" i="1"/>
  <c r="J31" i="1"/>
  <c r="J32" i="1"/>
  <c r="J26" i="1"/>
  <c r="I27" i="1"/>
  <c r="I28" i="1"/>
  <c r="I29" i="1"/>
  <c r="I30" i="1"/>
  <c r="I31" i="1"/>
  <c r="M31" i="1" s="1"/>
  <c r="I32" i="1"/>
  <c r="M32" i="1" s="1"/>
  <c r="I26" i="1"/>
  <c r="K1157" i="2" l="1"/>
  <c r="N1158" i="2"/>
  <c r="N1159" i="2" s="1"/>
  <c r="M100" i="1"/>
  <c r="L116" i="1"/>
  <c r="L335" i="1"/>
  <c r="L331" i="1"/>
  <c r="L409" i="1"/>
  <c r="L333" i="1"/>
  <c r="L406" i="1"/>
  <c r="L337" i="1"/>
  <c r="L410" i="1"/>
  <c r="L407" i="1"/>
  <c r="L336" i="1"/>
  <c r="L334" i="1"/>
  <c r="L408" i="1"/>
  <c r="L332" i="1"/>
  <c r="M215" i="1"/>
  <c r="K110" i="2"/>
  <c r="K111" i="2"/>
  <c r="M147" i="1"/>
  <c r="M169" i="1"/>
  <c r="N169" i="1" s="1"/>
  <c r="L115" i="1"/>
  <c r="L117" i="1"/>
  <c r="L118" i="1"/>
  <c r="L119" i="1"/>
  <c r="M75" i="1"/>
  <c r="L29" i="1"/>
  <c r="L28" i="1"/>
  <c r="M55" i="1"/>
  <c r="L26" i="1"/>
  <c r="L27" i="1"/>
  <c r="L30" i="1"/>
  <c r="M29" i="1"/>
  <c r="L32" i="1"/>
  <c r="L31" i="1"/>
  <c r="M30" i="1"/>
  <c r="M27" i="1"/>
  <c r="M28" i="1"/>
  <c r="P777" i="2"/>
  <c r="O777" i="2"/>
  <c r="N777" i="2"/>
  <c r="M777" i="2"/>
  <c r="L777" i="2"/>
  <c r="J777" i="2"/>
  <c r="H777" i="2"/>
  <c r="P776" i="2"/>
  <c r="O776" i="2"/>
  <c r="M776" i="2"/>
  <c r="L776" i="2"/>
  <c r="K776" i="2"/>
  <c r="J776" i="2"/>
  <c r="N776" i="2" s="1"/>
  <c r="P775" i="2"/>
  <c r="N775" i="2"/>
  <c r="M775" i="2"/>
  <c r="L775" i="2"/>
  <c r="K775" i="2"/>
  <c r="J775" i="2"/>
  <c r="O775" i="2" s="1"/>
  <c r="P773" i="2"/>
  <c r="O773" i="2"/>
  <c r="N773" i="2"/>
  <c r="M773" i="2"/>
  <c r="L773" i="2"/>
  <c r="J773" i="2"/>
  <c r="H773" i="2"/>
  <c r="P772" i="2"/>
  <c r="O772" i="2"/>
  <c r="M772" i="2"/>
  <c r="L772" i="2"/>
  <c r="K772" i="2"/>
  <c r="J772" i="2"/>
  <c r="N772" i="2" s="1"/>
  <c r="P771" i="2"/>
  <c r="N771" i="2"/>
  <c r="M771" i="2"/>
  <c r="L771" i="2"/>
  <c r="K771" i="2"/>
  <c r="J771" i="2"/>
  <c r="O771" i="2" s="1"/>
  <c r="P769" i="2"/>
  <c r="O769" i="2"/>
  <c r="N769" i="2"/>
  <c r="M769" i="2"/>
  <c r="L769" i="2"/>
  <c r="J769" i="2"/>
  <c r="H769" i="2"/>
  <c r="P768" i="2"/>
  <c r="O768" i="2"/>
  <c r="M768" i="2"/>
  <c r="L768" i="2"/>
  <c r="K768" i="2"/>
  <c r="J768" i="2"/>
  <c r="N768" i="2" s="1"/>
  <c r="P767" i="2"/>
  <c r="N767" i="2"/>
  <c r="M767" i="2"/>
  <c r="L767" i="2"/>
  <c r="K767" i="2"/>
  <c r="J767" i="2"/>
  <c r="O767" i="2" s="1"/>
  <c r="P765" i="2"/>
  <c r="O765" i="2"/>
  <c r="N765" i="2"/>
  <c r="M765" i="2"/>
  <c r="L765" i="2"/>
  <c r="J765" i="2"/>
  <c r="H765" i="2"/>
  <c r="P764" i="2"/>
  <c r="O764" i="2"/>
  <c r="M764" i="2"/>
  <c r="L764" i="2"/>
  <c r="K764" i="2"/>
  <c r="J764" i="2"/>
  <c r="N764" i="2" s="1"/>
  <c r="P763" i="2"/>
  <c r="N763" i="2"/>
  <c r="M763" i="2"/>
  <c r="L763" i="2"/>
  <c r="K763" i="2"/>
  <c r="J763" i="2"/>
  <c r="O763" i="2" s="1"/>
  <c r="P761" i="2"/>
  <c r="O761" i="2"/>
  <c r="N761" i="2"/>
  <c r="M761" i="2"/>
  <c r="L761" i="2"/>
  <c r="J761" i="2"/>
  <c r="H761" i="2"/>
  <c r="P760" i="2"/>
  <c r="O760" i="2"/>
  <c r="M760" i="2"/>
  <c r="L760" i="2"/>
  <c r="K760" i="2"/>
  <c r="J760" i="2"/>
  <c r="N760" i="2" s="1"/>
  <c r="P759" i="2"/>
  <c r="N759" i="2"/>
  <c r="M759" i="2"/>
  <c r="L759" i="2"/>
  <c r="K759" i="2"/>
  <c r="J759" i="2"/>
  <c r="O759" i="2" s="1"/>
  <c r="P757" i="2"/>
  <c r="O757" i="2"/>
  <c r="N757" i="2"/>
  <c r="M757" i="2"/>
  <c r="L757" i="2"/>
  <c r="J757" i="2"/>
  <c r="H757" i="2"/>
  <c r="P756" i="2"/>
  <c r="O756" i="2"/>
  <c r="M756" i="2"/>
  <c r="L756" i="2"/>
  <c r="K756" i="2"/>
  <c r="P755" i="2"/>
  <c r="N755" i="2"/>
  <c r="M755" i="2"/>
  <c r="L755" i="2"/>
  <c r="K755" i="2"/>
  <c r="J755" i="2"/>
  <c r="O755" i="2" s="1"/>
  <c r="J756" i="2"/>
  <c r="N756" i="2" s="1"/>
  <c r="D750" i="2"/>
  <c r="J751" i="2" s="1"/>
  <c r="O751" i="2" s="1"/>
  <c r="D746" i="2"/>
  <c r="J748" i="2" s="1"/>
  <c r="N748" i="2" s="1"/>
  <c r="P753" i="2"/>
  <c r="O753" i="2"/>
  <c r="N753" i="2"/>
  <c r="M753" i="2"/>
  <c r="L753" i="2"/>
  <c r="J753" i="2"/>
  <c r="P752" i="2"/>
  <c r="O752" i="2"/>
  <c r="M752" i="2"/>
  <c r="L752" i="2"/>
  <c r="K752" i="2"/>
  <c r="P751" i="2"/>
  <c r="N751" i="2"/>
  <c r="M751" i="2"/>
  <c r="L751" i="2"/>
  <c r="K751" i="2"/>
  <c r="P749" i="2"/>
  <c r="O749" i="2"/>
  <c r="N749" i="2"/>
  <c r="M749" i="2"/>
  <c r="L749" i="2"/>
  <c r="J749" i="2"/>
  <c r="P748" i="2"/>
  <c r="O748" i="2"/>
  <c r="M748" i="2"/>
  <c r="L748" i="2"/>
  <c r="K748" i="2"/>
  <c r="P747" i="2"/>
  <c r="N747" i="2"/>
  <c r="M747" i="2"/>
  <c r="L747" i="2"/>
  <c r="K747" i="2"/>
  <c r="P745" i="2"/>
  <c r="O745" i="2"/>
  <c r="N745" i="2"/>
  <c r="M745" i="2"/>
  <c r="L745" i="2"/>
  <c r="J745" i="2"/>
  <c r="H745" i="2"/>
  <c r="P744" i="2"/>
  <c r="O744" i="2"/>
  <c r="N744" i="2"/>
  <c r="L744" i="2"/>
  <c r="K744" i="2"/>
  <c r="J744" i="2"/>
  <c r="M744" i="2" s="1"/>
  <c r="P743" i="2"/>
  <c r="O743" i="2"/>
  <c r="M743" i="2"/>
  <c r="L743" i="2"/>
  <c r="K743" i="2"/>
  <c r="J743" i="2"/>
  <c r="N743" i="2" s="1"/>
  <c r="P742" i="2"/>
  <c r="N742" i="2"/>
  <c r="M742" i="2"/>
  <c r="L742" i="2"/>
  <c r="K742" i="2"/>
  <c r="J742" i="2"/>
  <c r="O742" i="2" s="1"/>
  <c r="P740" i="2"/>
  <c r="O740" i="2"/>
  <c r="N740" i="2"/>
  <c r="M740" i="2"/>
  <c r="L740" i="2"/>
  <c r="J740" i="2"/>
  <c r="P739" i="2"/>
  <c r="O739" i="2"/>
  <c r="N739" i="2"/>
  <c r="M739" i="2"/>
  <c r="L739" i="2"/>
  <c r="J739" i="2"/>
  <c r="P738" i="2"/>
  <c r="O738" i="2"/>
  <c r="N738" i="2"/>
  <c r="L738" i="2"/>
  <c r="K738" i="2"/>
  <c r="P737" i="2"/>
  <c r="O737" i="2"/>
  <c r="M737" i="2"/>
  <c r="L737" i="2"/>
  <c r="K737" i="2"/>
  <c r="P736" i="2"/>
  <c r="N736" i="2"/>
  <c r="M736" i="2"/>
  <c r="L736" i="2"/>
  <c r="K736" i="2"/>
  <c r="D735" i="2"/>
  <c r="J736" i="2" s="1"/>
  <c r="O736" i="2" s="1"/>
  <c r="P734" i="2"/>
  <c r="O734" i="2"/>
  <c r="N734" i="2"/>
  <c r="M734" i="2"/>
  <c r="L734" i="2"/>
  <c r="J734" i="2"/>
  <c r="H734" i="2"/>
  <c r="P733" i="2"/>
  <c r="O733" i="2"/>
  <c r="N733" i="2"/>
  <c r="M733" i="2"/>
  <c r="L733" i="2"/>
  <c r="J733" i="2"/>
  <c r="H733" i="2"/>
  <c r="P732" i="2"/>
  <c r="O732" i="2"/>
  <c r="N732" i="2"/>
  <c r="L732" i="2"/>
  <c r="K732" i="2"/>
  <c r="J732" i="2"/>
  <c r="M732" i="2" s="1"/>
  <c r="P731" i="2"/>
  <c r="O731" i="2"/>
  <c r="M731" i="2"/>
  <c r="L731" i="2"/>
  <c r="K731" i="2"/>
  <c r="J731" i="2"/>
  <c r="N731" i="2" s="1"/>
  <c r="P730" i="2"/>
  <c r="N730" i="2"/>
  <c r="M730" i="2"/>
  <c r="L730" i="2"/>
  <c r="K730" i="2"/>
  <c r="J730" i="2"/>
  <c r="O730" i="2" s="1"/>
  <c r="P728" i="2"/>
  <c r="O728" i="2"/>
  <c r="N728" i="2"/>
  <c r="M728" i="2"/>
  <c r="L728" i="2"/>
  <c r="J728" i="2"/>
  <c r="H728" i="2"/>
  <c r="P727" i="2"/>
  <c r="O727" i="2"/>
  <c r="N727" i="2"/>
  <c r="L727" i="2"/>
  <c r="K727" i="2"/>
  <c r="J727" i="2"/>
  <c r="M727" i="2" s="1"/>
  <c r="P726" i="2"/>
  <c r="O726" i="2"/>
  <c r="M726" i="2"/>
  <c r="L726" i="2"/>
  <c r="K726" i="2"/>
  <c r="J726" i="2"/>
  <c r="N726" i="2" s="1"/>
  <c r="P725" i="2"/>
  <c r="N725" i="2"/>
  <c r="M725" i="2"/>
  <c r="L725" i="2"/>
  <c r="K725" i="2"/>
  <c r="J725" i="2"/>
  <c r="O725" i="2" s="1"/>
  <c r="P723" i="2"/>
  <c r="O723" i="2"/>
  <c r="N723" i="2"/>
  <c r="M723" i="2"/>
  <c r="L723" i="2"/>
  <c r="J723" i="2"/>
  <c r="P722" i="2"/>
  <c r="O722" i="2"/>
  <c r="N722" i="2"/>
  <c r="M722" i="2"/>
  <c r="L722" i="2"/>
  <c r="J722" i="2"/>
  <c r="P721" i="2"/>
  <c r="O721" i="2"/>
  <c r="N721" i="2"/>
  <c r="L721" i="2"/>
  <c r="K721" i="2"/>
  <c r="P720" i="2"/>
  <c r="O720" i="2"/>
  <c r="M720" i="2"/>
  <c r="L720" i="2"/>
  <c r="K720" i="2"/>
  <c r="P719" i="2"/>
  <c r="N719" i="2"/>
  <c r="M719" i="2"/>
  <c r="L719" i="2"/>
  <c r="K719" i="2"/>
  <c r="D718" i="2"/>
  <c r="J720" i="2" s="1"/>
  <c r="N720" i="2" s="1"/>
  <c r="P717" i="2"/>
  <c r="O717" i="2"/>
  <c r="N717" i="2"/>
  <c r="M717" i="2"/>
  <c r="L717" i="2"/>
  <c r="J717" i="2"/>
  <c r="H717" i="2"/>
  <c r="P716" i="2"/>
  <c r="O716" i="2"/>
  <c r="N716" i="2"/>
  <c r="M716" i="2"/>
  <c r="L716" i="2"/>
  <c r="J716" i="2"/>
  <c r="H716" i="2"/>
  <c r="P715" i="2"/>
  <c r="O715" i="2"/>
  <c r="N715" i="2"/>
  <c r="L715" i="2"/>
  <c r="K715" i="2"/>
  <c r="J715" i="2"/>
  <c r="M715" i="2" s="1"/>
  <c r="P714" i="2"/>
  <c r="O714" i="2"/>
  <c r="M714" i="2"/>
  <c r="L714" i="2"/>
  <c r="K714" i="2"/>
  <c r="J714" i="2"/>
  <c r="N714" i="2" s="1"/>
  <c r="P713" i="2"/>
  <c r="N713" i="2"/>
  <c r="M713" i="2"/>
  <c r="L713" i="2"/>
  <c r="K713" i="2"/>
  <c r="J713" i="2"/>
  <c r="O713" i="2" s="1"/>
  <c r="D701" i="2"/>
  <c r="H706" i="2" s="1"/>
  <c r="P711" i="2"/>
  <c r="O711" i="2"/>
  <c r="N711" i="2"/>
  <c r="M711" i="2"/>
  <c r="L711" i="2"/>
  <c r="J711" i="2"/>
  <c r="H711" i="2"/>
  <c r="P710" i="2"/>
  <c r="O710" i="2"/>
  <c r="N710" i="2"/>
  <c r="L710" i="2"/>
  <c r="K710" i="2"/>
  <c r="J710" i="2"/>
  <c r="M710" i="2" s="1"/>
  <c r="P709" i="2"/>
  <c r="O709" i="2"/>
  <c r="M709" i="2"/>
  <c r="L709" i="2"/>
  <c r="K709" i="2"/>
  <c r="J709" i="2"/>
  <c r="N709" i="2" s="1"/>
  <c r="P708" i="2"/>
  <c r="N708" i="2"/>
  <c r="M708" i="2"/>
  <c r="L708" i="2"/>
  <c r="K708" i="2"/>
  <c r="J708" i="2"/>
  <c r="O708" i="2" s="1"/>
  <c r="P706" i="2"/>
  <c r="O706" i="2"/>
  <c r="N706" i="2"/>
  <c r="M706" i="2"/>
  <c r="L706" i="2"/>
  <c r="J706" i="2"/>
  <c r="P705" i="2"/>
  <c r="O705" i="2"/>
  <c r="N705" i="2"/>
  <c r="M705" i="2"/>
  <c r="L705" i="2"/>
  <c r="J705" i="2"/>
  <c r="P704" i="2"/>
  <c r="O704" i="2"/>
  <c r="N704" i="2"/>
  <c r="L704" i="2"/>
  <c r="K704" i="2"/>
  <c r="P703" i="2"/>
  <c r="O703" i="2"/>
  <c r="M703" i="2"/>
  <c r="L703" i="2"/>
  <c r="K703" i="2"/>
  <c r="P702" i="2"/>
  <c r="N702" i="2"/>
  <c r="M702" i="2"/>
  <c r="L702" i="2"/>
  <c r="K702" i="2"/>
  <c r="P700" i="2"/>
  <c r="O700" i="2"/>
  <c r="N700" i="2"/>
  <c r="M700" i="2"/>
  <c r="L700" i="2"/>
  <c r="J700" i="2"/>
  <c r="H700" i="2"/>
  <c r="P699" i="2"/>
  <c r="O699" i="2"/>
  <c r="N699" i="2"/>
  <c r="M699" i="2"/>
  <c r="L699" i="2"/>
  <c r="J699" i="2"/>
  <c r="H699" i="2"/>
  <c r="P698" i="2"/>
  <c r="O698" i="2"/>
  <c r="N698" i="2"/>
  <c r="L698" i="2"/>
  <c r="K698" i="2"/>
  <c r="J698" i="2"/>
  <c r="M698" i="2" s="1"/>
  <c r="P697" i="2"/>
  <c r="O697" i="2"/>
  <c r="M697" i="2"/>
  <c r="L697" i="2"/>
  <c r="K697" i="2"/>
  <c r="J697" i="2"/>
  <c r="N697" i="2" s="1"/>
  <c r="P696" i="2"/>
  <c r="N696" i="2"/>
  <c r="M696" i="2"/>
  <c r="L696" i="2"/>
  <c r="K696" i="2"/>
  <c r="J696" i="2"/>
  <c r="O696" i="2" s="1"/>
  <c r="P694" i="2"/>
  <c r="O694" i="2"/>
  <c r="N694" i="2"/>
  <c r="M694" i="2"/>
  <c r="L694" i="2"/>
  <c r="J694" i="2"/>
  <c r="H694" i="2"/>
  <c r="P693" i="2"/>
  <c r="O693" i="2"/>
  <c r="N693" i="2"/>
  <c r="M693" i="2"/>
  <c r="L693" i="2"/>
  <c r="J693" i="2"/>
  <c r="H693" i="2"/>
  <c r="P692" i="2"/>
  <c r="O692" i="2"/>
  <c r="N692" i="2"/>
  <c r="L692" i="2"/>
  <c r="K692" i="2"/>
  <c r="J692" i="2"/>
  <c r="M692" i="2" s="1"/>
  <c r="P691" i="2"/>
  <c r="O691" i="2"/>
  <c r="M691" i="2"/>
  <c r="L691" i="2"/>
  <c r="K691" i="2"/>
  <c r="J691" i="2"/>
  <c r="N691" i="2" s="1"/>
  <c r="P690" i="2"/>
  <c r="N690" i="2"/>
  <c r="M690" i="2"/>
  <c r="L690" i="2"/>
  <c r="K690" i="2"/>
  <c r="J690" i="2"/>
  <c r="O690" i="2" s="1"/>
  <c r="D683" i="2"/>
  <c r="H687" i="2" s="1"/>
  <c r="P688" i="2"/>
  <c r="O688" i="2"/>
  <c r="N688" i="2"/>
  <c r="M688" i="2"/>
  <c r="L688" i="2"/>
  <c r="J688" i="2"/>
  <c r="P687" i="2"/>
  <c r="O687" i="2"/>
  <c r="N687" i="2"/>
  <c r="M687" i="2"/>
  <c r="L687" i="2"/>
  <c r="J687" i="2"/>
  <c r="P686" i="2"/>
  <c r="O686" i="2"/>
  <c r="N686" i="2"/>
  <c r="L686" i="2"/>
  <c r="K686" i="2"/>
  <c r="P685" i="2"/>
  <c r="O685" i="2"/>
  <c r="M685" i="2"/>
  <c r="L685" i="2"/>
  <c r="K685" i="2"/>
  <c r="P684" i="2"/>
  <c r="N684" i="2"/>
  <c r="M684" i="2"/>
  <c r="L684" i="2"/>
  <c r="K684" i="2"/>
  <c r="J679" i="2"/>
  <c r="N679" i="2" s="1"/>
  <c r="P682" i="2"/>
  <c r="O682" i="2"/>
  <c r="N682" i="2"/>
  <c r="M682" i="2"/>
  <c r="L682" i="2"/>
  <c r="J682" i="2"/>
  <c r="H682" i="2"/>
  <c r="P681" i="2"/>
  <c r="O681" i="2"/>
  <c r="N681" i="2"/>
  <c r="M681" i="2"/>
  <c r="L681" i="2"/>
  <c r="J681" i="2"/>
  <c r="H681" i="2"/>
  <c r="P680" i="2"/>
  <c r="O680" i="2"/>
  <c r="N680" i="2"/>
  <c r="L680" i="2"/>
  <c r="K680" i="2"/>
  <c r="P679" i="2"/>
  <c r="O679" i="2"/>
  <c r="M679" i="2"/>
  <c r="L679" i="2"/>
  <c r="K679" i="2"/>
  <c r="P678" i="2"/>
  <c r="N678" i="2"/>
  <c r="M678" i="2"/>
  <c r="L678" i="2"/>
  <c r="K678" i="2"/>
  <c r="J678" i="2"/>
  <c r="O678" i="2" s="1"/>
  <c r="P676" i="2"/>
  <c r="O676" i="2"/>
  <c r="N676" i="2"/>
  <c r="M676" i="2"/>
  <c r="L676" i="2"/>
  <c r="J676" i="2"/>
  <c r="H676" i="2"/>
  <c r="P675" i="2"/>
  <c r="O675" i="2"/>
  <c r="N675" i="2"/>
  <c r="L675" i="2"/>
  <c r="K675" i="2"/>
  <c r="J675" i="2"/>
  <c r="M675" i="2" s="1"/>
  <c r="P674" i="2"/>
  <c r="O674" i="2"/>
  <c r="M674" i="2"/>
  <c r="L674" i="2"/>
  <c r="K674" i="2"/>
  <c r="J674" i="2"/>
  <c r="N674" i="2" s="1"/>
  <c r="P672" i="2"/>
  <c r="O672" i="2"/>
  <c r="N672" i="2"/>
  <c r="M672" i="2"/>
  <c r="L672" i="2"/>
  <c r="J672" i="2"/>
  <c r="H672" i="2"/>
  <c r="P671" i="2"/>
  <c r="O671" i="2"/>
  <c r="N671" i="2"/>
  <c r="L671" i="2"/>
  <c r="K671" i="2"/>
  <c r="J671" i="2"/>
  <c r="M671" i="2" s="1"/>
  <c r="P670" i="2"/>
  <c r="O670" i="2"/>
  <c r="M670" i="2"/>
  <c r="L670" i="2"/>
  <c r="K670" i="2"/>
  <c r="J670" i="2"/>
  <c r="N670" i="2" s="1"/>
  <c r="P668" i="2"/>
  <c r="O668" i="2"/>
  <c r="N668" i="2"/>
  <c r="M668" i="2"/>
  <c r="L668" i="2"/>
  <c r="J668" i="2"/>
  <c r="H668" i="2"/>
  <c r="P667" i="2"/>
  <c r="O667" i="2"/>
  <c r="N667" i="2"/>
  <c r="L667" i="2"/>
  <c r="K667" i="2"/>
  <c r="J667" i="2"/>
  <c r="M667" i="2" s="1"/>
  <c r="P666" i="2"/>
  <c r="O666" i="2"/>
  <c r="M666" i="2"/>
  <c r="L666" i="2"/>
  <c r="K666" i="2"/>
  <c r="J666" i="2"/>
  <c r="N666" i="2" s="1"/>
  <c r="P664" i="2"/>
  <c r="O664" i="2"/>
  <c r="N664" i="2"/>
  <c r="M664" i="2"/>
  <c r="L664" i="2"/>
  <c r="J664" i="2"/>
  <c r="H664" i="2"/>
  <c r="P663" i="2"/>
  <c r="O663" i="2"/>
  <c r="N663" i="2"/>
  <c r="L663" i="2"/>
  <c r="K663" i="2"/>
  <c r="J663" i="2"/>
  <c r="M663" i="2" s="1"/>
  <c r="P662" i="2"/>
  <c r="O662" i="2"/>
  <c r="M662" i="2"/>
  <c r="L662" i="2"/>
  <c r="K662" i="2"/>
  <c r="J662" i="2"/>
  <c r="N662" i="2" s="1"/>
  <c r="P660" i="2"/>
  <c r="O660" i="2"/>
  <c r="N660" i="2"/>
  <c r="M660" i="2"/>
  <c r="L660" i="2"/>
  <c r="J660" i="2"/>
  <c r="H660" i="2"/>
  <c r="P659" i="2"/>
  <c r="O659" i="2"/>
  <c r="N659" i="2"/>
  <c r="L659" i="2"/>
  <c r="K659" i="2"/>
  <c r="J659" i="2"/>
  <c r="M659" i="2" s="1"/>
  <c r="P658" i="2"/>
  <c r="O658" i="2"/>
  <c r="M658" i="2"/>
  <c r="L658" i="2"/>
  <c r="K658" i="2"/>
  <c r="J658" i="2"/>
  <c r="N658" i="2" s="1"/>
  <c r="P656" i="2"/>
  <c r="O656" i="2"/>
  <c r="N656" i="2"/>
  <c r="M656" i="2"/>
  <c r="L656" i="2"/>
  <c r="J656" i="2"/>
  <c r="H656" i="2"/>
  <c r="P655" i="2"/>
  <c r="O655" i="2"/>
  <c r="N655" i="2"/>
  <c r="L655" i="2"/>
  <c r="K655" i="2"/>
  <c r="J655" i="2"/>
  <c r="M655" i="2" s="1"/>
  <c r="P654" i="2"/>
  <c r="O654" i="2"/>
  <c r="M654" i="2"/>
  <c r="L654" i="2"/>
  <c r="K654" i="2"/>
  <c r="J654" i="2"/>
  <c r="N654" i="2" s="1"/>
  <c r="H652" i="2"/>
  <c r="J519" i="2"/>
  <c r="J617" i="2"/>
  <c r="M617" i="2" s="1"/>
  <c r="J616" i="2"/>
  <c r="N616" i="2" s="1"/>
  <c r="J629" i="2"/>
  <c r="N629" i="2" s="1"/>
  <c r="J650" i="2"/>
  <c r="N650" i="2" s="1"/>
  <c r="J651" i="2"/>
  <c r="M651" i="2" s="1"/>
  <c r="J652" i="2"/>
  <c r="P652" i="2"/>
  <c r="O652" i="2"/>
  <c r="N652" i="2"/>
  <c r="M652" i="2"/>
  <c r="L652" i="2"/>
  <c r="P651" i="2"/>
  <c r="O651" i="2"/>
  <c r="N651" i="2"/>
  <c r="L651" i="2"/>
  <c r="K651" i="2"/>
  <c r="P650" i="2"/>
  <c r="O650" i="2"/>
  <c r="M650" i="2"/>
  <c r="L650" i="2"/>
  <c r="K650" i="2"/>
  <c r="D643" i="2"/>
  <c r="J646" i="2" s="1"/>
  <c r="M646" i="2" s="1"/>
  <c r="P648" i="2"/>
  <c r="O648" i="2"/>
  <c r="N648" i="2"/>
  <c r="M648" i="2"/>
  <c r="L648" i="2"/>
  <c r="J648" i="2"/>
  <c r="P647" i="2"/>
  <c r="O647" i="2"/>
  <c r="N647" i="2"/>
  <c r="M647" i="2"/>
  <c r="L647" i="2"/>
  <c r="J647" i="2"/>
  <c r="P646" i="2"/>
  <c r="O646" i="2"/>
  <c r="N646" i="2"/>
  <c r="L646" i="2"/>
  <c r="K646" i="2"/>
  <c r="P645" i="2"/>
  <c r="O645" i="2"/>
  <c r="M645" i="2"/>
  <c r="L645" i="2"/>
  <c r="K645" i="2"/>
  <c r="J645" i="2"/>
  <c r="N645" i="2" s="1"/>
  <c r="P644" i="2"/>
  <c r="N644" i="2"/>
  <c r="M644" i="2"/>
  <c r="L644" i="2"/>
  <c r="K644" i="2"/>
  <c r="K640" i="2"/>
  <c r="L640" i="2"/>
  <c r="M640" i="2"/>
  <c r="O640" i="2"/>
  <c r="P642" i="2"/>
  <c r="O642" i="2"/>
  <c r="N642" i="2"/>
  <c r="M642" i="2"/>
  <c r="L642" i="2"/>
  <c r="J642" i="2"/>
  <c r="P641" i="2"/>
  <c r="O641" i="2"/>
  <c r="N641" i="2"/>
  <c r="M641" i="2"/>
  <c r="J641" i="2"/>
  <c r="P638" i="2"/>
  <c r="O638" i="2"/>
  <c r="N638" i="2"/>
  <c r="M638" i="2"/>
  <c r="L638" i="2"/>
  <c r="J638" i="2"/>
  <c r="P637" i="2"/>
  <c r="O637" i="2"/>
  <c r="N637" i="2"/>
  <c r="M637" i="2"/>
  <c r="L637" i="2"/>
  <c r="J637" i="2"/>
  <c r="O636" i="2"/>
  <c r="N636" i="2"/>
  <c r="M636" i="2"/>
  <c r="L636" i="2"/>
  <c r="K636" i="2"/>
  <c r="P635" i="2"/>
  <c r="O635" i="2"/>
  <c r="M635" i="2"/>
  <c r="L635" i="2"/>
  <c r="K635" i="2"/>
  <c r="O634" i="2"/>
  <c r="N634" i="2"/>
  <c r="M634" i="2"/>
  <c r="L634" i="2"/>
  <c r="K634" i="2"/>
  <c r="D633" i="2"/>
  <c r="J636" i="2" s="1"/>
  <c r="P636" i="2" s="1"/>
  <c r="H632" i="2"/>
  <c r="P632" i="2"/>
  <c r="O632" i="2"/>
  <c r="N632" i="2"/>
  <c r="M632" i="2"/>
  <c r="L632" i="2"/>
  <c r="J632" i="2"/>
  <c r="P631" i="2"/>
  <c r="O631" i="2"/>
  <c r="N631" i="2"/>
  <c r="M631" i="2"/>
  <c r="L631" i="2"/>
  <c r="J631" i="2"/>
  <c r="H631" i="2"/>
  <c r="O630" i="2"/>
  <c r="N630" i="2"/>
  <c r="L630" i="2"/>
  <c r="K630" i="2"/>
  <c r="J630" i="2"/>
  <c r="M630" i="2" s="1"/>
  <c r="P629" i="2"/>
  <c r="O629" i="2"/>
  <c r="M629" i="2"/>
  <c r="L629" i="2"/>
  <c r="K629" i="2"/>
  <c r="N628" i="2"/>
  <c r="M628" i="2"/>
  <c r="L628" i="2"/>
  <c r="K628" i="2"/>
  <c r="J628" i="2"/>
  <c r="O628" i="2" s="1"/>
  <c r="D623" i="2"/>
  <c r="J624" i="2" s="1"/>
  <c r="N624" i="2" s="1"/>
  <c r="P626" i="2"/>
  <c r="O626" i="2"/>
  <c r="N626" i="2"/>
  <c r="M626" i="2"/>
  <c r="L626" i="2"/>
  <c r="J626" i="2"/>
  <c r="P625" i="2"/>
  <c r="O625" i="2"/>
  <c r="N625" i="2"/>
  <c r="L625" i="2"/>
  <c r="K625" i="2"/>
  <c r="P624" i="2"/>
  <c r="O624" i="2"/>
  <c r="M624" i="2"/>
  <c r="L624" i="2"/>
  <c r="K624" i="2"/>
  <c r="P622" i="2"/>
  <c r="O622" i="2"/>
  <c r="N622" i="2"/>
  <c r="M622" i="2"/>
  <c r="L622" i="2"/>
  <c r="J622" i="2"/>
  <c r="H622" i="2"/>
  <c r="P621" i="2"/>
  <c r="O621" i="2"/>
  <c r="N621" i="2"/>
  <c r="L621" i="2"/>
  <c r="K621" i="2"/>
  <c r="J621" i="2"/>
  <c r="M621" i="2" s="1"/>
  <c r="P620" i="2"/>
  <c r="O620" i="2"/>
  <c r="M620" i="2"/>
  <c r="L620" i="2"/>
  <c r="K620" i="2"/>
  <c r="J620" i="2"/>
  <c r="N620" i="2" s="1"/>
  <c r="P618" i="2"/>
  <c r="O618" i="2"/>
  <c r="N618" i="2"/>
  <c r="M618" i="2"/>
  <c r="L618" i="2"/>
  <c r="J618" i="2"/>
  <c r="H618" i="2"/>
  <c r="P617" i="2"/>
  <c r="O617" i="2"/>
  <c r="N617" i="2"/>
  <c r="L617" i="2"/>
  <c r="K617" i="2"/>
  <c r="P616" i="2"/>
  <c r="O616" i="2"/>
  <c r="M616" i="2"/>
  <c r="L616" i="2"/>
  <c r="K616" i="2"/>
  <c r="D609" i="2"/>
  <c r="J610" i="2" s="1"/>
  <c r="O610" i="2" s="1"/>
  <c r="P614" i="2"/>
  <c r="O614" i="2"/>
  <c r="N614" i="2"/>
  <c r="M614" i="2"/>
  <c r="L614" i="2"/>
  <c r="J614" i="2"/>
  <c r="P613" i="2"/>
  <c r="O613" i="2"/>
  <c r="N613" i="2"/>
  <c r="M613" i="2"/>
  <c r="L613" i="2"/>
  <c r="J613" i="2"/>
  <c r="P612" i="2"/>
  <c r="O612" i="2"/>
  <c r="N612" i="2"/>
  <c r="L612" i="2"/>
  <c r="K612" i="2"/>
  <c r="P611" i="2"/>
  <c r="O611" i="2"/>
  <c r="M611" i="2"/>
  <c r="L611" i="2"/>
  <c r="K611" i="2"/>
  <c r="P610" i="2"/>
  <c r="N610" i="2"/>
  <c r="M610" i="2"/>
  <c r="L610" i="2"/>
  <c r="K610" i="2"/>
  <c r="P608" i="2"/>
  <c r="O608" i="2"/>
  <c r="N608" i="2"/>
  <c r="M608" i="2"/>
  <c r="L608" i="2"/>
  <c r="J608" i="2"/>
  <c r="P607" i="2"/>
  <c r="O607" i="2"/>
  <c r="N607" i="2"/>
  <c r="M607" i="2"/>
  <c r="L607" i="2"/>
  <c r="J607" i="2"/>
  <c r="P606" i="2"/>
  <c r="O606" i="2"/>
  <c r="N606" i="2"/>
  <c r="L606" i="2"/>
  <c r="K606" i="2"/>
  <c r="P605" i="2"/>
  <c r="O605" i="2"/>
  <c r="M605" i="2"/>
  <c r="L605" i="2"/>
  <c r="K605" i="2"/>
  <c r="P604" i="2"/>
  <c r="N604" i="2"/>
  <c r="M604" i="2"/>
  <c r="L604" i="2"/>
  <c r="K604" i="2"/>
  <c r="D603" i="2"/>
  <c r="H608" i="2" s="1"/>
  <c r="K777" i="2" l="1"/>
  <c r="M120" i="1"/>
  <c r="H749" i="2"/>
  <c r="K749" i="2" s="1"/>
  <c r="M33" i="1"/>
  <c r="N34" i="1" s="1"/>
  <c r="H753" i="2"/>
  <c r="K753" i="2" s="1"/>
  <c r="J747" i="2"/>
  <c r="O747" i="2" s="1"/>
  <c r="K694" i="2"/>
  <c r="K757" i="2"/>
  <c r="K660" i="2"/>
  <c r="K699" i="2"/>
  <c r="K769" i="2"/>
  <c r="K761" i="2"/>
  <c r="J644" i="2"/>
  <c r="O644" i="2" s="1"/>
  <c r="K664" i="2"/>
  <c r="K773" i="2"/>
  <c r="J752" i="2"/>
  <c r="N752" i="2" s="1"/>
  <c r="H705" i="2"/>
  <c r="K705" i="2" s="1"/>
  <c r="J704" i="2"/>
  <c r="M704" i="2" s="1"/>
  <c r="J721" i="2"/>
  <c r="M721" i="2" s="1"/>
  <c r="J685" i="2"/>
  <c r="N685" i="2" s="1"/>
  <c r="J635" i="2"/>
  <c r="N635" i="2" s="1"/>
  <c r="K676" i="2"/>
  <c r="K734" i="2"/>
  <c r="K765" i="2"/>
  <c r="K706" i="2"/>
  <c r="K652" i="2"/>
  <c r="K682" i="2"/>
  <c r="K668" i="2"/>
  <c r="K728" i="2"/>
  <c r="K745" i="2"/>
  <c r="K687" i="2"/>
  <c r="K711" i="2"/>
  <c r="K733" i="2"/>
  <c r="K656" i="2"/>
  <c r="K672" i="2"/>
  <c r="J719" i="2"/>
  <c r="O719" i="2" s="1"/>
  <c r="H723" i="2"/>
  <c r="K723" i="2" s="1"/>
  <c r="J611" i="2"/>
  <c r="N611" i="2" s="1"/>
  <c r="J703" i="2"/>
  <c r="N703" i="2" s="1"/>
  <c r="K717" i="2"/>
  <c r="H722" i="2"/>
  <c r="K722" i="2" s="1"/>
  <c r="J605" i="2"/>
  <c r="N605" i="2" s="1"/>
  <c r="K681" i="2"/>
  <c r="K693" i="2"/>
  <c r="K700" i="2"/>
  <c r="J702" i="2"/>
  <c r="O702" i="2" s="1"/>
  <c r="K716" i="2"/>
  <c r="H739" i="2"/>
  <c r="K739" i="2" s="1"/>
  <c r="H740" i="2"/>
  <c r="K740" i="2" s="1"/>
  <c r="J738" i="2"/>
  <c r="M738" i="2" s="1"/>
  <c r="J737" i="2"/>
  <c r="N737" i="2" s="1"/>
  <c r="J684" i="2"/>
  <c r="O684" i="2" s="1"/>
  <c r="H688" i="2"/>
  <c r="K688" i="2" s="1"/>
  <c r="J686" i="2"/>
  <c r="M686" i="2" s="1"/>
  <c r="J680" i="2"/>
  <c r="M680" i="2" s="1"/>
  <c r="H647" i="2"/>
  <c r="K647" i="2" s="1"/>
  <c r="H648" i="2"/>
  <c r="K648" i="2" s="1"/>
  <c r="K631" i="2"/>
  <c r="K608" i="2"/>
  <c r="K632" i="2"/>
  <c r="K622" i="2"/>
  <c r="H607" i="2"/>
  <c r="K607" i="2" s="1"/>
  <c r="H613" i="2"/>
  <c r="K613" i="2" s="1"/>
  <c r="P630" i="2"/>
  <c r="J634" i="2"/>
  <c r="P634" i="2" s="1"/>
  <c r="J612" i="2"/>
  <c r="M612" i="2" s="1"/>
  <c r="D639" i="2"/>
  <c r="J640" i="2" s="1"/>
  <c r="H614" i="2"/>
  <c r="K614" i="2" s="1"/>
  <c r="J606" i="2"/>
  <c r="M606" i="2" s="1"/>
  <c r="P628" i="2"/>
  <c r="H638" i="2"/>
  <c r="K638" i="2" s="1"/>
  <c r="H637" i="2"/>
  <c r="K637" i="2" s="1"/>
  <c r="J604" i="2"/>
  <c r="O604" i="2" s="1"/>
  <c r="K618" i="2"/>
  <c r="H626" i="2"/>
  <c r="K626" i="2" s="1"/>
  <c r="J625" i="2"/>
  <c r="M625" i="2" s="1"/>
  <c r="P600" i="2"/>
  <c r="O600" i="2"/>
  <c r="N600" i="2"/>
  <c r="M600" i="2"/>
  <c r="L600" i="2"/>
  <c r="J600" i="2"/>
  <c r="H600" i="2"/>
  <c r="P599" i="2"/>
  <c r="O599" i="2"/>
  <c r="M599" i="2"/>
  <c r="L599" i="2"/>
  <c r="K599" i="2"/>
  <c r="J599" i="2"/>
  <c r="N599" i="2" s="1"/>
  <c r="P598" i="2"/>
  <c r="N598" i="2"/>
  <c r="M598" i="2"/>
  <c r="L598" i="2"/>
  <c r="K598" i="2"/>
  <c r="J598" i="2"/>
  <c r="O598" i="2" s="1"/>
  <c r="P596" i="2"/>
  <c r="O596" i="2"/>
  <c r="N596" i="2"/>
  <c r="M596" i="2"/>
  <c r="L596" i="2"/>
  <c r="J596" i="2"/>
  <c r="H596" i="2"/>
  <c r="P595" i="2"/>
  <c r="O595" i="2"/>
  <c r="M595" i="2"/>
  <c r="L595" i="2"/>
  <c r="K595" i="2"/>
  <c r="J595" i="2"/>
  <c r="N595" i="2" s="1"/>
  <c r="P594" i="2"/>
  <c r="N594" i="2"/>
  <c r="M594" i="2"/>
  <c r="L594" i="2"/>
  <c r="K594" i="2"/>
  <c r="J594" i="2"/>
  <c r="O594" i="2" s="1"/>
  <c r="P592" i="2"/>
  <c r="O592" i="2"/>
  <c r="N592" i="2"/>
  <c r="M592" i="2"/>
  <c r="L592" i="2"/>
  <c r="J592" i="2"/>
  <c r="H592" i="2"/>
  <c r="P591" i="2"/>
  <c r="O591" i="2"/>
  <c r="M591" i="2"/>
  <c r="L591" i="2"/>
  <c r="K591" i="2"/>
  <c r="J591" i="2"/>
  <c r="N591" i="2" s="1"/>
  <c r="P590" i="2"/>
  <c r="N590" i="2"/>
  <c r="M590" i="2"/>
  <c r="L590" i="2"/>
  <c r="K590" i="2"/>
  <c r="J590" i="2"/>
  <c r="O590" i="2" s="1"/>
  <c r="P588" i="2"/>
  <c r="O588" i="2"/>
  <c r="N588" i="2"/>
  <c r="M588" i="2"/>
  <c r="L588" i="2"/>
  <c r="J588" i="2"/>
  <c r="H588" i="2"/>
  <c r="P587" i="2"/>
  <c r="O587" i="2"/>
  <c r="M587" i="2"/>
  <c r="L587" i="2"/>
  <c r="K587" i="2"/>
  <c r="J587" i="2"/>
  <c r="N587" i="2" s="1"/>
  <c r="P586" i="2"/>
  <c r="N586" i="2"/>
  <c r="M586" i="2"/>
  <c r="L586" i="2"/>
  <c r="K586" i="2"/>
  <c r="J586" i="2"/>
  <c r="O586" i="2" s="1"/>
  <c r="P584" i="2"/>
  <c r="O584" i="2"/>
  <c r="N584" i="2"/>
  <c r="M584" i="2"/>
  <c r="L584" i="2"/>
  <c r="J584" i="2"/>
  <c r="H584" i="2"/>
  <c r="P583" i="2"/>
  <c r="O583" i="2"/>
  <c r="M583" i="2"/>
  <c r="L583" i="2"/>
  <c r="K583" i="2"/>
  <c r="J583" i="2"/>
  <c r="N583" i="2" s="1"/>
  <c r="P582" i="2"/>
  <c r="N582" i="2"/>
  <c r="M582" i="2"/>
  <c r="L582" i="2"/>
  <c r="K582" i="2"/>
  <c r="J582" i="2"/>
  <c r="O582" i="2" s="1"/>
  <c r="H580" i="2"/>
  <c r="P580" i="2"/>
  <c r="O580" i="2"/>
  <c r="N580" i="2"/>
  <c r="M580" i="2"/>
  <c r="L580" i="2"/>
  <c r="J580" i="2"/>
  <c r="P579" i="2"/>
  <c r="O579" i="2"/>
  <c r="L579" i="2"/>
  <c r="K579" i="2"/>
  <c r="J579" i="2"/>
  <c r="M579" i="2" s="1"/>
  <c r="P578" i="2"/>
  <c r="M578" i="2"/>
  <c r="L578" i="2"/>
  <c r="K578" i="2"/>
  <c r="J578" i="2"/>
  <c r="N578" i="2" s="1"/>
  <c r="P576" i="2"/>
  <c r="O576" i="2"/>
  <c r="N576" i="2"/>
  <c r="M576" i="2"/>
  <c r="L576" i="2"/>
  <c r="J576" i="2"/>
  <c r="P575" i="2"/>
  <c r="O575" i="2"/>
  <c r="N575" i="2"/>
  <c r="M575" i="2"/>
  <c r="L575" i="2"/>
  <c r="J575" i="2"/>
  <c r="P574" i="2"/>
  <c r="O574" i="2"/>
  <c r="N574" i="2"/>
  <c r="L574" i="2"/>
  <c r="K574" i="2"/>
  <c r="P573" i="2"/>
  <c r="O573" i="2"/>
  <c r="M573" i="2"/>
  <c r="L573" i="2"/>
  <c r="K573" i="2"/>
  <c r="P572" i="2"/>
  <c r="N572" i="2"/>
  <c r="M572" i="2"/>
  <c r="L572" i="2"/>
  <c r="K572" i="2"/>
  <c r="D571" i="2"/>
  <c r="P570" i="2"/>
  <c r="O570" i="2"/>
  <c r="N570" i="2"/>
  <c r="M570" i="2"/>
  <c r="L570" i="2"/>
  <c r="J570" i="2"/>
  <c r="P569" i="2"/>
  <c r="O569" i="2"/>
  <c r="N569" i="2"/>
  <c r="L569" i="2"/>
  <c r="K569" i="2"/>
  <c r="P568" i="2"/>
  <c r="O568" i="2"/>
  <c r="M568" i="2"/>
  <c r="L568" i="2"/>
  <c r="K568" i="2"/>
  <c r="D567" i="2"/>
  <c r="J569" i="2" s="1"/>
  <c r="M569" i="2" s="1"/>
  <c r="P566" i="2"/>
  <c r="O566" i="2"/>
  <c r="N566" i="2"/>
  <c r="M566" i="2"/>
  <c r="L566" i="2"/>
  <c r="J566" i="2"/>
  <c r="P565" i="2"/>
  <c r="O565" i="2"/>
  <c r="N565" i="2"/>
  <c r="M565" i="2"/>
  <c r="L565" i="2"/>
  <c r="J565" i="2"/>
  <c r="P564" i="2"/>
  <c r="O564" i="2"/>
  <c r="N564" i="2"/>
  <c r="L564" i="2"/>
  <c r="K564" i="2"/>
  <c r="P563" i="2"/>
  <c r="O563" i="2"/>
  <c r="M563" i="2"/>
  <c r="L563" i="2"/>
  <c r="K563" i="2"/>
  <c r="P562" i="2"/>
  <c r="N562" i="2"/>
  <c r="M562" i="2"/>
  <c r="L562" i="2"/>
  <c r="K562" i="2"/>
  <c r="D561" i="2"/>
  <c r="P560" i="2"/>
  <c r="O560" i="2"/>
  <c r="N560" i="2"/>
  <c r="M560" i="2"/>
  <c r="L560" i="2"/>
  <c r="J560" i="2"/>
  <c r="P559" i="2"/>
  <c r="O559" i="2"/>
  <c r="N559" i="2"/>
  <c r="M559" i="2"/>
  <c r="L559" i="2"/>
  <c r="J559" i="2"/>
  <c r="P558" i="2"/>
  <c r="O558" i="2"/>
  <c r="N558" i="2"/>
  <c r="L558" i="2"/>
  <c r="K558" i="2"/>
  <c r="P557" i="2"/>
  <c r="O557" i="2"/>
  <c r="M557" i="2"/>
  <c r="L557" i="2"/>
  <c r="K557" i="2"/>
  <c r="P556" i="2"/>
  <c r="N556" i="2"/>
  <c r="M556" i="2"/>
  <c r="L556" i="2"/>
  <c r="K556" i="2"/>
  <c r="D555" i="2"/>
  <c r="P554" i="2"/>
  <c r="O554" i="2"/>
  <c r="N554" i="2"/>
  <c r="M554" i="2"/>
  <c r="L554" i="2"/>
  <c r="J554" i="2"/>
  <c r="P553" i="2"/>
  <c r="O553" i="2"/>
  <c r="N553" i="2"/>
  <c r="L553" i="2"/>
  <c r="K553" i="2"/>
  <c r="P552" i="2"/>
  <c r="O552" i="2"/>
  <c r="M552" i="2"/>
  <c r="L552" i="2"/>
  <c r="K552" i="2"/>
  <c r="D551" i="2"/>
  <c r="J553" i="2" s="1"/>
  <c r="M553" i="2" s="1"/>
  <c r="P550" i="2"/>
  <c r="O550" i="2"/>
  <c r="N550" i="2"/>
  <c r="M550" i="2"/>
  <c r="L550" i="2"/>
  <c r="J550" i="2"/>
  <c r="P549" i="2"/>
  <c r="O549" i="2"/>
  <c r="N549" i="2"/>
  <c r="M549" i="2"/>
  <c r="L549" i="2"/>
  <c r="J549" i="2"/>
  <c r="P548" i="2"/>
  <c r="O548" i="2"/>
  <c r="N548" i="2"/>
  <c r="L548" i="2"/>
  <c r="K548" i="2"/>
  <c r="P547" i="2"/>
  <c r="O547" i="2"/>
  <c r="M547" i="2"/>
  <c r="L547" i="2"/>
  <c r="K547" i="2"/>
  <c r="P546" i="2"/>
  <c r="N546" i="2"/>
  <c r="M546" i="2"/>
  <c r="L546" i="2"/>
  <c r="K546" i="2"/>
  <c r="D545" i="2"/>
  <c r="D539" i="2"/>
  <c r="D535" i="2"/>
  <c r="J537" i="2" s="1"/>
  <c r="M537" i="2" s="1"/>
  <c r="P538" i="2"/>
  <c r="O538" i="2"/>
  <c r="N538" i="2"/>
  <c r="M538" i="2"/>
  <c r="L538" i="2"/>
  <c r="J538" i="2"/>
  <c r="P537" i="2"/>
  <c r="O537" i="2"/>
  <c r="N537" i="2"/>
  <c r="L537" i="2"/>
  <c r="K537" i="2"/>
  <c r="P536" i="2"/>
  <c r="O536" i="2"/>
  <c r="M536" i="2"/>
  <c r="L536" i="2"/>
  <c r="K536" i="2"/>
  <c r="D529" i="2"/>
  <c r="P544" i="2"/>
  <c r="O544" i="2"/>
  <c r="N544" i="2"/>
  <c r="M544" i="2"/>
  <c r="L544" i="2"/>
  <c r="J544" i="2"/>
  <c r="P543" i="2"/>
  <c r="O543" i="2"/>
  <c r="N543" i="2"/>
  <c r="M543" i="2"/>
  <c r="L543" i="2"/>
  <c r="J543" i="2"/>
  <c r="P542" i="2"/>
  <c r="O542" i="2"/>
  <c r="N542" i="2"/>
  <c r="L542" i="2"/>
  <c r="K542" i="2"/>
  <c r="P541" i="2"/>
  <c r="O541" i="2"/>
  <c r="M541" i="2"/>
  <c r="L541" i="2"/>
  <c r="K541" i="2"/>
  <c r="P540" i="2"/>
  <c r="N540" i="2"/>
  <c r="M540" i="2"/>
  <c r="L540" i="2"/>
  <c r="K540" i="2"/>
  <c r="P534" i="2"/>
  <c r="O534" i="2"/>
  <c r="N534" i="2"/>
  <c r="M534" i="2"/>
  <c r="L534" i="2"/>
  <c r="J534" i="2"/>
  <c r="P533" i="2"/>
  <c r="O533" i="2"/>
  <c r="N533" i="2"/>
  <c r="M533" i="2"/>
  <c r="L533" i="2"/>
  <c r="J533" i="2"/>
  <c r="P532" i="2"/>
  <c r="O532" i="2"/>
  <c r="N532" i="2"/>
  <c r="L532" i="2"/>
  <c r="K532" i="2"/>
  <c r="P531" i="2"/>
  <c r="O531" i="2"/>
  <c r="M531" i="2"/>
  <c r="L531" i="2"/>
  <c r="K531" i="2"/>
  <c r="P530" i="2"/>
  <c r="N530" i="2"/>
  <c r="M530" i="2"/>
  <c r="L530" i="2"/>
  <c r="K530" i="2"/>
  <c r="P528" i="2"/>
  <c r="O528" i="2"/>
  <c r="N528" i="2"/>
  <c r="M528" i="2"/>
  <c r="L528" i="2"/>
  <c r="J528" i="2"/>
  <c r="P527" i="2"/>
  <c r="O527" i="2"/>
  <c r="N527" i="2"/>
  <c r="M527" i="2"/>
  <c r="L527" i="2"/>
  <c r="J527" i="2"/>
  <c r="P526" i="2"/>
  <c r="O526" i="2"/>
  <c r="N526" i="2"/>
  <c r="L526" i="2"/>
  <c r="K526" i="2"/>
  <c r="P525" i="2"/>
  <c r="O525" i="2"/>
  <c r="M525" i="2"/>
  <c r="L525" i="2"/>
  <c r="K525" i="2"/>
  <c r="P524" i="2"/>
  <c r="N524" i="2"/>
  <c r="M524" i="2"/>
  <c r="L524" i="2"/>
  <c r="K524" i="2"/>
  <c r="D523" i="2"/>
  <c r="J522" i="2"/>
  <c r="H522" i="2"/>
  <c r="H521" i="2"/>
  <c r="P522" i="2"/>
  <c r="O522" i="2"/>
  <c r="N522" i="2"/>
  <c r="M522" i="2"/>
  <c r="L522" i="2"/>
  <c r="P519" i="2"/>
  <c r="O519" i="2"/>
  <c r="M519" i="2"/>
  <c r="L519" i="2"/>
  <c r="K519" i="2"/>
  <c r="N519" i="2"/>
  <c r="P521" i="2"/>
  <c r="O521" i="2"/>
  <c r="N521" i="2"/>
  <c r="M521" i="2"/>
  <c r="L521" i="2"/>
  <c r="J521" i="2"/>
  <c r="P520" i="2"/>
  <c r="O520" i="2"/>
  <c r="N520" i="2"/>
  <c r="L520" i="2"/>
  <c r="K520" i="2"/>
  <c r="J520" i="2"/>
  <c r="M520" i="2" s="1"/>
  <c r="P518" i="2"/>
  <c r="N518" i="2"/>
  <c r="M518" i="2"/>
  <c r="L518" i="2"/>
  <c r="K518" i="2"/>
  <c r="J518" i="2"/>
  <c r="O518" i="2" s="1"/>
  <c r="P516" i="2"/>
  <c r="O516" i="2"/>
  <c r="N516" i="2"/>
  <c r="M516" i="2"/>
  <c r="L516" i="2"/>
  <c r="J516" i="2"/>
  <c r="H516" i="2"/>
  <c r="P515" i="2"/>
  <c r="O515" i="2"/>
  <c r="N515" i="2"/>
  <c r="L515" i="2"/>
  <c r="K515" i="2"/>
  <c r="J515" i="2"/>
  <c r="M515" i="2" s="1"/>
  <c r="P514" i="2"/>
  <c r="O514" i="2"/>
  <c r="M514" i="2"/>
  <c r="L514" i="2"/>
  <c r="K514" i="2"/>
  <c r="J514" i="2"/>
  <c r="N514" i="2" s="1"/>
  <c r="P512" i="2"/>
  <c r="O512" i="2"/>
  <c r="N512" i="2"/>
  <c r="M512" i="2"/>
  <c r="L512" i="2"/>
  <c r="J512" i="2"/>
  <c r="H512" i="2"/>
  <c r="P511" i="2"/>
  <c r="O511" i="2"/>
  <c r="N511" i="2"/>
  <c r="L511" i="2"/>
  <c r="K511" i="2"/>
  <c r="J511" i="2"/>
  <c r="M511" i="2" s="1"/>
  <c r="P510" i="2"/>
  <c r="O510" i="2"/>
  <c r="M510" i="2"/>
  <c r="L510" i="2"/>
  <c r="K510" i="2"/>
  <c r="J510" i="2"/>
  <c r="N510" i="2" s="1"/>
  <c r="P508" i="2"/>
  <c r="O508" i="2"/>
  <c r="N508" i="2"/>
  <c r="M508" i="2"/>
  <c r="L508" i="2"/>
  <c r="J508" i="2"/>
  <c r="H508" i="2"/>
  <c r="P507" i="2"/>
  <c r="O507" i="2"/>
  <c r="N507" i="2"/>
  <c r="L507" i="2"/>
  <c r="K507" i="2"/>
  <c r="J507" i="2"/>
  <c r="M507" i="2" s="1"/>
  <c r="P506" i="2"/>
  <c r="O506" i="2"/>
  <c r="M506" i="2"/>
  <c r="L506" i="2"/>
  <c r="K506" i="2"/>
  <c r="J506" i="2"/>
  <c r="N506" i="2" s="1"/>
  <c r="P504" i="2"/>
  <c r="O504" i="2"/>
  <c r="N504" i="2"/>
  <c r="M504" i="2"/>
  <c r="L504" i="2"/>
  <c r="J504" i="2"/>
  <c r="H504" i="2"/>
  <c r="P503" i="2"/>
  <c r="O503" i="2"/>
  <c r="N503" i="2"/>
  <c r="L503" i="2"/>
  <c r="K503" i="2"/>
  <c r="J503" i="2"/>
  <c r="M503" i="2" s="1"/>
  <c r="P502" i="2"/>
  <c r="O502" i="2"/>
  <c r="M502" i="2"/>
  <c r="L502" i="2"/>
  <c r="K502" i="2"/>
  <c r="J502" i="2"/>
  <c r="N502" i="2" s="1"/>
  <c r="P500" i="2"/>
  <c r="O500" i="2"/>
  <c r="N500" i="2"/>
  <c r="M500" i="2"/>
  <c r="L500" i="2"/>
  <c r="J500" i="2"/>
  <c r="H500" i="2"/>
  <c r="P499" i="2"/>
  <c r="O499" i="2"/>
  <c r="N499" i="2"/>
  <c r="L499" i="2"/>
  <c r="K499" i="2"/>
  <c r="J499" i="2"/>
  <c r="M499" i="2" s="1"/>
  <c r="P498" i="2"/>
  <c r="O498" i="2"/>
  <c r="M498" i="2"/>
  <c r="L498" i="2"/>
  <c r="K498" i="2"/>
  <c r="J498" i="2"/>
  <c r="N498" i="2" s="1"/>
  <c r="H496" i="2"/>
  <c r="J495" i="2"/>
  <c r="M495" i="2" s="1"/>
  <c r="P495" i="2"/>
  <c r="O495" i="2"/>
  <c r="N495" i="2"/>
  <c r="L495" i="2"/>
  <c r="K495" i="2"/>
  <c r="J496" i="2"/>
  <c r="L496" i="2"/>
  <c r="M496" i="2"/>
  <c r="N496" i="2"/>
  <c r="O496" i="2"/>
  <c r="P496" i="2"/>
  <c r="P494" i="2"/>
  <c r="O494" i="2"/>
  <c r="L494" i="2"/>
  <c r="K494" i="2"/>
  <c r="J494" i="2"/>
  <c r="M494" i="2" s="1"/>
  <c r="P492" i="2"/>
  <c r="O492" i="2"/>
  <c r="N492" i="2"/>
  <c r="M492" i="2"/>
  <c r="L492" i="2"/>
  <c r="J492" i="2"/>
  <c r="H492" i="2"/>
  <c r="P491" i="2"/>
  <c r="O491" i="2"/>
  <c r="N491" i="2"/>
  <c r="L491" i="2"/>
  <c r="K491" i="2"/>
  <c r="J491" i="2"/>
  <c r="M491" i="2" s="1"/>
  <c r="P489" i="2"/>
  <c r="O489" i="2"/>
  <c r="N489" i="2"/>
  <c r="M489" i="2"/>
  <c r="L489" i="2"/>
  <c r="J489" i="2"/>
  <c r="H489" i="2"/>
  <c r="P488" i="2"/>
  <c r="O488" i="2"/>
  <c r="N488" i="2"/>
  <c r="L488" i="2"/>
  <c r="K488" i="2"/>
  <c r="J488" i="2"/>
  <c r="M488" i="2" s="1"/>
  <c r="P486" i="2"/>
  <c r="O486" i="2"/>
  <c r="N486" i="2"/>
  <c r="M486" i="2"/>
  <c r="L486" i="2"/>
  <c r="J486" i="2"/>
  <c r="P485" i="2"/>
  <c r="O485" i="2"/>
  <c r="N485" i="2"/>
  <c r="L485" i="2"/>
  <c r="K485" i="2"/>
  <c r="P483" i="2"/>
  <c r="O483" i="2"/>
  <c r="N483" i="2"/>
  <c r="M483" i="2"/>
  <c r="L483" i="2"/>
  <c r="J483" i="2"/>
  <c r="P482" i="2"/>
  <c r="O482" i="2"/>
  <c r="N482" i="2"/>
  <c r="L482" i="2"/>
  <c r="K482" i="2"/>
  <c r="P480" i="2"/>
  <c r="O480" i="2"/>
  <c r="N480" i="2"/>
  <c r="M480" i="2"/>
  <c r="L480" i="2"/>
  <c r="J480" i="2"/>
  <c r="H480" i="2"/>
  <c r="P479" i="2"/>
  <c r="O479" i="2"/>
  <c r="N479" i="2"/>
  <c r="L479" i="2"/>
  <c r="K479" i="2"/>
  <c r="J479" i="2"/>
  <c r="M479" i="2" s="1"/>
  <c r="P477" i="2"/>
  <c r="O477" i="2"/>
  <c r="N477" i="2"/>
  <c r="M477" i="2"/>
  <c r="L477" i="2"/>
  <c r="J477" i="2"/>
  <c r="H477" i="2"/>
  <c r="P476" i="2"/>
  <c r="O476" i="2"/>
  <c r="N476" i="2"/>
  <c r="L476" i="2"/>
  <c r="K476" i="2"/>
  <c r="J476" i="2"/>
  <c r="M476" i="2" s="1"/>
  <c r="J473" i="2"/>
  <c r="M473" i="2" s="1"/>
  <c r="D484" i="2"/>
  <c r="J485" i="2" s="1"/>
  <c r="M485" i="2" s="1"/>
  <c r="D481" i="2"/>
  <c r="H483" i="2" s="1"/>
  <c r="H474" i="2"/>
  <c r="P474" i="2"/>
  <c r="O474" i="2"/>
  <c r="N474" i="2"/>
  <c r="M474" i="2"/>
  <c r="L474" i="2"/>
  <c r="J474" i="2"/>
  <c r="P473" i="2"/>
  <c r="N473" i="2"/>
  <c r="L473" i="2"/>
  <c r="K473" i="2"/>
  <c r="O473" i="2"/>
  <c r="M469" i="2"/>
  <c r="L469" i="2"/>
  <c r="H441" i="2"/>
  <c r="H440" i="2"/>
  <c r="J451" i="2"/>
  <c r="J456" i="2"/>
  <c r="J455" i="2"/>
  <c r="J447" i="2"/>
  <c r="J443" i="2"/>
  <c r="J425" i="2"/>
  <c r="J421" i="2"/>
  <c r="J404" i="2"/>
  <c r="J400" i="2"/>
  <c r="J399" i="2"/>
  <c r="J395" i="2"/>
  <c r="J376" i="2"/>
  <c r="J375" i="2"/>
  <c r="J371" i="2"/>
  <c r="J370" i="2"/>
  <c r="J366" i="2"/>
  <c r="J365" i="2"/>
  <c r="D466" i="2"/>
  <c r="H467" i="2" s="1"/>
  <c r="M468" i="2"/>
  <c r="M467" i="2"/>
  <c r="M466" i="2"/>
  <c r="L466" i="2"/>
  <c r="E466" i="2"/>
  <c r="J468" i="2" s="1"/>
  <c r="E462" i="2"/>
  <c r="H464" i="2" s="1"/>
  <c r="D462" i="2"/>
  <c r="H463" i="2" s="1"/>
  <c r="M464" i="2"/>
  <c r="H336" i="2"/>
  <c r="H335" i="2"/>
  <c r="H331" i="2"/>
  <c r="H330" i="2"/>
  <c r="H326" i="2"/>
  <c r="H325" i="2"/>
  <c r="H321" i="2"/>
  <c r="H320" i="2"/>
  <c r="H316" i="2"/>
  <c r="H315" i="2"/>
  <c r="H311" i="2"/>
  <c r="H310" i="2"/>
  <c r="H306" i="2"/>
  <c r="H305" i="2"/>
  <c r="H301" i="2"/>
  <c r="H300" i="2"/>
  <c r="H296" i="2"/>
  <c r="H295" i="2"/>
  <c r="H291" i="2"/>
  <c r="H290" i="2"/>
  <c r="H286" i="2"/>
  <c r="H285" i="2"/>
  <c r="H281" i="2"/>
  <c r="H280" i="2"/>
  <c r="D357" i="2"/>
  <c r="J358" i="2" s="1"/>
  <c r="M358" i="2" s="1"/>
  <c r="P361" i="2"/>
  <c r="O361" i="2"/>
  <c r="N361" i="2"/>
  <c r="M361" i="2"/>
  <c r="L361" i="2"/>
  <c r="J361" i="2"/>
  <c r="P360" i="2"/>
  <c r="O360" i="2"/>
  <c r="N360" i="2"/>
  <c r="M360" i="2"/>
  <c r="L360" i="2"/>
  <c r="J360" i="2"/>
  <c r="P359" i="2"/>
  <c r="O359" i="2"/>
  <c r="N359" i="2"/>
  <c r="L359" i="2"/>
  <c r="K359" i="2"/>
  <c r="P358" i="2"/>
  <c r="O358" i="2"/>
  <c r="N358" i="2"/>
  <c r="L358" i="2"/>
  <c r="K358" i="2"/>
  <c r="S357" i="2"/>
  <c r="P357" i="2"/>
  <c r="O357" i="2"/>
  <c r="N357" i="2"/>
  <c r="M357" i="2"/>
  <c r="L357" i="2"/>
  <c r="K357" i="2"/>
  <c r="D352" i="2"/>
  <c r="H356" i="2" s="1"/>
  <c r="D347" i="2"/>
  <c r="H351" i="2" s="1"/>
  <c r="D342" i="2"/>
  <c r="H346" i="2" s="1"/>
  <c r="D337" i="2"/>
  <c r="H341" i="2" s="1"/>
  <c r="H249" i="2"/>
  <c r="H248" i="2"/>
  <c r="H244" i="2"/>
  <c r="H243" i="2"/>
  <c r="H234" i="2"/>
  <c r="H233" i="2"/>
  <c r="H224" i="2"/>
  <c r="H223" i="2"/>
  <c r="H219" i="2"/>
  <c r="H218" i="2"/>
  <c r="H214" i="2"/>
  <c r="H213" i="2"/>
  <c r="H209" i="2"/>
  <c r="H208" i="2"/>
  <c r="H203" i="2"/>
  <c r="H202" i="2"/>
  <c r="H198" i="2"/>
  <c r="H197" i="2"/>
  <c r="H193" i="2"/>
  <c r="H192" i="2"/>
  <c r="H188" i="2"/>
  <c r="H187" i="2"/>
  <c r="H183" i="2"/>
  <c r="H182" i="2"/>
  <c r="D270" i="2"/>
  <c r="H274" i="2" s="1"/>
  <c r="D265" i="2"/>
  <c r="H269" i="2" s="1"/>
  <c r="D260" i="2"/>
  <c r="H264" i="2" s="1"/>
  <c r="D250" i="2"/>
  <c r="H253" i="2" s="1"/>
  <c r="D235" i="2"/>
  <c r="H239" i="2" s="1"/>
  <c r="D225" i="2"/>
  <c r="H229" i="2" s="1"/>
  <c r="S193" i="2"/>
  <c r="Q193" i="2"/>
  <c r="P193" i="2"/>
  <c r="O193" i="2"/>
  <c r="N193" i="2"/>
  <c r="M193" i="2"/>
  <c r="L193" i="2"/>
  <c r="J193" i="2"/>
  <c r="S192" i="2"/>
  <c r="Q192" i="2"/>
  <c r="P192" i="2"/>
  <c r="O192" i="2"/>
  <c r="N192" i="2"/>
  <c r="M192" i="2"/>
  <c r="L192" i="2"/>
  <c r="J192" i="2"/>
  <c r="S191" i="2"/>
  <c r="Q191" i="2"/>
  <c r="P191" i="2"/>
  <c r="O191" i="2"/>
  <c r="L191" i="2"/>
  <c r="K191" i="2"/>
  <c r="J191" i="2"/>
  <c r="N191" i="2" s="1"/>
  <c r="S190" i="2"/>
  <c r="Q190" i="2"/>
  <c r="P190" i="2"/>
  <c r="M190" i="2"/>
  <c r="L190" i="2"/>
  <c r="K190" i="2"/>
  <c r="J190" i="2"/>
  <c r="O190" i="2" s="1"/>
  <c r="S189" i="2"/>
  <c r="Q189" i="2"/>
  <c r="P189" i="2"/>
  <c r="O189" i="2"/>
  <c r="N189" i="2"/>
  <c r="M189" i="2"/>
  <c r="L189" i="2"/>
  <c r="K189" i="2"/>
  <c r="S74" i="2"/>
  <c r="Q74" i="2"/>
  <c r="P74" i="2"/>
  <c r="O74" i="2"/>
  <c r="M74" i="2"/>
  <c r="L74" i="2"/>
  <c r="K74" i="2"/>
  <c r="J74" i="2"/>
  <c r="N74" i="2" s="1"/>
  <c r="S73" i="2"/>
  <c r="Q73" i="2"/>
  <c r="P73" i="2"/>
  <c r="O73" i="2"/>
  <c r="M73" i="2"/>
  <c r="L73" i="2"/>
  <c r="K73" i="2"/>
  <c r="J73" i="2"/>
  <c r="N73" i="2" s="1"/>
  <c r="S72" i="2"/>
  <c r="Q72" i="2"/>
  <c r="P72" i="2"/>
  <c r="O72" i="2"/>
  <c r="N72" i="2"/>
  <c r="M72" i="2"/>
  <c r="L72" i="2"/>
  <c r="K72" i="2"/>
  <c r="K9" i="2"/>
  <c r="L9" i="2"/>
  <c r="M9" i="2"/>
  <c r="N9" i="2"/>
  <c r="O9" i="2"/>
  <c r="P9" i="2"/>
  <c r="Q9" i="2"/>
  <c r="R9" i="2"/>
  <c r="S9" i="2"/>
  <c r="J10" i="2"/>
  <c r="N10" i="2" s="1"/>
  <c r="K10" i="2"/>
  <c r="L10" i="2"/>
  <c r="M10" i="2"/>
  <c r="O10" i="2"/>
  <c r="P10" i="2"/>
  <c r="Q10" i="2"/>
  <c r="R10" i="2"/>
  <c r="S10" i="2"/>
  <c r="J540" i="2" l="1"/>
  <c r="O540" i="2" s="1"/>
  <c r="J541" i="2"/>
  <c r="N541" i="2" s="1"/>
  <c r="J524" i="2"/>
  <c r="O524" i="2" s="1"/>
  <c r="J525" i="2"/>
  <c r="N525" i="2" s="1"/>
  <c r="J546" i="2"/>
  <c r="O546" i="2" s="1"/>
  <c r="J547" i="2"/>
  <c r="N547" i="2" s="1"/>
  <c r="H575" i="2"/>
  <c r="K575" i="2" s="1"/>
  <c r="J573" i="2"/>
  <c r="N573" i="2" s="1"/>
  <c r="H566" i="2"/>
  <c r="K566" i="2" s="1"/>
  <c r="J563" i="2"/>
  <c r="N563" i="2" s="1"/>
  <c r="J530" i="2"/>
  <c r="O530" i="2" s="1"/>
  <c r="J531" i="2"/>
  <c r="N531" i="2" s="1"/>
  <c r="H559" i="2"/>
  <c r="K559" i="2" s="1"/>
  <c r="J557" i="2"/>
  <c r="N557" i="2" s="1"/>
  <c r="H534" i="2"/>
  <c r="K534" i="2" s="1"/>
  <c r="P640" i="2"/>
  <c r="N640" i="2"/>
  <c r="K580" i="2"/>
  <c r="H549" i="2"/>
  <c r="K549" i="2" s="1"/>
  <c r="J574" i="2"/>
  <c r="M574" i="2" s="1"/>
  <c r="J564" i="2"/>
  <c r="M564" i="2" s="1"/>
  <c r="H641" i="2"/>
  <c r="H642" i="2"/>
  <c r="K642" i="2" s="1"/>
  <c r="O578" i="2"/>
  <c r="H550" i="2"/>
  <c r="K550" i="2" s="1"/>
  <c r="K584" i="2"/>
  <c r="K596" i="2"/>
  <c r="J558" i="2"/>
  <c r="M558" i="2" s="1"/>
  <c r="N494" i="2"/>
  <c r="H538" i="2"/>
  <c r="K538" i="2" s="1"/>
  <c r="J572" i="2"/>
  <c r="O572" i="2" s="1"/>
  <c r="K592" i="2"/>
  <c r="K500" i="2"/>
  <c r="K600" i="2"/>
  <c r="K512" i="2"/>
  <c r="J556" i="2"/>
  <c r="O556" i="2" s="1"/>
  <c r="H576" i="2"/>
  <c r="K576" i="2" s="1"/>
  <c r="N579" i="2"/>
  <c r="K516" i="2"/>
  <c r="J536" i="2"/>
  <c r="N536" i="2" s="1"/>
  <c r="H560" i="2"/>
  <c r="K560" i="2" s="1"/>
  <c r="J562" i="2"/>
  <c r="O562" i="2" s="1"/>
  <c r="J568" i="2"/>
  <c r="N568" i="2" s="1"/>
  <c r="K508" i="2"/>
  <c r="K588" i="2"/>
  <c r="H570" i="2"/>
  <c r="K570" i="2" s="1"/>
  <c r="H565" i="2"/>
  <c r="K565" i="2" s="1"/>
  <c r="H554" i="2"/>
  <c r="K554" i="2" s="1"/>
  <c r="J548" i="2"/>
  <c r="M548" i="2" s="1"/>
  <c r="J552" i="2"/>
  <c r="N552" i="2" s="1"/>
  <c r="H486" i="2"/>
  <c r="K486" i="2" s="1"/>
  <c r="K474" i="2"/>
  <c r="H527" i="2"/>
  <c r="K527" i="2" s="1"/>
  <c r="H528" i="2"/>
  <c r="K528" i="2" s="1"/>
  <c r="K496" i="2"/>
  <c r="K480" i="2"/>
  <c r="J526" i="2"/>
  <c r="M526" i="2" s="1"/>
  <c r="K483" i="2"/>
  <c r="K504" i="2"/>
  <c r="K521" i="2"/>
  <c r="J532" i="2"/>
  <c r="M532" i="2" s="1"/>
  <c r="H533" i="2"/>
  <c r="K533" i="2" s="1"/>
  <c r="H543" i="2"/>
  <c r="K543" i="2" s="1"/>
  <c r="H544" i="2"/>
  <c r="K544" i="2" s="1"/>
  <c r="J542" i="2"/>
  <c r="M542" i="2" s="1"/>
  <c r="K522" i="2"/>
  <c r="J464" i="2"/>
  <c r="L464" i="2" s="1"/>
  <c r="H468" i="2"/>
  <c r="L468" i="2" s="1"/>
  <c r="J467" i="2"/>
  <c r="L467" i="2" s="1"/>
  <c r="K477" i="2"/>
  <c r="K489" i="2"/>
  <c r="J482" i="2"/>
  <c r="M482" i="2" s="1"/>
  <c r="K492" i="2"/>
  <c r="J463" i="2"/>
  <c r="H263" i="2"/>
  <c r="H254" i="2"/>
  <c r="H345" i="2"/>
  <c r="H350" i="2"/>
  <c r="H238" i="2"/>
  <c r="M191" i="2"/>
  <c r="H355" i="2"/>
  <c r="N190" i="2"/>
  <c r="H340" i="2"/>
  <c r="H360" i="2"/>
  <c r="K360" i="2" s="1"/>
  <c r="H361" i="2"/>
  <c r="K361" i="2" s="1"/>
  <c r="H268" i="2"/>
  <c r="H228" i="2"/>
  <c r="H273" i="2"/>
  <c r="J359" i="2"/>
  <c r="M359" i="2" s="1"/>
  <c r="K192" i="2"/>
  <c r="K193" i="2"/>
  <c r="K328" i="1"/>
  <c r="L328" i="1" s="1"/>
  <c r="K327" i="1"/>
  <c r="L327" i="1" s="1"/>
  <c r="M218" i="1"/>
  <c r="N206" i="1" s="1"/>
  <c r="M500" i="1" l="1"/>
  <c r="K641" i="2"/>
  <c r="L641" i="2"/>
  <c r="S254" i="2" l="1"/>
  <c r="P254" i="2"/>
  <c r="O254" i="2"/>
  <c r="N254" i="2"/>
  <c r="M254" i="2"/>
  <c r="L254" i="2"/>
  <c r="J254" i="2"/>
  <c r="S253" i="2"/>
  <c r="P253" i="2"/>
  <c r="O253" i="2"/>
  <c r="N253" i="2"/>
  <c r="M253" i="2"/>
  <c r="L253" i="2"/>
  <c r="J253" i="2"/>
  <c r="S252" i="2"/>
  <c r="Q252" i="2"/>
  <c r="P252" i="2"/>
  <c r="O252" i="2"/>
  <c r="L252" i="2"/>
  <c r="K252" i="2"/>
  <c r="J252" i="2"/>
  <c r="N252" i="2" s="1"/>
  <c r="S251" i="2"/>
  <c r="Q251" i="2"/>
  <c r="P251" i="2"/>
  <c r="M251" i="2"/>
  <c r="L251" i="2"/>
  <c r="K251" i="2"/>
  <c r="J251" i="2"/>
  <c r="O251" i="2" s="1"/>
  <c r="S250" i="2"/>
  <c r="Q250" i="2"/>
  <c r="P250" i="2"/>
  <c r="O250" i="2"/>
  <c r="N250" i="2"/>
  <c r="M250" i="2"/>
  <c r="L250" i="2"/>
  <c r="K250" i="2"/>
  <c r="S249" i="2"/>
  <c r="Q249" i="2"/>
  <c r="P249" i="2"/>
  <c r="O249" i="2"/>
  <c r="N249" i="2"/>
  <c r="M249" i="2"/>
  <c r="L249" i="2"/>
  <c r="J249" i="2"/>
  <c r="S248" i="2"/>
  <c r="Q248" i="2"/>
  <c r="P248" i="2"/>
  <c r="O248" i="2"/>
  <c r="N248" i="2"/>
  <c r="M248" i="2"/>
  <c r="L248" i="2"/>
  <c r="J248" i="2"/>
  <c r="S247" i="2"/>
  <c r="Q247" i="2"/>
  <c r="P247" i="2"/>
  <c r="O247" i="2"/>
  <c r="L247" i="2"/>
  <c r="K247" i="2"/>
  <c r="J247" i="2"/>
  <c r="N247" i="2" s="1"/>
  <c r="S246" i="2"/>
  <c r="Q246" i="2"/>
  <c r="P246" i="2"/>
  <c r="M246" i="2"/>
  <c r="L246" i="2"/>
  <c r="K246" i="2"/>
  <c r="J246" i="2"/>
  <c r="O246" i="2" s="1"/>
  <c r="S245" i="2"/>
  <c r="Q245" i="2"/>
  <c r="P245" i="2"/>
  <c r="O245" i="2"/>
  <c r="N245" i="2"/>
  <c r="M245" i="2"/>
  <c r="L245" i="2"/>
  <c r="K245" i="2"/>
  <c r="S244" i="2"/>
  <c r="Q244" i="2"/>
  <c r="P244" i="2"/>
  <c r="O244" i="2"/>
  <c r="N244" i="2"/>
  <c r="M244" i="2"/>
  <c r="L244" i="2"/>
  <c r="J244" i="2"/>
  <c r="S243" i="2"/>
  <c r="Q243" i="2"/>
  <c r="P243" i="2"/>
  <c r="O243" i="2"/>
  <c r="N243" i="2"/>
  <c r="M243" i="2"/>
  <c r="L243" i="2"/>
  <c r="J243" i="2"/>
  <c r="S242" i="2"/>
  <c r="Q242" i="2"/>
  <c r="P242" i="2"/>
  <c r="O242" i="2"/>
  <c r="L242" i="2"/>
  <c r="K242" i="2"/>
  <c r="J242" i="2"/>
  <c r="N242" i="2" s="1"/>
  <c r="S241" i="2"/>
  <c r="Q241" i="2"/>
  <c r="P241" i="2"/>
  <c r="M241" i="2"/>
  <c r="L241" i="2"/>
  <c r="K241" i="2"/>
  <c r="J241" i="2"/>
  <c r="O241" i="2" s="1"/>
  <c r="S240" i="2"/>
  <c r="Q240" i="2"/>
  <c r="P240" i="2"/>
  <c r="O240" i="2"/>
  <c r="N240" i="2"/>
  <c r="M240" i="2"/>
  <c r="L240" i="2"/>
  <c r="K240" i="2"/>
  <c r="S203" i="2"/>
  <c r="Q203" i="2"/>
  <c r="P203" i="2"/>
  <c r="O203" i="2"/>
  <c r="N203" i="2"/>
  <c r="M203" i="2"/>
  <c r="L203" i="2"/>
  <c r="J203" i="2"/>
  <c r="S202" i="2"/>
  <c r="Q202" i="2"/>
  <c r="P202" i="2"/>
  <c r="O202" i="2"/>
  <c r="N202" i="2"/>
  <c r="M202" i="2"/>
  <c r="L202" i="2"/>
  <c r="J202" i="2"/>
  <c r="S201" i="2"/>
  <c r="Q201" i="2"/>
  <c r="P201" i="2"/>
  <c r="O201" i="2"/>
  <c r="M201" i="2"/>
  <c r="L201" i="2"/>
  <c r="K201" i="2"/>
  <c r="J201" i="2"/>
  <c r="N201" i="2" s="1"/>
  <c r="S200" i="2"/>
  <c r="Q200" i="2"/>
  <c r="P200" i="2"/>
  <c r="N200" i="2"/>
  <c r="L200" i="2"/>
  <c r="K200" i="2"/>
  <c r="J200" i="2"/>
  <c r="O200" i="2" s="1"/>
  <c r="S199" i="2"/>
  <c r="Q199" i="2"/>
  <c r="P199" i="2"/>
  <c r="O199" i="2"/>
  <c r="N199" i="2"/>
  <c r="M199" i="2"/>
  <c r="L199" i="2"/>
  <c r="K199" i="2"/>
  <c r="S198" i="2"/>
  <c r="Q198" i="2"/>
  <c r="P198" i="2"/>
  <c r="O198" i="2"/>
  <c r="N198" i="2"/>
  <c r="M198" i="2"/>
  <c r="L198" i="2"/>
  <c r="J198" i="2"/>
  <c r="S197" i="2"/>
  <c r="Q197" i="2"/>
  <c r="P197" i="2"/>
  <c r="O197" i="2"/>
  <c r="N197" i="2"/>
  <c r="M197" i="2"/>
  <c r="L197" i="2"/>
  <c r="J197" i="2"/>
  <c r="S196" i="2"/>
  <c r="Q196" i="2"/>
  <c r="P196" i="2"/>
  <c r="O196" i="2"/>
  <c r="L196" i="2"/>
  <c r="K196" i="2"/>
  <c r="J196" i="2"/>
  <c r="N196" i="2" s="1"/>
  <c r="S195" i="2"/>
  <c r="Q195" i="2"/>
  <c r="P195" i="2"/>
  <c r="M195" i="2"/>
  <c r="L195" i="2"/>
  <c r="K195" i="2"/>
  <c r="J195" i="2"/>
  <c r="O195" i="2" s="1"/>
  <c r="S194" i="2"/>
  <c r="Q194" i="2"/>
  <c r="P194" i="2"/>
  <c r="O194" i="2"/>
  <c r="N194" i="2"/>
  <c r="M194" i="2"/>
  <c r="L194" i="2"/>
  <c r="K194" i="2"/>
  <c r="L18" i="1"/>
  <c r="L15" i="1"/>
  <c r="K16" i="1"/>
  <c r="L16" i="1" s="1"/>
  <c r="K17" i="1"/>
  <c r="L17" i="1" s="1"/>
  <c r="K19" i="1"/>
  <c r="L19" i="1" s="1"/>
  <c r="K20" i="1"/>
  <c r="L20" i="1" s="1"/>
  <c r="K21" i="1"/>
  <c r="L21" i="1" s="1"/>
  <c r="K14" i="1"/>
  <c r="L14" i="1" s="1"/>
  <c r="M200" i="2" l="1"/>
  <c r="N241" i="2"/>
  <c r="M242" i="2"/>
  <c r="N251" i="2"/>
  <c r="M252" i="2"/>
  <c r="M247" i="2"/>
  <c r="N246" i="2"/>
  <c r="M196" i="2"/>
  <c r="N195" i="2"/>
  <c r="K198" i="2"/>
  <c r="K249" i="2"/>
  <c r="M22" i="1"/>
  <c r="K244" i="2"/>
  <c r="K197" i="2"/>
  <c r="K253" i="2"/>
  <c r="K248" i="2"/>
  <c r="K243" i="2"/>
  <c r="K202" i="2"/>
  <c r="K254" i="2"/>
  <c r="K203" i="2"/>
  <c r="L446" i="2" l="1"/>
  <c r="P444" i="2"/>
  <c r="N445" i="2"/>
  <c r="M451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323" i="2"/>
  <c r="L324" i="2"/>
  <c r="L325" i="2"/>
  <c r="L326" i="2"/>
  <c r="L327" i="2"/>
  <c r="L328" i="2"/>
  <c r="L329" i="2"/>
  <c r="L330" i="2"/>
  <c r="L331" i="2"/>
  <c r="L332" i="2"/>
  <c r="L333" i="2"/>
  <c r="L334" i="2"/>
  <c r="L335" i="2"/>
  <c r="L336" i="2"/>
  <c r="L337" i="2"/>
  <c r="L338" i="2"/>
  <c r="L339" i="2"/>
  <c r="L340" i="2"/>
  <c r="L341" i="2"/>
  <c r="L342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1" i="2"/>
  <c r="L462" i="2"/>
  <c r="P779" i="2"/>
  <c r="O779" i="2"/>
  <c r="N779" i="2"/>
  <c r="M779" i="2"/>
  <c r="L779" i="2"/>
  <c r="K779" i="2"/>
  <c r="M459" i="2"/>
  <c r="M461" i="2"/>
  <c r="M462" i="2"/>
  <c r="M463" i="2"/>
  <c r="J182" i="2"/>
  <c r="P441" i="2"/>
  <c r="P442" i="2"/>
  <c r="P443" i="2"/>
  <c r="P445" i="2"/>
  <c r="P446" i="2"/>
  <c r="P447" i="2"/>
  <c r="P448" i="2"/>
  <c r="P449" i="2"/>
  <c r="O447" i="2"/>
  <c r="J433" i="2"/>
  <c r="O433" i="2" s="1"/>
  <c r="J429" i="2"/>
  <c r="O429" i="2" s="1"/>
  <c r="O425" i="2"/>
  <c r="J417" i="2"/>
  <c r="O417" i="2" s="1"/>
  <c r="J413" i="2"/>
  <c r="O404" i="2"/>
  <c r="J439" i="2"/>
  <c r="J438" i="2"/>
  <c r="O438" i="2" s="1"/>
  <c r="J409" i="2"/>
  <c r="M409" i="2" s="1"/>
  <c r="J408" i="2"/>
  <c r="O408" i="2" s="1"/>
  <c r="J396" i="2"/>
  <c r="J391" i="2"/>
  <c r="M391" i="2" s="1"/>
  <c r="J390" i="2"/>
  <c r="J386" i="2"/>
  <c r="M386" i="2" s="1"/>
  <c r="J385" i="2"/>
  <c r="J381" i="2"/>
  <c r="M381" i="2" s="1"/>
  <c r="J380" i="2"/>
  <c r="O380" i="2" s="1"/>
  <c r="O375" i="2"/>
  <c r="O370" i="2"/>
  <c r="H458" i="2"/>
  <c r="H457" i="2"/>
  <c r="H453" i="2"/>
  <c r="H452" i="2"/>
  <c r="H449" i="2"/>
  <c r="H448" i="2"/>
  <c r="H445" i="2"/>
  <c r="H444" i="2"/>
  <c r="O458" i="2"/>
  <c r="O457" i="2"/>
  <c r="O456" i="2"/>
  <c r="O454" i="2"/>
  <c r="O453" i="2"/>
  <c r="O452" i="2"/>
  <c r="O451" i="2"/>
  <c r="O450" i="2"/>
  <c r="O449" i="2"/>
  <c r="O448" i="2"/>
  <c r="O446" i="2"/>
  <c r="O445" i="2"/>
  <c r="O444" i="2"/>
  <c r="O443" i="2"/>
  <c r="O442" i="2"/>
  <c r="O441" i="2"/>
  <c r="O440" i="2"/>
  <c r="O439" i="2"/>
  <c r="O437" i="2"/>
  <c r="O436" i="2"/>
  <c r="O435" i="2"/>
  <c r="O434" i="2"/>
  <c r="O432" i="2"/>
  <c r="O431" i="2"/>
  <c r="O430" i="2"/>
  <c r="O428" i="2"/>
  <c r="O427" i="2"/>
  <c r="O426" i="2"/>
  <c r="O424" i="2"/>
  <c r="O423" i="2"/>
  <c r="O422" i="2"/>
  <c r="O420" i="2"/>
  <c r="O419" i="2"/>
  <c r="O418" i="2"/>
  <c r="O416" i="2"/>
  <c r="O415" i="2"/>
  <c r="O414" i="2"/>
  <c r="O412" i="2"/>
  <c r="O411" i="2"/>
  <c r="O410" i="2"/>
  <c r="O409" i="2"/>
  <c r="O407" i="2"/>
  <c r="O406" i="2"/>
  <c r="O405" i="2"/>
  <c r="O403" i="2"/>
  <c r="O402" i="2"/>
  <c r="O401" i="2"/>
  <c r="O400" i="2"/>
  <c r="O399" i="2"/>
  <c r="O398" i="2"/>
  <c r="O397" i="2"/>
  <c r="O396" i="2"/>
  <c r="O395" i="2"/>
  <c r="O394" i="2"/>
  <c r="O393" i="2"/>
  <c r="O392" i="2"/>
  <c r="O391" i="2"/>
  <c r="O389" i="2"/>
  <c r="O388" i="2"/>
  <c r="O387" i="2"/>
  <c r="O386" i="2"/>
  <c r="O384" i="2"/>
  <c r="O383" i="2"/>
  <c r="O382" i="2"/>
  <c r="O381" i="2"/>
  <c r="O379" i="2"/>
  <c r="O378" i="2"/>
  <c r="O377" i="2"/>
  <c r="O376" i="2"/>
  <c r="O374" i="2"/>
  <c r="O373" i="2"/>
  <c r="O372" i="2"/>
  <c r="O371" i="2"/>
  <c r="O369" i="2"/>
  <c r="O368" i="2"/>
  <c r="O367" i="2"/>
  <c r="O366" i="2"/>
  <c r="O364" i="2"/>
  <c r="O363" i="2"/>
  <c r="O362" i="2"/>
  <c r="O356" i="2"/>
  <c r="O355" i="2"/>
  <c r="O354" i="2"/>
  <c r="O353" i="2"/>
  <c r="O352" i="2"/>
  <c r="O351" i="2"/>
  <c r="O350" i="2"/>
  <c r="O349" i="2"/>
  <c r="O348" i="2"/>
  <c r="O347" i="2"/>
  <c r="O346" i="2"/>
  <c r="O345" i="2"/>
  <c r="O344" i="2"/>
  <c r="O343" i="2"/>
  <c r="O342" i="2"/>
  <c r="O341" i="2"/>
  <c r="O340" i="2"/>
  <c r="O339" i="2"/>
  <c r="O338" i="2"/>
  <c r="O337" i="2"/>
  <c r="O336" i="2"/>
  <c r="O335" i="2"/>
  <c r="O334" i="2"/>
  <c r="O333" i="2"/>
  <c r="O332" i="2"/>
  <c r="O331" i="2"/>
  <c r="O330" i="2"/>
  <c r="O329" i="2"/>
  <c r="O328" i="2"/>
  <c r="O327" i="2"/>
  <c r="O326" i="2"/>
  <c r="O325" i="2"/>
  <c r="O324" i="2"/>
  <c r="O323" i="2"/>
  <c r="O322" i="2"/>
  <c r="O321" i="2"/>
  <c r="O320" i="2"/>
  <c r="O319" i="2"/>
  <c r="O318" i="2"/>
  <c r="O317" i="2"/>
  <c r="O316" i="2"/>
  <c r="O315" i="2"/>
  <c r="O314" i="2"/>
  <c r="O313" i="2"/>
  <c r="O312" i="2"/>
  <c r="O311" i="2"/>
  <c r="O310" i="2"/>
  <c r="O309" i="2"/>
  <c r="O308" i="2"/>
  <c r="O307" i="2"/>
  <c r="O306" i="2"/>
  <c r="O305" i="2"/>
  <c r="O304" i="2"/>
  <c r="O303" i="2"/>
  <c r="O302" i="2"/>
  <c r="O301" i="2"/>
  <c r="O300" i="2"/>
  <c r="O299" i="2"/>
  <c r="O298" i="2"/>
  <c r="O297" i="2"/>
  <c r="O296" i="2"/>
  <c r="O295" i="2"/>
  <c r="O294" i="2"/>
  <c r="O293" i="2"/>
  <c r="O292" i="2"/>
  <c r="O291" i="2"/>
  <c r="O290" i="2"/>
  <c r="O289" i="2"/>
  <c r="O288" i="2"/>
  <c r="O287" i="2"/>
  <c r="O286" i="2"/>
  <c r="O285" i="2"/>
  <c r="O284" i="2"/>
  <c r="O283" i="2"/>
  <c r="O282" i="2"/>
  <c r="O281" i="2"/>
  <c r="O280" i="2"/>
  <c r="O279" i="2"/>
  <c r="O278" i="2"/>
  <c r="O277" i="2"/>
  <c r="O276" i="2"/>
  <c r="O275" i="2"/>
  <c r="N356" i="2"/>
  <c r="N362" i="2"/>
  <c r="N363" i="2"/>
  <c r="N364" i="2"/>
  <c r="N365" i="2"/>
  <c r="N366" i="2"/>
  <c r="N367" i="2"/>
  <c r="N368" i="2"/>
  <c r="N369" i="2"/>
  <c r="N370" i="2"/>
  <c r="N371" i="2"/>
  <c r="N372" i="2"/>
  <c r="N373" i="2"/>
  <c r="N374" i="2"/>
  <c r="N375" i="2"/>
  <c r="N376" i="2"/>
  <c r="N377" i="2"/>
  <c r="N378" i="2"/>
  <c r="N379" i="2"/>
  <c r="N380" i="2"/>
  <c r="N381" i="2"/>
  <c r="N382" i="2"/>
  <c r="N383" i="2"/>
  <c r="N384" i="2"/>
  <c r="N385" i="2"/>
  <c r="N386" i="2"/>
  <c r="N387" i="2"/>
  <c r="N388" i="2"/>
  <c r="N389" i="2"/>
  <c r="N390" i="2"/>
  <c r="N391" i="2"/>
  <c r="N392" i="2"/>
  <c r="N393" i="2"/>
  <c r="N394" i="2"/>
  <c r="N395" i="2"/>
  <c r="N396" i="2"/>
  <c r="N397" i="2"/>
  <c r="N398" i="2"/>
  <c r="N399" i="2"/>
  <c r="N400" i="2"/>
  <c r="N401" i="2"/>
  <c r="N402" i="2"/>
  <c r="N403" i="2"/>
  <c r="N404" i="2"/>
  <c r="N405" i="2"/>
  <c r="N406" i="2"/>
  <c r="N407" i="2"/>
  <c r="N408" i="2"/>
  <c r="N409" i="2"/>
  <c r="N410" i="2"/>
  <c r="N411" i="2"/>
  <c r="N412" i="2"/>
  <c r="N413" i="2"/>
  <c r="N414" i="2"/>
  <c r="N415" i="2"/>
  <c r="N416" i="2"/>
  <c r="N417" i="2"/>
  <c r="N418" i="2"/>
  <c r="N419" i="2"/>
  <c r="N420" i="2"/>
  <c r="N421" i="2"/>
  <c r="N422" i="2"/>
  <c r="N423" i="2"/>
  <c r="N424" i="2"/>
  <c r="N425" i="2"/>
  <c r="N426" i="2"/>
  <c r="N427" i="2"/>
  <c r="N428" i="2"/>
  <c r="N429" i="2"/>
  <c r="N430" i="2"/>
  <c r="N431" i="2"/>
  <c r="N432" i="2"/>
  <c r="N433" i="2"/>
  <c r="N434" i="2"/>
  <c r="N435" i="2"/>
  <c r="N436" i="2"/>
  <c r="N437" i="2"/>
  <c r="N438" i="2"/>
  <c r="N439" i="2"/>
  <c r="N440" i="2"/>
  <c r="N441" i="2"/>
  <c r="N442" i="2"/>
  <c r="N443" i="2"/>
  <c r="N444" i="2"/>
  <c r="N446" i="2"/>
  <c r="N447" i="2"/>
  <c r="N448" i="2"/>
  <c r="N449" i="2"/>
  <c r="N450" i="2"/>
  <c r="N451" i="2"/>
  <c r="N452" i="2"/>
  <c r="N453" i="2"/>
  <c r="N454" i="2"/>
  <c r="N455" i="2"/>
  <c r="N456" i="2"/>
  <c r="N457" i="2"/>
  <c r="N458" i="2"/>
  <c r="M362" i="2"/>
  <c r="M363" i="2"/>
  <c r="M364" i="2"/>
  <c r="M365" i="2"/>
  <c r="M367" i="2"/>
  <c r="M368" i="2"/>
  <c r="M369" i="2"/>
  <c r="M370" i="2"/>
  <c r="M371" i="2"/>
  <c r="M372" i="2"/>
  <c r="M373" i="2"/>
  <c r="M374" i="2"/>
  <c r="M375" i="2"/>
  <c r="M377" i="2"/>
  <c r="M378" i="2"/>
  <c r="M379" i="2"/>
  <c r="M380" i="2"/>
  <c r="M382" i="2"/>
  <c r="M383" i="2"/>
  <c r="M384" i="2"/>
  <c r="M385" i="2"/>
  <c r="M387" i="2"/>
  <c r="M388" i="2"/>
  <c r="M389" i="2"/>
  <c r="M390" i="2"/>
  <c r="M392" i="2"/>
  <c r="M393" i="2"/>
  <c r="M394" i="2"/>
  <c r="M395" i="2"/>
  <c r="M396" i="2"/>
  <c r="M397" i="2"/>
  <c r="M398" i="2"/>
  <c r="M399" i="2"/>
  <c r="M401" i="2"/>
  <c r="M402" i="2"/>
  <c r="M403" i="2"/>
  <c r="M404" i="2"/>
  <c r="M405" i="2"/>
  <c r="M406" i="2"/>
  <c r="M407" i="2"/>
  <c r="M408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40" i="2"/>
  <c r="M441" i="2"/>
  <c r="M442" i="2"/>
  <c r="M443" i="2"/>
  <c r="M444" i="2"/>
  <c r="M445" i="2"/>
  <c r="M446" i="2"/>
  <c r="M447" i="2"/>
  <c r="M448" i="2"/>
  <c r="M449" i="2"/>
  <c r="M450" i="2"/>
  <c r="M452" i="2"/>
  <c r="M453" i="2"/>
  <c r="M454" i="2"/>
  <c r="M455" i="2"/>
  <c r="M457" i="2"/>
  <c r="M458" i="2"/>
  <c r="K363" i="2"/>
  <c r="K364" i="2"/>
  <c r="K365" i="2"/>
  <c r="K366" i="2"/>
  <c r="K369" i="2"/>
  <c r="K370" i="2"/>
  <c r="K371" i="2"/>
  <c r="K374" i="2"/>
  <c r="K375" i="2"/>
  <c r="K376" i="2"/>
  <c r="K379" i="2"/>
  <c r="K380" i="2"/>
  <c r="K381" i="2"/>
  <c r="K384" i="2"/>
  <c r="K385" i="2"/>
  <c r="K386" i="2"/>
  <c r="K389" i="2"/>
  <c r="K390" i="2"/>
  <c r="K391" i="2"/>
  <c r="K394" i="2"/>
  <c r="K395" i="2"/>
  <c r="K398" i="2"/>
  <c r="K399" i="2"/>
  <c r="K400" i="2"/>
  <c r="K403" i="2"/>
  <c r="K404" i="2"/>
  <c r="K407" i="2"/>
  <c r="K408" i="2"/>
  <c r="K409" i="2"/>
  <c r="K412" i="2"/>
  <c r="K413" i="2"/>
  <c r="K416" i="2"/>
  <c r="K417" i="2"/>
  <c r="K420" i="2"/>
  <c r="K421" i="2"/>
  <c r="K424" i="2"/>
  <c r="K425" i="2"/>
  <c r="K428" i="2"/>
  <c r="K429" i="2"/>
  <c r="K432" i="2"/>
  <c r="K433" i="2"/>
  <c r="K436" i="2"/>
  <c r="K437" i="2"/>
  <c r="K438" i="2"/>
  <c r="K439" i="2"/>
  <c r="K442" i="2"/>
  <c r="K443" i="2"/>
  <c r="K446" i="2"/>
  <c r="K447" i="2"/>
  <c r="K450" i="2"/>
  <c r="K451" i="2"/>
  <c r="K454" i="2"/>
  <c r="K455" i="2"/>
  <c r="K456" i="2"/>
  <c r="H435" i="2"/>
  <c r="H434" i="2"/>
  <c r="H431" i="2"/>
  <c r="H430" i="2"/>
  <c r="H427" i="2"/>
  <c r="H426" i="2"/>
  <c r="H423" i="2"/>
  <c r="H422" i="2"/>
  <c r="H419" i="2"/>
  <c r="H418" i="2"/>
  <c r="H415" i="2"/>
  <c r="H414" i="2"/>
  <c r="H411" i="2"/>
  <c r="H410" i="2"/>
  <c r="H406" i="2"/>
  <c r="H405" i="2"/>
  <c r="H402" i="2"/>
  <c r="H401" i="2"/>
  <c r="H397" i="2"/>
  <c r="H396" i="2"/>
  <c r="H393" i="2"/>
  <c r="H392" i="2"/>
  <c r="H388" i="2"/>
  <c r="H387" i="2"/>
  <c r="H383" i="2"/>
  <c r="H382" i="2"/>
  <c r="H378" i="2"/>
  <c r="H377" i="2"/>
  <c r="H373" i="2"/>
  <c r="H372" i="2"/>
  <c r="H368" i="2"/>
  <c r="H367" i="2"/>
  <c r="M366" i="2"/>
  <c r="J458" i="2"/>
  <c r="J457" i="2"/>
  <c r="J453" i="2"/>
  <c r="J452" i="2"/>
  <c r="J449" i="2"/>
  <c r="J448" i="2"/>
  <c r="J445" i="2"/>
  <c r="J444" i="2"/>
  <c r="J441" i="2"/>
  <c r="J440" i="2"/>
  <c r="J435" i="2"/>
  <c r="J434" i="2"/>
  <c r="J431" i="2"/>
  <c r="J430" i="2"/>
  <c r="J427" i="2"/>
  <c r="J426" i="2"/>
  <c r="J423" i="2"/>
  <c r="J422" i="2"/>
  <c r="J419" i="2"/>
  <c r="J418" i="2"/>
  <c r="J415" i="2"/>
  <c r="J414" i="2"/>
  <c r="J411" i="2"/>
  <c r="J410" i="2"/>
  <c r="J406" i="2"/>
  <c r="J405" i="2"/>
  <c r="J402" i="2"/>
  <c r="J401" i="2"/>
  <c r="J397" i="2"/>
  <c r="J393" i="2"/>
  <c r="J392" i="2"/>
  <c r="J388" i="2"/>
  <c r="J387" i="2"/>
  <c r="J383" i="2"/>
  <c r="J382" i="2"/>
  <c r="J378" i="2"/>
  <c r="J377" i="2"/>
  <c r="J373" i="2"/>
  <c r="J372" i="2"/>
  <c r="J368" i="2"/>
  <c r="J367" i="2"/>
  <c r="H100" i="2"/>
  <c r="M71" i="2"/>
  <c r="M75" i="2"/>
  <c r="M76" i="2"/>
  <c r="M77" i="2"/>
  <c r="M78" i="2"/>
  <c r="M80" i="2"/>
  <c r="M81" i="2"/>
  <c r="M82" i="2"/>
  <c r="M83" i="2"/>
  <c r="M85" i="2"/>
  <c r="M86" i="2"/>
  <c r="M87" i="2"/>
  <c r="M88" i="2"/>
  <c r="M90" i="2"/>
  <c r="M91" i="2"/>
  <c r="M92" i="2"/>
  <c r="M93" i="2"/>
  <c r="M95" i="2"/>
  <c r="M96" i="2"/>
  <c r="M97" i="2"/>
  <c r="M98" i="2"/>
  <c r="M100" i="2"/>
  <c r="M101" i="2"/>
  <c r="M102" i="2"/>
  <c r="M103" i="2"/>
  <c r="M105" i="2"/>
  <c r="M106" i="2"/>
  <c r="M112" i="2"/>
  <c r="M113" i="2"/>
  <c r="M114" i="2"/>
  <c r="M115" i="2"/>
  <c r="M116" i="2"/>
  <c r="M117" i="2"/>
  <c r="M119" i="2"/>
  <c r="M120" i="2"/>
  <c r="M121" i="2"/>
  <c r="M122" i="2"/>
  <c r="M123" i="2"/>
  <c r="M124" i="2"/>
  <c r="M125" i="2"/>
  <c r="M126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5" i="2"/>
  <c r="M176" i="2"/>
  <c r="M177" i="2"/>
  <c r="M178" i="2"/>
  <c r="M179" i="2"/>
  <c r="M180" i="2"/>
  <c r="M182" i="2"/>
  <c r="M183" i="2"/>
  <c r="M184" i="2"/>
  <c r="M185" i="2"/>
  <c r="M187" i="2"/>
  <c r="M188" i="2"/>
  <c r="M205" i="2"/>
  <c r="M206" i="2"/>
  <c r="M208" i="2"/>
  <c r="M209" i="2"/>
  <c r="M210" i="2"/>
  <c r="M211" i="2"/>
  <c r="M213" i="2"/>
  <c r="M214" i="2"/>
  <c r="M215" i="2"/>
  <c r="M216" i="2"/>
  <c r="M218" i="2"/>
  <c r="M219" i="2"/>
  <c r="P104" i="2"/>
  <c r="J115" i="2"/>
  <c r="J153" i="2"/>
  <c r="J163" i="2"/>
  <c r="J159" i="2"/>
  <c r="J167" i="2"/>
  <c r="J171" i="2"/>
  <c r="J176" i="2"/>
  <c r="J149" i="2"/>
  <c r="J145" i="2"/>
  <c r="J141" i="2"/>
  <c r="J137" i="2"/>
  <c r="J133" i="2"/>
  <c r="J129" i="2"/>
  <c r="J124" i="2"/>
  <c r="J120" i="2"/>
  <c r="J106" i="2"/>
  <c r="J101" i="2"/>
  <c r="J96" i="2"/>
  <c r="J91" i="2"/>
  <c r="J86" i="2"/>
  <c r="J81" i="2"/>
  <c r="J114" i="2"/>
  <c r="J123" i="2"/>
  <c r="J148" i="2"/>
  <c r="J152" i="2"/>
  <c r="J162" i="2"/>
  <c r="J166" i="2"/>
  <c r="J170" i="2"/>
  <c r="J175" i="2"/>
  <c r="J158" i="2"/>
  <c r="J144" i="2"/>
  <c r="J140" i="2"/>
  <c r="J136" i="2"/>
  <c r="J132" i="2"/>
  <c r="J128" i="2"/>
  <c r="J119" i="2"/>
  <c r="J105" i="2"/>
  <c r="J100" i="2"/>
  <c r="J95" i="2"/>
  <c r="J90" i="2"/>
  <c r="J85" i="2"/>
  <c r="J80" i="2"/>
  <c r="H176" i="2"/>
  <c r="H175" i="2"/>
  <c r="H171" i="2"/>
  <c r="H170" i="2"/>
  <c r="H167" i="2"/>
  <c r="H166" i="2"/>
  <c r="H163" i="2"/>
  <c r="H162" i="2"/>
  <c r="H159" i="2"/>
  <c r="H158" i="2"/>
  <c r="H153" i="2"/>
  <c r="H152" i="2"/>
  <c r="H149" i="2"/>
  <c r="H148" i="2"/>
  <c r="H145" i="2"/>
  <c r="H144" i="2"/>
  <c r="H141" i="2"/>
  <c r="H140" i="2"/>
  <c r="H137" i="2"/>
  <c r="H136" i="2"/>
  <c r="H133" i="2"/>
  <c r="H132" i="2"/>
  <c r="H129" i="2"/>
  <c r="H128" i="2"/>
  <c r="H124" i="2"/>
  <c r="H123" i="2"/>
  <c r="H120" i="2"/>
  <c r="H119" i="2"/>
  <c r="H115" i="2"/>
  <c r="H114" i="2"/>
  <c r="H106" i="2"/>
  <c r="H105" i="2"/>
  <c r="H101" i="2"/>
  <c r="H96" i="2"/>
  <c r="H95" i="2"/>
  <c r="H91" i="2"/>
  <c r="H90" i="2"/>
  <c r="H86" i="2"/>
  <c r="H85" i="2"/>
  <c r="H81" i="2"/>
  <c r="H80" i="2"/>
  <c r="K396" i="2" l="1"/>
  <c r="K444" i="2"/>
  <c r="K440" i="2"/>
  <c r="L463" i="2"/>
  <c r="K441" i="2"/>
  <c r="K445" i="2"/>
  <c r="M439" i="2"/>
  <c r="K449" i="2"/>
  <c r="K452" i="2"/>
  <c r="K397" i="2"/>
  <c r="K415" i="2"/>
  <c r="K431" i="2"/>
  <c r="K382" i="2"/>
  <c r="K401" i="2"/>
  <c r="K418" i="2"/>
  <c r="K434" i="2"/>
  <c r="K383" i="2"/>
  <c r="K402" i="2"/>
  <c r="K419" i="2"/>
  <c r="K435" i="2"/>
  <c r="O390" i="2"/>
  <c r="K367" i="2"/>
  <c r="K387" i="2"/>
  <c r="K405" i="2"/>
  <c r="K422" i="2"/>
  <c r="K378" i="2"/>
  <c r="K368" i="2"/>
  <c r="K388" i="2"/>
  <c r="K406" i="2"/>
  <c r="K423" i="2"/>
  <c r="K448" i="2"/>
  <c r="K453" i="2"/>
  <c r="K372" i="2"/>
  <c r="K392" i="2"/>
  <c r="K410" i="2"/>
  <c r="K426" i="2"/>
  <c r="K458" i="2"/>
  <c r="K457" i="2"/>
  <c r="K373" i="2"/>
  <c r="K393" i="2"/>
  <c r="K411" i="2"/>
  <c r="K427" i="2"/>
  <c r="K377" i="2"/>
  <c r="K414" i="2"/>
  <c r="K430" i="2"/>
  <c r="M376" i="2"/>
  <c r="O421" i="2"/>
  <c r="M400" i="2"/>
  <c r="O385" i="2"/>
  <c r="O455" i="2"/>
  <c r="O365" i="2"/>
  <c r="M456" i="2"/>
  <c r="O413" i="2"/>
  <c r="O95" i="2" l="1"/>
  <c r="O96" i="2"/>
  <c r="O97" i="2"/>
  <c r="O100" i="2"/>
  <c r="O101" i="2"/>
  <c r="O102" i="2"/>
  <c r="O105" i="2"/>
  <c r="O106" i="2"/>
  <c r="O112" i="2"/>
  <c r="O114" i="2"/>
  <c r="O115" i="2"/>
  <c r="O116" i="2"/>
  <c r="O119" i="2"/>
  <c r="O120" i="2"/>
  <c r="O121" i="2"/>
  <c r="O123" i="2"/>
  <c r="O124" i="2"/>
  <c r="O125" i="2"/>
  <c r="O128" i="2"/>
  <c r="O129" i="2"/>
  <c r="O130" i="2"/>
  <c r="O132" i="2"/>
  <c r="O133" i="2"/>
  <c r="O134" i="2"/>
  <c r="O136" i="2"/>
  <c r="O137" i="2"/>
  <c r="O138" i="2"/>
  <c r="O140" i="2"/>
  <c r="O141" i="2"/>
  <c r="O142" i="2"/>
  <c r="O144" i="2"/>
  <c r="O145" i="2"/>
  <c r="O146" i="2"/>
  <c r="O148" i="2"/>
  <c r="O149" i="2"/>
  <c r="O150" i="2"/>
  <c r="O152" i="2"/>
  <c r="O153" i="2"/>
  <c r="O154" i="2"/>
  <c r="O155" i="2"/>
  <c r="O158" i="2"/>
  <c r="O159" i="2"/>
  <c r="O160" i="2"/>
  <c r="O162" i="2"/>
  <c r="O163" i="2"/>
  <c r="O164" i="2"/>
  <c r="O166" i="2"/>
  <c r="O167" i="2"/>
  <c r="O168" i="2"/>
  <c r="O170" i="2"/>
  <c r="O171" i="2"/>
  <c r="O172" i="2"/>
  <c r="O175" i="2"/>
  <c r="O176" i="2"/>
  <c r="O177" i="2"/>
  <c r="O178" i="2"/>
  <c r="O179" i="2"/>
  <c r="O181" i="2"/>
  <c r="O182" i="2"/>
  <c r="O183" i="2"/>
  <c r="O184" i="2"/>
  <c r="O186" i="2"/>
  <c r="O187" i="2"/>
  <c r="O188" i="2"/>
  <c r="O205" i="2"/>
  <c r="O207" i="2"/>
  <c r="O208" i="2"/>
  <c r="O209" i="2"/>
  <c r="O210" i="2"/>
  <c r="O212" i="2"/>
  <c r="O213" i="2"/>
  <c r="O214" i="2"/>
  <c r="O215" i="2"/>
  <c r="O217" i="2"/>
  <c r="O218" i="2"/>
  <c r="O219" i="2"/>
  <c r="O220" i="2"/>
  <c r="O222" i="2"/>
  <c r="O223" i="2"/>
  <c r="O224" i="2"/>
  <c r="O225" i="2"/>
  <c r="O227" i="2"/>
  <c r="O228" i="2"/>
  <c r="O229" i="2"/>
  <c r="O230" i="2"/>
  <c r="O232" i="2"/>
  <c r="O233" i="2"/>
  <c r="O234" i="2"/>
  <c r="O235" i="2"/>
  <c r="O237" i="2"/>
  <c r="O238" i="2"/>
  <c r="O239" i="2"/>
  <c r="O255" i="2"/>
  <c r="O257" i="2"/>
  <c r="O258" i="2"/>
  <c r="O259" i="2"/>
  <c r="O260" i="2"/>
  <c r="O262" i="2"/>
  <c r="O263" i="2"/>
  <c r="O264" i="2"/>
  <c r="O265" i="2"/>
  <c r="O267" i="2"/>
  <c r="O268" i="2"/>
  <c r="O269" i="2"/>
  <c r="O270" i="2"/>
  <c r="O272" i="2"/>
  <c r="O273" i="2"/>
  <c r="O274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J174" i="2"/>
  <c r="M174" i="2" s="1"/>
  <c r="J157" i="2"/>
  <c r="M157" i="2" s="1"/>
  <c r="J127" i="2"/>
  <c r="M127" i="2" s="1"/>
  <c r="J118" i="2"/>
  <c r="M118" i="2" s="1"/>
  <c r="J104" i="2"/>
  <c r="M104" i="2" s="1"/>
  <c r="J99" i="2"/>
  <c r="M99" i="2" s="1"/>
  <c r="J94" i="2"/>
  <c r="M94" i="2" s="1"/>
  <c r="J89" i="2"/>
  <c r="M89" i="2" s="1"/>
  <c r="J84" i="2"/>
  <c r="M84" i="2" s="1"/>
  <c r="J79" i="2"/>
  <c r="M79" i="2" s="1"/>
  <c r="J173" i="2"/>
  <c r="O173" i="2" s="1"/>
  <c r="J169" i="2"/>
  <c r="O169" i="2" s="1"/>
  <c r="J165" i="2"/>
  <c r="O165" i="2" s="1"/>
  <c r="J161" i="2"/>
  <c r="O161" i="2" s="1"/>
  <c r="J156" i="2"/>
  <c r="O156" i="2" s="1"/>
  <c r="J151" i="2"/>
  <c r="O151" i="2" s="1"/>
  <c r="J147" i="2"/>
  <c r="O147" i="2" s="1"/>
  <c r="J143" i="2"/>
  <c r="O143" i="2" s="1"/>
  <c r="J139" i="2"/>
  <c r="O139" i="2" s="1"/>
  <c r="J135" i="2"/>
  <c r="O135" i="2" s="1"/>
  <c r="J131" i="2"/>
  <c r="O131" i="2" s="1"/>
  <c r="J126" i="2"/>
  <c r="O126" i="2" s="1"/>
  <c r="J122" i="2"/>
  <c r="O122" i="2" s="1"/>
  <c r="J117" i="2"/>
  <c r="O117" i="2" s="1"/>
  <c r="J113" i="2"/>
  <c r="O113" i="2" s="1"/>
  <c r="K81" i="2"/>
  <c r="N81" i="2"/>
  <c r="O81" i="2"/>
  <c r="Q81" i="2"/>
  <c r="S81" i="2"/>
  <c r="J103" i="2"/>
  <c r="O103" i="2" s="1"/>
  <c r="J98" i="2"/>
  <c r="O98" i="2" s="1"/>
  <c r="J93" i="2"/>
  <c r="J88" i="2"/>
  <c r="J83" i="2"/>
  <c r="P37" i="2"/>
  <c r="P38" i="2"/>
  <c r="P39" i="2"/>
  <c r="P40" i="2"/>
  <c r="P41" i="2"/>
  <c r="P42" i="2"/>
  <c r="P43" i="2"/>
  <c r="P44" i="2"/>
  <c r="P45" i="2"/>
  <c r="P46" i="2"/>
  <c r="P47" i="2"/>
  <c r="P48" i="2"/>
  <c r="P49" i="2"/>
  <c r="P50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69" i="2"/>
  <c r="P70" i="2"/>
  <c r="P71" i="2"/>
  <c r="P75" i="2"/>
  <c r="P76" i="2"/>
  <c r="P77" i="2"/>
  <c r="P78" i="2"/>
  <c r="P80" i="2"/>
  <c r="P81" i="2"/>
  <c r="P82" i="2"/>
  <c r="P83" i="2"/>
  <c r="P85" i="2"/>
  <c r="P86" i="2"/>
  <c r="P87" i="2"/>
  <c r="P88" i="2"/>
  <c r="P90" i="2"/>
  <c r="P91" i="2"/>
  <c r="P92" i="2"/>
  <c r="P93" i="2"/>
  <c r="P95" i="2"/>
  <c r="P96" i="2"/>
  <c r="P97" i="2"/>
  <c r="P98" i="2"/>
  <c r="P100" i="2"/>
  <c r="P101" i="2"/>
  <c r="P102" i="2"/>
  <c r="P103" i="2"/>
  <c r="P105" i="2"/>
  <c r="P106" i="2"/>
  <c r="P112" i="2"/>
  <c r="P113" i="2"/>
  <c r="P114" i="2"/>
  <c r="P115" i="2"/>
  <c r="P116" i="2"/>
  <c r="P117" i="2"/>
  <c r="P119" i="2"/>
  <c r="P120" i="2"/>
  <c r="P121" i="2"/>
  <c r="P122" i="2"/>
  <c r="P123" i="2"/>
  <c r="P124" i="2"/>
  <c r="P125" i="2"/>
  <c r="P126" i="2"/>
  <c r="P128" i="2"/>
  <c r="P129" i="2"/>
  <c r="P130" i="2"/>
  <c r="P131" i="2"/>
  <c r="P132" i="2"/>
  <c r="P133" i="2"/>
  <c r="P134" i="2"/>
  <c r="P135" i="2"/>
  <c r="P136" i="2"/>
  <c r="P137" i="2"/>
  <c r="P138" i="2"/>
  <c r="P139" i="2"/>
  <c r="P140" i="2"/>
  <c r="P141" i="2"/>
  <c r="P142" i="2"/>
  <c r="P143" i="2"/>
  <c r="P145" i="2"/>
  <c r="P146" i="2"/>
  <c r="P147" i="2"/>
  <c r="P149" i="2"/>
  <c r="P150" i="2"/>
  <c r="P151" i="2"/>
  <c r="P153" i="2"/>
  <c r="P154" i="2"/>
  <c r="P155" i="2"/>
  <c r="P156" i="2"/>
  <c r="P158" i="2"/>
  <c r="P159" i="2"/>
  <c r="P160" i="2"/>
  <c r="P161" i="2"/>
  <c r="P162" i="2"/>
  <c r="P163" i="2"/>
  <c r="P164" i="2"/>
  <c r="P165" i="2"/>
  <c r="P166" i="2"/>
  <c r="P167" i="2"/>
  <c r="P168" i="2"/>
  <c r="P169" i="2"/>
  <c r="P170" i="2"/>
  <c r="P171" i="2"/>
  <c r="P172" i="2"/>
  <c r="P173" i="2"/>
  <c r="P175" i="2"/>
  <c r="P176" i="2"/>
  <c r="P177" i="2"/>
  <c r="P178" i="2"/>
  <c r="P179" i="2"/>
  <c r="P180" i="2"/>
  <c r="P181" i="2"/>
  <c r="P182" i="2"/>
  <c r="P183" i="2"/>
  <c r="P184" i="2"/>
  <c r="P185" i="2"/>
  <c r="P186" i="2"/>
  <c r="P187" i="2"/>
  <c r="P188" i="2"/>
  <c r="P205" i="2"/>
  <c r="P206" i="2"/>
  <c r="P207" i="2"/>
  <c r="P208" i="2"/>
  <c r="P209" i="2"/>
  <c r="P210" i="2"/>
  <c r="P211" i="2"/>
  <c r="P212" i="2"/>
  <c r="P213" i="2"/>
  <c r="P214" i="2"/>
  <c r="P215" i="2"/>
  <c r="P216" i="2"/>
  <c r="P217" i="2"/>
  <c r="P218" i="2"/>
  <c r="P219" i="2"/>
  <c r="P220" i="2"/>
  <c r="P221" i="2"/>
  <c r="P222" i="2"/>
  <c r="P223" i="2"/>
  <c r="P224" i="2"/>
  <c r="P225" i="2"/>
  <c r="P226" i="2"/>
  <c r="P227" i="2"/>
  <c r="P228" i="2"/>
  <c r="P229" i="2"/>
  <c r="P230" i="2"/>
  <c r="P231" i="2"/>
  <c r="P232" i="2"/>
  <c r="P233" i="2"/>
  <c r="P234" i="2"/>
  <c r="P235" i="2"/>
  <c r="P236" i="2"/>
  <c r="P237" i="2"/>
  <c r="P238" i="2"/>
  <c r="P239" i="2"/>
  <c r="P255" i="2"/>
  <c r="P256" i="2"/>
  <c r="P257" i="2"/>
  <c r="P258" i="2"/>
  <c r="P259" i="2"/>
  <c r="P260" i="2"/>
  <c r="P261" i="2"/>
  <c r="P262" i="2"/>
  <c r="P263" i="2"/>
  <c r="P264" i="2"/>
  <c r="P265" i="2"/>
  <c r="P266" i="2"/>
  <c r="P267" i="2"/>
  <c r="P268" i="2"/>
  <c r="P269" i="2"/>
  <c r="P270" i="2"/>
  <c r="P271" i="2"/>
  <c r="P272" i="2"/>
  <c r="P273" i="2"/>
  <c r="P274" i="2"/>
  <c r="P275" i="2"/>
  <c r="P276" i="2"/>
  <c r="P277" i="2"/>
  <c r="P278" i="2"/>
  <c r="P279" i="2"/>
  <c r="P280" i="2"/>
  <c r="P281" i="2"/>
  <c r="P282" i="2"/>
  <c r="P283" i="2"/>
  <c r="P284" i="2"/>
  <c r="P285" i="2"/>
  <c r="P286" i="2"/>
  <c r="P287" i="2"/>
  <c r="P288" i="2"/>
  <c r="P289" i="2"/>
  <c r="P290" i="2"/>
  <c r="P291" i="2"/>
  <c r="P292" i="2"/>
  <c r="P293" i="2"/>
  <c r="P294" i="2"/>
  <c r="P295" i="2"/>
  <c r="P296" i="2"/>
  <c r="P297" i="2"/>
  <c r="P298" i="2"/>
  <c r="P299" i="2"/>
  <c r="P300" i="2"/>
  <c r="P301" i="2"/>
  <c r="P302" i="2"/>
  <c r="P303" i="2"/>
  <c r="P304" i="2"/>
  <c r="P305" i="2"/>
  <c r="P306" i="2"/>
  <c r="P307" i="2"/>
  <c r="P308" i="2"/>
  <c r="P309" i="2"/>
  <c r="P310" i="2"/>
  <c r="P311" i="2"/>
  <c r="P312" i="2"/>
  <c r="P313" i="2"/>
  <c r="P314" i="2"/>
  <c r="P315" i="2"/>
  <c r="P316" i="2"/>
  <c r="P317" i="2"/>
  <c r="P318" i="2"/>
  <c r="P319" i="2"/>
  <c r="P320" i="2"/>
  <c r="P321" i="2"/>
  <c r="P322" i="2"/>
  <c r="P323" i="2"/>
  <c r="P324" i="2"/>
  <c r="P325" i="2"/>
  <c r="P326" i="2"/>
  <c r="P327" i="2"/>
  <c r="P328" i="2"/>
  <c r="P329" i="2"/>
  <c r="P330" i="2"/>
  <c r="P331" i="2"/>
  <c r="P332" i="2"/>
  <c r="P333" i="2"/>
  <c r="P334" i="2"/>
  <c r="P335" i="2"/>
  <c r="P336" i="2"/>
  <c r="P337" i="2"/>
  <c r="P338" i="2"/>
  <c r="P339" i="2"/>
  <c r="P340" i="2"/>
  <c r="P341" i="2"/>
  <c r="P342" i="2"/>
  <c r="P343" i="2"/>
  <c r="P344" i="2"/>
  <c r="P345" i="2"/>
  <c r="P346" i="2"/>
  <c r="P347" i="2"/>
  <c r="P348" i="2"/>
  <c r="P349" i="2"/>
  <c r="P350" i="2"/>
  <c r="P351" i="2"/>
  <c r="P352" i="2"/>
  <c r="P353" i="2"/>
  <c r="P354" i="2"/>
  <c r="P355" i="2"/>
  <c r="P356" i="2"/>
  <c r="P362" i="2"/>
  <c r="P424" i="2"/>
  <c r="P425" i="2"/>
  <c r="P426" i="2"/>
  <c r="P427" i="2"/>
  <c r="P428" i="2"/>
  <c r="P429" i="2"/>
  <c r="P430" i="2"/>
  <c r="P431" i="2"/>
  <c r="P432" i="2"/>
  <c r="P433" i="2"/>
  <c r="P434" i="2"/>
  <c r="P435" i="2"/>
  <c r="P436" i="2"/>
  <c r="P437" i="2"/>
  <c r="P438" i="2"/>
  <c r="P439" i="2"/>
  <c r="P440" i="2"/>
  <c r="P450" i="2"/>
  <c r="P451" i="2"/>
  <c r="P452" i="2"/>
  <c r="K276" i="2"/>
  <c r="K277" i="2"/>
  <c r="K278" i="2"/>
  <c r="K279" i="2"/>
  <c r="K282" i="2"/>
  <c r="K283" i="2"/>
  <c r="K284" i="2"/>
  <c r="K287" i="2"/>
  <c r="K288" i="2"/>
  <c r="K289" i="2"/>
  <c r="K292" i="2"/>
  <c r="K293" i="2"/>
  <c r="K294" i="2"/>
  <c r="K297" i="2"/>
  <c r="K298" i="2"/>
  <c r="K299" i="2"/>
  <c r="K302" i="2"/>
  <c r="K303" i="2"/>
  <c r="K304" i="2"/>
  <c r="K307" i="2"/>
  <c r="K308" i="2"/>
  <c r="K309" i="2"/>
  <c r="K312" i="2"/>
  <c r="K313" i="2"/>
  <c r="K314" i="2"/>
  <c r="K317" i="2"/>
  <c r="K318" i="2"/>
  <c r="K319" i="2"/>
  <c r="K322" i="2"/>
  <c r="K323" i="2"/>
  <c r="K324" i="2"/>
  <c r="K327" i="2"/>
  <c r="K328" i="2"/>
  <c r="K329" i="2"/>
  <c r="K332" i="2"/>
  <c r="K333" i="2"/>
  <c r="K334" i="2"/>
  <c r="K337" i="2"/>
  <c r="K338" i="2"/>
  <c r="K339" i="2"/>
  <c r="K342" i="2"/>
  <c r="K343" i="2"/>
  <c r="K344" i="2"/>
  <c r="K347" i="2"/>
  <c r="K348" i="2"/>
  <c r="K349" i="2"/>
  <c r="K352" i="2"/>
  <c r="K353" i="2"/>
  <c r="K354" i="2"/>
  <c r="K362" i="2"/>
  <c r="N275" i="2"/>
  <c r="N276" i="2"/>
  <c r="N277" i="2"/>
  <c r="N280" i="2"/>
  <c r="N281" i="2"/>
  <c r="N282" i="2"/>
  <c r="N283" i="2"/>
  <c r="N284" i="2"/>
  <c r="N285" i="2"/>
  <c r="N286" i="2"/>
  <c r="N287" i="2"/>
  <c r="N288" i="2"/>
  <c r="N289" i="2"/>
  <c r="N290" i="2"/>
  <c r="N291" i="2"/>
  <c r="N292" i="2"/>
  <c r="N293" i="2"/>
  <c r="N294" i="2"/>
  <c r="N295" i="2"/>
  <c r="N296" i="2"/>
  <c r="N297" i="2"/>
  <c r="N298" i="2"/>
  <c r="N299" i="2"/>
  <c r="N300" i="2"/>
  <c r="N301" i="2"/>
  <c r="N302" i="2"/>
  <c r="N303" i="2"/>
  <c r="N304" i="2"/>
  <c r="N305" i="2"/>
  <c r="N306" i="2"/>
  <c r="N307" i="2"/>
  <c r="N308" i="2"/>
  <c r="N309" i="2"/>
  <c r="N310" i="2"/>
  <c r="N311" i="2"/>
  <c r="N312" i="2"/>
  <c r="N313" i="2"/>
  <c r="N314" i="2"/>
  <c r="N315" i="2"/>
  <c r="N316" i="2"/>
  <c r="N317" i="2"/>
  <c r="N318" i="2"/>
  <c r="N319" i="2"/>
  <c r="N320" i="2"/>
  <c r="N321" i="2"/>
  <c r="N322" i="2"/>
  <c r="N323" i="2"/>
  <c r="N324" i="2"/>
  <c r="N325" i="2"/>
  <c r="N326" i="2"/>
  <c r="N327" i="2"/>
  <c r="N328" i="2"/>
  <c r="N329" i="2"/>
  <c r="N330" i="2"/>
  <c r="N331" i="2"/>
  <c r="N332" i="2"/>
  <c r="N333" i="2"/>
  <c r="N334" i="2"/>
  <c r="N335" i="2"/>
  <c r="N336" i="2"/>
  <c r="N337" i="2"/>
  <c r="N338" i="2"/>
  <c r="N339" i="2"/>
  <c r="N340" i="2"/>
  <c r="N341" i="2"/>
  <c r="N342" i="2"/>
  <c r="N343" i="2"/>
  <c r="N344" i="2"/>
  <c r="N345" i="2"/>
  <c r="N346" i="2"/>
  <c r="N347" i="2"/>
  <c r="N348" i="2"/>
  <c r="N349" i="2"/>
  <c r="N350" i="2"/>
  <c r="N351" i="2"/>
  <c r="N352" i="2"/>
  <c r="N353" i="2"/>
  <c r="N354" i="2"/>
  <c r="N355" i="2"/>
  <c r="M275" i="2"/>
  <c r="M276" i="2"/>
  <c r="M277" i="2"/>
  <c r="M280" i="2"/>
  <c r="M281" i="2"/>
  <c r="M282" i="2"/>
  <c r="M285" i="2"/>
  <c r="M286" i="2"/>
  <c r="M287" i="2"/>
  <c r="M290" i="2"/>
  <c r="M291" i="2"/>
  <c r="M292" i="2"/>
  <c r="M295" i="2"/>
  <c r="M296" i="2"/>
  <c r="M297" i="2"/>
  <c r="M300" i="2"/>
  <c r="M301" i="2"/>
  <c r="M302" i="2"/>
  <c r="M305" i="2"/>
  <c r="M306" i="2"/>
  <c r="M307" i="2"/>
  <c r="M310" i="2"/>
  <c r="M311" i="2"/>
  <c r="M312" i="2"/>
  <c r="M315" i="2"/>
  <c r="M316" i="2"/>
  <c r="M317" i="2"/>
  <c r="M320" i="2"/>
  <c r="M321" i="2"/>
  <c r="M322" i="2"/>
  <c r="M325" i="2"/>
  <c r="M326" i="2"/>
  <c r="M327" i="2"/>
  <c r="M330" i="2"/>
  <c r="M331" i="2"/>
  <c r="M332" i="2"/>
  <c r="M335" i="2"/>
  <c r="M336" i="2"/>
  <c r="M337" i="2"/>
  <c r="M340" i="2"/>
  <c r="M341" i="2"/>
  <c r="M342" i="2"/>
  <c r="M345" i="2"/>
  <c r="M346" i="2"/>
  <c r="M347" i="2"/>
  <c r="M350" i="2"/>
  <c r="M351" i="2"/>
  <c r="M352" i="2"/>
  <c r="M355" i="2"/>
  <c r="M35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N269" i="2"/>
  <c r="N270" i="2"/>
  <c r="N273" i="2"/>
  <c r="N274" i="2"/>
  <c r="M268" i="2"/>
  <c r="M269" i="2"/>
  <c r="M270" i="2"/>
  <c r="M271" i="2"/>
  <c r="M273" i="2"/>
  <c r="M274" i="2"/>
  <c r="K270" i="2"/>
  <c r="K271" i="2"/>
  <c r="K272" i="2"/>
  <c r="K275" i="2"/>
  <c r="J274" i="2"/>
  <c r="J273" i="2"/>
  <c r="J272" i="2"/>
  <c r="N272" i="2" s="1"/>
  <c r="J271" i="2"/>
  <c r="O271" i="2" s="1"/>
  <c r="J269" i="2"/>
  <c r="J268" i="2"/>
  <c r="J267" i="2"/>
  <c r="M267" i="2" s="1"/>
  <c r="J266" i="2"/>
  <c r="O266" i="2" s="1"/>
  <c r="J264" i="2"/>
  <c r="J263" i="2"/>
  <c r="J262" i="2"/>
  <c r="N262" i="2" s="1"/>
  <c r="J261" i="2"/>
  <c r="N261" i="2" s="1"/>
  <c r="J259" i="2"/>
  <c r="J258" i="2"/>
  <c r="J257" i="2"/>
  <c r="M257" i="2" s="1"/>
  <c r="J256" i="2"/>
  <c r="O256" i="2" s="1"/>
  <c r="J239" i="2"/>
  <c r="J238" i="2"/>
  <c r="J237" i="2"/>
  <c r="M237" i="2" s="1"/>
  <c r="J236" i="2"/>
  <c r="O236" i="2" s="1"/>
  <c r="J234" i="2"/>
  <c r="J233" i="2"/>
  <c r="J232" i="2"/>
  <c r="M232" i="2" s="1"/>
  <c r="J231" i="2"/>
  <c r="O231" i="2" s="1"/>
  <c r="J229" i="2"/>
  <c r="J228" i="2"/>
  <c r="J227" i="2"/>
  <c r="M227" i="2" s="1"/>
  <c r="J226" i="2"/>
  <c r="N226" i="2" s="1"/>
  <c r="J224" i="2"/>
  <c r="J223" i="2"/>
  <c r="J222" i="2"/>
  <c r="M222" i="2" s="1"/>
  <c r="J221" i="2"/>
  <c r="O221" i="2" s="1"/>
  <c r="J219" i="2"/>
  <c r="J218" i="2"/>
  <c r="J217" i="2"/>
  <c r="M217" i="2" s="1"/>
  <c r="J216" i="2"/>
  <c r="O216" i="2" s="1"/>
  <c r="J214" i="2"/>
  <c r="J213" i="2"/>
  <c r="J212" i="2"/>
  <c r="M212" i="2" s="1"/>
  <c r="J211" i="2"/>
  <c r="O211" i="2" s="1"/>
  <c r="J209" i="2"/>
  <c r="J208" i="2"/>
  <c r="J207" i="2"/>
  <c r="J206" i="2"/>
  <c r="O206" i="2" s="1"/>
  <c r="J188" i="2"/>
  <c r="J187" i="2"/>
  <c r="J186" i="2"/>
  <c r="M186" i="2" s="1"/>
  <c r="J185" i="2"/>
  <c r="O185" i="2" s="1"/>
  <c r="M20" i="2"/>
  <c r="M21" i="2"/>
  <c r="M22" i="2"/>
  <c r="M23" i="2"/>
  <c r="M24" i="2"/>
  <c r="M25" i="2"/>
  <c r="M26" i="2"/>
  <c r="M27" i="2"/>
  <c r="M28" i="2"/>
  <c r="K20" i="2"/>
  <c r="K21" i="2"/>
  <c r="K22" i="2"/>
  <c r="K23" i="2"/>
  <c r="K24" i="2"/>
  <c r="K25" i="2"/>
  <c r="K26" i="2"/>
  <c r="K27" i="2"/>
  <c r="K28" i="2"/>
  <c r="K29" i="2"/>
  <c r="N21" i="2"/>
  <c r="N24" i="2"/>
  <c r="N27" i="2"/>
  <c r="J356" i="2"/>
  <c r="J355" i="2"/>
  <c r="J351" i="2"/>
  <c r="J350" i="2"/>
  <c r="J346" i="2"/>
  <c r="J345" i="2"/>
  <c r="J341" i="2"/>
  <c r="J340" i="2"/>
  <c r="J336" i="2"/>
  <c r="J335" i="2"/>
  <c r="J331" i="2"/>
  <c r="J330" i="2"/>
  <c r="J326" i="2"/>
  <c r="J325" i="2"/>
  <c r="J321" i="2"/>
  <c r="J320" i="2"/>
  <c r="J316" i="2"/>
  <c r="J315" i="2"/>
  <c r="J311" i="2"/>
  <c r="J310" i="2"/>
  <c r="J306" i="2"/>
  <c r="J305" i="2"/>
  <c r="J301" i="2"/>
  <c r="J300" i="2"/>
  <c r="J296" i="2"/>
  <c r="J295" i="2"/>
  <c r="J291" i="2"/>
  <c r="J290" i="2"/>
  <c r="J286" i="2"/>
  <c r="J285" i="2"/>
  <c r="J280" i="2"/>
  <c r="J281" i="2"/>
  <c r="H259" i="2"/>
  <c r="J183" i="2"/>
  <c r="J354" i="2"/>
  <c r="M354" i="2" s="1"/>
  <c r="J353" i="2"/>
  <c r="M353" i="2" s="1"/>
  <c r="J349" i="2"/>
  <c r="M349" i="2" s="1"/>
  <c r="J348" i="2"/>
  <c r="M348" i="2" s="1"/>
  <c r="J344" i="2"/>
  <c r="M344" i="2" s="1"/>
  <c r="J343" i="2"/>
  <c r="M343" i="2" s="1"/>
  <c r="J339" i="2"/>
  <c r="M339" i="2" s="1"/>
  <c r="J338" i="2"/>
  <c r="M338" i="2" s="1"/>
  <c r="J334" i="2"/>
  <c r="M334" i="2" s="1"/>
  <c r="J333" i="2"/>
  <c r="M333" i="2" s="1"/>
  <c r="J329" i="2"/>
  <c r="M329" i="2" s="1"/>
  <c r="J328" i="2"/>
  <c r="M328" i="2" s="1"/>
  <c r="J324" i="2"/>
  <c r="M324" i="2" s="1"/>
  <c r="J323" i="2"/>
  <c r="M323" i="2" s="1"/>
  <c r="J319" i="2"/>
  <c r="J318" i="2"/>
  <c r="M318" i="2" s="1"/>
  <c r="J314" i="2"/>
  <c r="M314" i="2" s="1"/>
  <c r="J313" i="2"/>
  <c r="M313" i="2" s="1"/>
  <c r="J309" i="2"/>
  <c r="M309" i="2" s="1"/>
  <c r="J308" i="2"/>
  <c r="M308" i="2" s="1"/>
  <c r="J304" i="2"/>
  <c r="M304" i="2" s="1"/>
  <c r="J303" i="2"/>
  <c r="M303" i="2" s="1"/>
  <c r="J299" i="2"/>
  <c r="M299" i="2" s="1"/>
  <c r="J298" i="2"/>
  <c r="M298" i="2" s="1"/>
  <c r="J294" i="2"/>
  <c r="M294" i="2" s="1"/>
  <c r="J293" i="2"/>
  <c r="J289" i="2"/>
  <c r="M289" i="2" s="1"/>
  <c r="J288" i="2"/>
  <c r="M288" i="2" s="1"/>
  <c r="J284" i="2"/>
  <c r="M284" i="2" s="1"/>
  <c r="J283" i="2"/>
  <c r="M283" i="2" s="1"/>
  <c r="J279" i="2"/>
  <c r="M279" i="2" s="1"/>
  <c r="J278" i="2"/>
  <c r="M278" i="2" s="1"/>
  <c r="J180" i="2"/>
  <c r="N180" i="2" s="1"/>
  <c r="S287" i="2"/>
  <c r="S292" i="2"/>
  <c r="S297" i="2"/>
  <c r="S307" i="2"/>
  <c r="S312" i="2"/>
  <c r="S317" i="2"/>
  <c r="S322" i="2"/>
  <c r="S327" i="2"/>
  <c r="S332" i="2"/>
  <c r="S337" i="2"/>
  <c r="S342" i="2"/>
  <c r="S347" i="2"/>
  <c r="S352" i="2"/>
  <c r="K8" i="2"/>
  <c r="K11" i="2"/>
  <c r="K12" i="2"/>
  <c r="K13" i="2"/>
  <c r="K14" i="2"/>
  <c r="K15" i="2"/>
  <c r="K16" i="2"/>
  <c r="K17" i="2"/>
  <c r="K18" i="2"/>
  <c r="K1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5" i="2"/>
  <c r="K76" i="2"/>
  <c r="K77" i="2"/>
  <c r="K78" i="2"/>
  <c r="K80" i="2"/>
  <c r="K82" i="2"/>
  <c r="K83" i="2"/>
  <c r="K86" i="2"/>
  <c r="K87" i="2"/>
  <c r="K90" i="2"/>
  <c r="K91" i="2"/>
  <c r="K92" i="2"/>
  <c r="K93" i="2"/>
  <c r="K96" i="2"/>
  <c r="K97" i="2"/>
  <c r="K100" i="2"/>
  <c r="K101" i="2"/>
  <c r="K102" i="2"/>
  <c r="K105" i="2"/>
  <c r="K106" i="2"/>
  <c r="K112" i="2"/>
  <c r="K114" i="2"/>
  <c r="K115" i="2"/>
  <c r="K116" i="2"/>
  <c r="K119" i="2"/>
  <c r="K120" i="2"/>
  <c r="K121" i="2"/>
  <c r="K123" i="2"/>
  <c r="K124" i="2"/>
  <c r="K125" i="2"/>
  <c r="K128" i="2"/>
  <c r="K129" i="2"/>
  <c r="K130" i="2"/>
  <c r="K132" i="2"/>
  <c r="K133" i="2"/>
  <c r="K134" i="2"/>
  <c r="K136" i="2"/>
  <c r="K137" i="2"/>
  <c r="K138" i="2"/>
  <c r="K140" i="2"/>
  <c r="K141" i="2"/>
  <c r="K142" i="2"/>
  <c r="K145" i="2"/>
  <c r="K146" i="2"/>
  <c r="K178" i="2"/>
  <c r="K179" i="2"/>
  <c r="K180" i="2"/>
  <c r="K181" i="2"/>
  <c r="K184" i="2"/>
  <c r="K185" i="2"/>
  <c r="K186" i="2"/>
  <c r="K205" i="2"/>
  <c r="K206" i="2"/>
  <c r="K207" i="2"/>
  <c r="K210" i="2"/>
  <c r="K211" i="2"/>
  <c r="K212" i="2"/>
  <c r="K215" i="2"/>
  <c r="K216" i="2"/>
  <c r="K217" i="2"/>
  <c r="K220" i="2"/>
  <c r="K221" i="2"/>
  <c r="K222" i="2"/>
  <c r="K225" i="2"/>
  <c r="K226" i="2"/>
  <c r="K227" i="2"/>
  <c r="K230" i="2"/>
  <c r="K231" i="2"/>
  <c r="K232" i="2"/>
  <c r="K235" i="2"/>
  <c r="K236" i="2"/>
  <c r="K237" i="2"/>
  <c r="K255" i="2"/>
  <c r="K256" i="2"/>
  <c r="K257" i="2"/>
  <c r="K260" i="2"/>
  <c r="K261" i="2"/>
  <c r="K262" i="2"/>
  <c r="K265" i="2"/>
  <c r="K266" i="2"/>
  <c r="K267" i="2"/>
  <c r="M11" i="2"/>
  <c r="M12" i="2"/>
  <c r="M13" i="2"/>
  <c r="M14" i="2"/>
  <c r="M15" i="2"/>
  <c r="M16" i="2"/>
  <c r="M17" i="2"/>
  <c r="M18" i="2"/>
  <c r="M19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220" i="2"/>
  <c r="M221" i="2"/>
  <c r="M223" i="2"/>
  <c r="M224" i="2"/>
  <c r="M225" i="2"/>
  <c r="M226" i="2"/>
  <c r="M228" i="2"/>
  <c r="M229" i="2"/>
  <c r="M230" i="2"/>
  <c r="M231" i="2"/>
  <c r="M233" i="2"/>
  <c r="M234" i="2"/>
  <c r="M235" i="2"/>
  <c r="M236" i="2"/>
  <c r="M238" i="2"/>
  <c r="M239" i="2"/>
  <c r="M255" i="2"/>
  <c r="M256" i="2"/>
  <c r="M258" i="2"/>
  <c r="M259" i="2"/>
  <c r="M260" i="2"/>
  <c r="M261" i="2"/>
  <c r="M263" i="2"/>
  <c r="M264" i="2"/>
  <c r="M265" i="2"/>
  <c r="M266" i="2"/>
  <c r="M8" i="2"/>
  <c r="S76" i="2"/>
  <c r="S77" i="2"/>
  <c r="S78" i="2"/>
  <c r="S80" i="2"/>
  <c r="S82" i="2"/>
  <c r="S83" i="2"/>
  <c r="S86" i="2"/>
  <c r="S87" i="2"/>
  <c r="S90" i="2"/>
  <c r="S91" i="2"/>
  <c r="S92" i="2"/>
  <c r="S93" i="2"/>
  <c r="S96" i="2"/>
  <c r="S97" i="2"/>
  <c r="S100" i="2"/>
  <c r="S101" i="2"/>
  <c r="S102" i="2"/>
  <c r="S105" i="2"/>
  <c r="S106" i="2"/>
  <c r="S112" i="2"/>
  <c r="S114" i="2"/>
  <c r="S115" i="2"/>
  <c r="S116" i="2"/>
  <c r="S119" i="2"/>
  <c r="S120" i="2"/>
  <c r="S121" i="2"/>
  <c r="S123" i="2"/>
  <c r="S124" i="2"/>
  <c r="S125" i="2"/>
  <c r="S128" i="2"/>
  <c r="S129" i="2"/>
  <c r="S130" i="2"/>
  <c r="S132" i="2"/>
  <c r="S133" i="2"/>
  <c r="S134" i="2"/>
  <c r="S136" i="2"/>
  <c r="S137" i="2"/>
  <c r="S138" i="2"/>
  <c r="S140" i="2"/>
  <c r="S141" i="2"/>
  <c r="S142" i="2"/>
  <c r="S145" i="2"/>
  <c r="S14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82" i="2"/>
  <c r="S302" i="2"/>
  <c r="S362" i="2"/>
  <c r="S424" i="2"/>
  <c r="S425" i="2"/>
  <c r="S426" i="2"/>
  <c r="S427" i="2"/>
  <c r="S428" i="2"/>
  <c r="S429" i="2"/>
  <c r="S430" i="2"/>
  <c r="S431" i="2"/>
  <c r="S432" i="2"/>
  <c r="Q77" i="2"/>
  <c r="Q78" i="2"/>
  <c r="Q80" i="2"/>
  <c r="Q82" i="2"/>
  <c r="Q83" i="2"/>
  <c r="Q86" i="2"/>
  <c r="Q87" i="2"/>
  <c r="Q90" i="2"/>
  <c r="Q91" i="2"/>
  <c r="Q92" i="2"/>
  <c r="Q93" i="2"/>
  <c r="Q96" i="2"/>
  <c r="Q97" i="2"/>
  <c r="Q100" i="2"/>
  <c r="Q101" i="2"/>
  <c r="Q102" i="2"/>
  <c r="Q105" i="2"/>
  <c r="Q106" i="2"/>
  <c r="Q112" i="2"/>
  <c r="Q114" i="2"/>
  <c r="Q115" i="2"/>
  <c r="Q116" i="2"/>
  <c r="Q119" i="2"/>
  <c r="Q120" i="2"/>
  <c r="Q121" i="2"/>
  <c r="Q123" i="2"/>
  <c r="Q124" i="2"/>
  <c r="Q125" i="2"/>
  <c r="Q128" i="2"/>
  <c r="Q129" i="2"/>
  <c r="Q130" i="2"/>
  <c r="Q132" i="2"/>
  <c r="Q133" i="2"/>
  <c r="Q134" i="2"/>
  <c r="Q136" i="2"/>
  <c r="Q137" i="2"/>
  <c r="Q138" i="2"/>
  <c r="Q140" i="2"/>
  <c r="Q141" i="2"/>
  <c r="Q142" i="2"/>
  <c r="Q145" i="2"/>
  <c r="Q146" i="2"/>
  <c r="Q177" i="2"/>
  <c r="Q178" i="2"/>
  <c r="Q179" i="2"/>
  <c r="Q180" i="2"/>
  <c r="Q181" i="2"/>
  <c r="Q182" i="2"/>
  <c r="Q183" i="2"/>
  <c r="Q184" i="2"/>
  <c r="Q185" i="2"/>
  <c r="Q186" i="2"/>
  <c r="Q187" i="2"/>
  <c r="Q188" i="2"/>
  <c r="Q205" i="2"/>
  <c r="Q206" i="2"/>
  <c r="Q207" i="2"/>
  <c r="Q208" i="2"/>
  <c r="Q209" i="2"/>
  <c r="Q210" i="2"/>
  <c r="Q211" i="2"/>
  <c r="Q212" i="2"/>
  <c r="Q213" i="2"/>
  <c r="Q214" i="2"/>
  <c r="Q215" i="2"/>
  <c r="Q216" i="2"/>
  <c r="Q217" i="2"/>
  <c r="Q218" i="2"/>
  <c r="Q219" i="2"/>
  <c r="Q220" i="2"/>
  <c r="Q221" i="2"/>
  <c r="Q222" i="2"/>
  <c r="Q223" i="2"/>
  <c r="Q224" i="2"/>
  <c r="Q225" i="2"/>
  <c r="Q226" i="2"/>
  <c r="Q227" i="2"/>
  <c r="Q228" i="2"/>
  <c r="Q229" i="2"/>
  <c r="Q230" i="2"/>
  <c r="Q231" i="2"/>
  <c r="Q232" i="2"/>
  <c r="Q233" i="2"/>
  <c r="Q234" i="2"/>
  <c r="Q235" i="2"/>
  <c r="Q236" i="2"/>
  <c r="Q237" i="2"/>
  <c r="O77" i="2"/>
  <c r="O80" i="2"/>
  <c r="O82" i="2"/>
  <c r="O86" i="2"/>
  <c r="O87" i="2"/>
  <c r="O90" i="2"/>
  <c r="O91" i="2"/>
  <c r="O92" i="2"/>
  <c r="N77" i="2"/>
  <c r="N78" i="2"/>
  <c r="N80" i="2"/>
  <c r="N82" i="2"/>
  <c r="N83" i="2"/>
  <c r="N86" i="2"/>
  <c r="N87" i="2"/>
  <c r="N90" i="2"/>
  <c r="N91" i="2"/>
  <c r="N92" i="2"/>
  <c r="N93" i="2"/>
  <c r="N96" i="2"/>
  <c r="N97" i="2"/>
  <c r="N100" i="2"/>
  <c r="N101" i="2"/>
  <c r="N102" i="2"/>
  <c r="N105" i="2"/>
  <c r="N106" i="2"/>
  <c r="N112" i="2"/>
  <c r="N114" i="2"/>
  <c r="N115" i="2"/>
  <c r="N116" i="2"/>
  <c r="N119" i="2"/>
  <c r="N120" i="2"/>
  <c r="N121" i="2"/>
  <c r="N123" i="2"/>
  <c r="N124" i="2"/>
  <c r="N125" i="2"/>
  <c r="N128" i="2"/>
  <c r="N129" i="2"/>
  <c r="N130" i="2"/>
  <c r="N132" i="2"/>
  <c r="N133" i="2"/>
  <c r="N134" i="2"/>
  <c r="N136" i="2"/>
  <c r="N137" i="2"/>
  <c r="N138" i="2"/>
  <c r="N140" i="2"/>
  <c r="N141" i="2"/>
  <c r="N142" i="2"/>
  <c r="N145" i="2"/>
  <c r="N146" i="2"/>
  <c r="N177" i="2"/>
  <c r="N178" i="2"/>
  <c r="N179" i="2"/>
  <c r="N182" i="2"/>
  <c r="N183" i="2"/>
  <c r="N184" i="2"/>
  <c r="N187" i="2"/>
  <c r="N188" i="2"/>
  <c r="N205" i="2"/>
  <c r="N208" i="2"/>
  <c r="N209" i="2"/>
  <c r="N210" i="2"/>
  <c r="N213" i="2"/>
  <c r="N214" i="2"/>
  <c r="N215" i="2"/>
  <c r="N218" i="2"/>
  <c r="N219" i="2"/>
  <c r="N220" i="2"/>
  <c r="N223" i="2"/>
  <c r="N224" i="2"/>
  <c r="N225" i="2"/>
  <c r="N228" i="2"/>
  <c r="N229" i="2"/>
  <c r="N230" i="2"/>
  <c r="N233" i="2"/>
  <c r="N234" i="2"/>
  <c r="N235" i="2"/>
  <c r="N238" i="2"/>
  <c r="N239" i="2"/>
  <c r="N255" i="2"/>
  <c r="N258" i="2"/>
  <c r="N259" i="2"/>
  <c r="N260" i="2"/>
  <c r="N263" i="2"/>
  <c r="N264" i="2"/>
  <c r="N265" i="2"/>
  <c r="N266" i="2"/>
  <c r="N268" i="2"/>
  <c r="H258" i="2"/>
  <c r="J181" i="2"/>
  <c r="M181" i="2" s="1"/>
  <c r="N206" i="2" l="1"/>
  <c r="M262" i="2"/>
  <c r="N211" i="2"/>
  <c r="N221" i="2"/>
  <c r="N271" i="2"/>
  <c r="N231" i="2"/>
  <c r="M272" i="2"/>
  <c r="N256" i="2"/>
  <c r="N236" i="2"/>
  <c r="N216" i="2"/>
  <c r="N207" i="2"/>
  <c r="M207" i="2"/>
  <c r="N185" i="2"/>
  <c r="N279" i="2"/>
  <c r="N278" i="2"/>
  <c r="O104" i="2"/>
  <c r="O174" i="2"/>
  <c r="O118" i="2"/>
  <c r="O127" i="2"/>
  <c r="O157" i="2"/>
  <c r="O99" i="2"/>
  <c r="O94" i="2"/>
  <c r="O83" i="2"/>
  <c r="O93" i="2"/>
  <c r="K316" i="2"/>
  <c r="K356" i="2"/>
  <c r="O78" i="2"/>
  <c r="K281" i="2"/>
  <c r="K301" i="2"/>
  <c r="K321" i="2"/>
  <c r="K341" i="2"/>
  <c r="K300" i="2"/>
  <c r="K320" i="2"/>
  <c r="K340" i="2"/>
  <c r="O180" i="2"/>
  <c r="K286" i="2"/>
  <c r="K306" i="2"/>
  <c r="K326" i="2"/>
  <c r="K346" i="2"/>
  <c r="O261" i="2"/>
  <c r="K290" i="2"/>
  <c r="K310" i="2"/>
  <c r="K330" i="2"/>
  <c r="K350" i="2"/>
  <c r="K291" i="2"/>
  <c r="K311" i="2"/>
  <c r="K331" i="2"/>
  <c r="K351" i="2"/>
  <c r="O226" i="2"/>
  <c r="K280" i="2"/>
  <c r="K285" i="2"/>
  <c r="K305" i="2"/>
  <c r="K325" i="2"/>
  <c r="K345" i="2"/>
  <c r="K295" i="2"/>
  <c r="K315" i="2"/>
  <c r="K335" i="2"/>
  <c r="K355" i="2"/>
  <c r="M319" i="2"/>
  <c r="M293" i="2"/>
  <c r="K274" i="2"/>
  <c r="K296" i="2"/>
  <c r="K336" i="2"/>
  <c r="K273" i="2"/>
  <c r="K268" i="2"/>
  <c r="K233" i="2"/>
  <c r="K213" i="2"/>
  <c r="K229" i="2"/>
  <c r="K187" i="2"/>
  <c r="K223" i="2"/>
  <c r="K258" i="2"/>
  <c r="K214" i="2"/>
  <c r="K234" i="2"/>
  <c r="K269" i="2"/>
  <c r="K188" i="2"/>
  <c r="K224" i="2"/>
  <c r="K259" i="2"/>
  <c r="K263" i="2"/>
  <c r="K208" i="2"/>
  <c r="K228" i="2"/>
  <c r="K209" i="2"/>
  <c r="K264" i="2"/>
  <c r="K182" i="2"/>
  <c r="K218" i="2"/>
  <c r="K238" i="2"/>
  <c r="K183" i="2"/>
  <c r="K219" i="2"/>
  <c r="K239" i="2"/>
  <c r="N212" i="2"/>
  <c r="N217" i="2"/>
  <c r="N237" i="2"/>
  <c r="N267" i="2"/>
  <c r="N222" i="2"/>
  <c r="N227" i="2"/>
  <c r="N232" i="2"/>
  <c r="N181" i="2"/>
  <c r="N257" i="2"/>
  <c r="N186" i="2"/>
  <c r="S58" i="2" l="1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5" i="2"/>
  <c r="Q66" i="2"/>
  <c r="Q67" i="2"/>
  <c r="Q68" i="2"/>
  <c r="Q69" i="2"/>
  <c r="Q70" i="2"/>
  <c r="Q71" i="2"/>
  <c r="Q75" i="2"/>
  <c r="Q76" i="2"/>
  <c r="O68" i="2"/>
  <c r="O69" i="2"/>
  <c r="O70" i="2"/>
  <c r="O71" i="2"/>
  <c r="O75" i="2"/>
  <c r="O76" i="2"/>
  <c r="N69" i="2"/>
  <c r="N75" i="2"/>
  <c r="N76" i="2"/>
  <c r="J19" i="2" l="1"/>
  <c r="J16" i="2"/>
  <c r="J53" i="2"/>
  <c r="J52" i="2"/>
  <c r="J50" i="2"/>
  <c r="J49" i="2"/>
  <c r="J47" i="2"/>
  <c r="J46" i="2"/>
  <c r="J44" i="2"/>
  <c r="J43" i="2"/>
  <c r="J38" i="2"/>
  <c r="L38" i="2" s="1"/>
  <c r="J37" i="2"/>
  <c r="L37" i="2" s="1"/>
  <c r="J35" i="2"/>
  <c r="J34" i="2"/>
  <c r="J32" i="2"/>
  <c r="N32" i="2" s="1"/>
  <c r="J31" i="2"/>
  <c r="N31" i="2" s="1"/>
  <c r="J29" i="2"/>
  <c r="J28" i="2"/>
  <c r="J23" i="2"/>
  <c r="J22" i="2"/>
  <c r="J14" i="2"/>
  <c r="N14" i="2" s="1"/>
  <c r="J13" i="2"/>
  <c r="N13" i="2" s="1"/>
  <c r="J71" i="2"/>
  <c r="J70" i="2"/>
  <c r="J68" i="2"/>
  <c r="J67" i="2"/>
  <c r="N67" i="2" s="1"/>
  <c r="J65" i="2"/>
  <c r="J64" i="2"/>
  <c r="J62" i="2"/>
  <c r="J61" i="2"/>
  <c r="J59" i="2"/>
  <c r="J58" i="2"/>
  <c r="J56" i="2"/>
  <c r="J55" i="2"/>
  <c r="J41" i="2"/>
  <c r="N41" i="2" s="1"/>
  <c r="J40" i="2"/>
  <c r="J26" i="2"/>
  <c r="J25" i="2"/>
  <c r="J20" i="2"/>
  <c r="J17" i="2"/>
  <c r="J11" i="2"/>
  <c r="N11" i="2" s="1"/>
  <c r="J8" i="2"/>
  <c r="N8" i="2" s="1"/>
  <c r="J7" i="2"/>
  <c r="N7" i="2" s="1"/>
  <c r="S8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R8" i="2"/>
  <c r="R11" i="2"/>
  <c r="R12" i="2"/>
  <c r="R13" i="2"/>
  <c r="R14" i="2"/>
  <c r="R15" i="2"/>
  <c r="R16" i="2"/>
  <c r="R17" i="2"/>
  <c r="R18" i="2"/>
  <c r="R19" i="2"/>
  <c r="R20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38" i="2"/>
  <c r="R39" i="2"/>
  <c r="R40" i="2"/>
  <c r="R41" i="2"/>
  <c r="R42" i="2"/>
  <c r="R43" i="2"/>
  <c r="R44" i="2"/>
  <c r="R45" i="2"/>
  <c r="R46" i="2"/>
  <c r="R47" i="2"/>
  <c r="R48" i="2"/>
  <c r="R49" i="2"/>
  <c r="R50" i="2"/>
  <c r="R51" i="2"/>
  <c r="R52" i="2"/>
  <c r="R53" i="2"/>
  <c r="R54" i="2"/>
  <c r="R55" i="2"/>
  <c r="R56" i="2"/>
  <c r="R57" i="2"/>
  <c r="R58" i="2"/>
  <c r="R59" i="2"/>
  <c r="R60" i="2"/>
  <c r="R61" i="2"/>
  <c r="Q8" i="2"/>
  <c r="Q11" i="2"/>
  <c r="Q12" i="2"/>
  <c r="Q13" i="2"/>
  <c r="Q14" i="2"/>
  <c r="Q15" i="2"/>
  <c r="Q16" i="2"/>
  <c r="Q17" i="2"/>
  <c r="Q18" i="2"/>
  <c r="Q19" i="2"/>
  <c r="Q20" i="2"/>
  <c r="Q21" i="2"/>
  <c r="Q22" i="2"/>
  <c r="Q23" i="2"/>
  <c r="Q24" i="2"/>
  <c r="Q25" i="2"/>
  <c r="Q26" i="2"/>
  <c r="Q27" i="2"/>
  <c r="Q28" i="2"/>
  <c r="Q29" i="2"/>
  <c r="Q30" i="2"/>
  <c r="Q31" i="2"/>
  <c r="Q32" i="2"/>
  <c r="Q33" i="2"/>
  <c r="Q34" i="2"/>
  <c r="Q35" i="2"/>
  <c r="Q36" i="2"/>
  <c r="Q37" i="2"/>
  <c r="Q38" i="2"/>
  <c r="Q39" i="2"/>
  <c r="Q40" i="2"/>
  <c r="Q41" i="2"/>
  <c r="Q42" i="2"/>
  <c r="Q43" i="2"/>
  <c r="Q44" i="2"/>
  <c r="Q45" i="2"/>
  <c r="Q46" i="2"/>
  <c r="Q47" i="2"/>
  <c r="Q48" i="2"/>
  <c r="Q49" i="2"/>
  <c r="Q50" i="2"/>
  <c r="Q51" i="2"/>
  <c r="Q52" i="2"/>
  <c r="Q53" i="2"/>
  <c r="Q54" i="2"/>
  <c r="Q55" i="2"/>
  <c r="Q56" i="2"/>
  <c r="Q57" i="2"/>
  <c r="Q58" i="2"/>
  <c r="Q59" i="2"/>
  <c r="Q60" i="2"/>
  <c r="Q61" i="2"/>
  <c r="Q62" i="2"/>
  <c r="Q63" i="2"/>
  <c r="Q64" i="2"/>
  <c r="Q65" i="2"/>
  <c r="P8" i="2"/>
  <c r="P11" i="2"/>
  <c r="P12" i="2"/>
  <c r="P13" i="2"/>
  <c r="P14" i="2"/>
  <c r="P15" i="2"/>
  <c r="P16" i="2"/>
  <c r="P17" i="2"/>
  <c r="P18" i="2"/>
  <c r="P19" i="2"/>
  <c r="P20" i="2"/>
  <c r="P21" i="2"/>
  <c r="P22" i="2"/>
  <c r="P23" i="2"/>
  <c r="P24" i="2"/>
  <c r="P25" i="2"/>
  <c r="P26" i="2"/>
  <c r="P27" i="2"/>
  <c r="P28" i="2"/>
  <c r="P29" i="2"/>
  <c r="P30" i="2"/>
  <c r="P31" i="2"/>
  <c r="P32" i="2"/>
  <c r="P33" i="2"/>
  <c r="P34" i="2"/>
  <c r="P35" i="2"/>
  <c r="P36" i="2"/>
  <c r="O8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43" i="2"/>
  <c r="O44" i="2"/>
  <c r="O45" i="2"/>
  <c r="O46" i="2"/>
  <c r="O47" i="2"/>
  <c r="O48" i="2"/>
  <c r="O49" i="2"/>
  <c r="O50" i="2"/>
  <c r="O51" i="2"/>
  <c r="O52" i="2"/>
  <c r="O53" i="2"/>
  <c r="O54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N12" i="2"/>
  <c r="N15" i="2"/>
  <c r="N18" i="2"/>
  <c r="N30" i="2"/>
  <c r="N33" i="2"/>
  <c r="N36" i="2"/>
  <c r="N39" i="2"/>
  <c r="N42" i="2"/>
  <c r="N45" i="2"/>
  <c r="N48" i="2"/>
  <c r="N51" i="2"/>
  <c r="N54" i="2"/>
  <c r="N57" i="2"/>
  <c r="N60" i="2"/>
  <c r="N63" i="2"/>
  <c r="N66" i="2"/>
  <c r="S7" i="2"/>
  <c r="R7" i="2"/>
  <c r="Q7" i="2"/>
  <c r="P7" i="2"/>
  <c r="O7" i="2"/>
  <c r="M7" i="2"/>
  <c r="M778" i="2" s="1"/>
  <c r="M780" i="2" s="1"/>
  <c r="K7" i="2"/>
  <c r="K778" i="2" s="1"/>
  <c r="S778" i="2" l="1"/>
  <c r="S780" i="2" s="1"/>
  <c r="O778" i="2"/>
  <c r="O780" i="2" s="1"/>
  <c r="P778" i="2"/>
  <c r="P780" i="2" s="1"/>
  <c r="Q778" i="2"/>
  <c r="Q780" i="2" s="1"/>
  <c r="R778" i="2"/>
  <c r="R780" i="2" s="1"/>
  <c r="K780" i="2"/>
  <c r="N38" i="2"/>
  <c r="N50" i="2"/>
  <c r="N29" i="2"/>
  <c r="N25" i="2"/>
  <c r="N26" i="2"/>
  <c r="N22" i="2"/>
  <c r="N23" i="2"/>
  <c r="N65" i="2"/>
  <c r="N28" i="2"/>
  <c r="N64" i="2"/>
  <c r="N40" i="2"/>
  <c r="N59" i="2"/>
  <c r="N61" i="2"/>
  <c r="N62" i="2"/>
  <c r="N49" i="2"/>
  <c r="N55" i="2"/>
  <c r="N56" i="2"/>
  <c r="N68" i="2"/>
  <c r="N53" i="2"/>
  <c r="N71" i="2"/>
  <c r="N70" i="2"/>
  <c r="N37" i="2"/>
  <c r="N58" i="2"/>
  <c r="N17" i="2"/>
  <c r="N16" i="2"/>
  <c r="L8" i="2"/>
  <c r="N44" i="2"/>
  <c r="N35" i="2"/>
  <c r="N47" i="2"/>
  <c r="N52" i="2"/>
  <c r="N46" i="2"/>
  <c r="N43" i="2"/>
  <c r="N34" i="2"/>
  <c r="N20" i="2"/>
  <c r="N19" i="2"/>
  <c r="L7" i="2"/>
  <c r="L778" i="2" l="1"/>
  <c r="L780" i="2" s="1"/>
  <c r="N778" i="2"/>
  <c r="N780" i="2" s="1"/>
  <c r="K781" i="2" l="1"/>
</calcChain>
</file>

<file path=xl/sharedStrings.xml><?xml version="1.0" encoding="utf-8"?>
<sst xmlns="http://schemas.openxmlformats.org/spreadsheetml/2006/main" count="4533" uniqueCount="175">
  <si>
    <t>N°</t>
  </si>
  <si>
    <t>N</t>
  </si>
  <si>
    <t>axe</t>
  </si>
  <si>
    <t>fill</t>
  </si>
  <si>
    <t>A</t>
  </si>
  <si>
    <t>semelle isolee</t>
  </si>
  <si>
    <t>B</t>
  </si>
  <si>
    <t>C</t>
  </si>
  <si>
    <t>D</t>
  </si>
  <si>
    <t>E</t>
  </si>
  <si>
    <t>F</t>
  </si>
  <si>
    <t>G</t>
  </si>
  <si>
    <t>Nom</t>
  </si>
  <si>
    <t>LG1</t>
  </si>
  <si>
    <t>LG2</t>
  </si>
  <si>
    <t xml:space="preserve">Longueur </t>
  </si>
  <si>
    <t>largeur</t>
  </si>
  <si>
    <t>Hauteur / épaisseur</t>
  </si>
  <si>
    <t>Qté partielle</t>
  </si>
  <si>
    <t xml:space="preserve">Qté Total des Métrés </t>
  </si>
  <si>
    <t>S1</t>
  </si>
  <si>
    <t>S2</t>
  </si>
  <si>
    <t>M3</t>
  </si>
  <si>
    <t>Désignation,  détail  de  calcul ,  croquis ,  principe  et  justificatif</t>
  </si>
  <si>
    <t>P1</t>
  </si>
  <si>
    <t>A-D</t>
  </si>
  <si>
    <t>O U V R A G E S</t>
  </si>
  <si>
    <t>N° ELE</t>
  </si>
  <si>
    <t>NOMB B</t>
  </si>
  <si>
    <t>DIAM</t>
  </si>
  <si>
    <t>LONG</t>
  </si>
  <si>
    <t xml:space="preserve">A C I E R    T O R </t>
  </si>
  <si>
    <t>T 6</t>
  </si>
  <si>
    <t>T 8</t>
  </si>
  <si>
    <t>T 10</t>
  </si>
  <si>
    <t>T 12</t>
  </si>
  <si>
    <t xml:space="preserve"> T 14</t>
  </si>
  <si>
    <t>T 16</t>
  </si>
  <si>
    <t>T 20</t>
  </si>
  <si>
    <t>T25</t>
  </si>
  <si>
    <t>T32</t>
  </si>
  <si>
    <t>total</t>
  </si>
  <si>
    <t>P2</t>
  </si>
  <si>
    <t>P3</t>
  </si>
  <si>
    <t>P4</t>
  </si>
  <si>
    <t xml:space="preserve">Gros béton </t>
  </si>
  <si>
    <t>H/ bon sol+ terre végétale $$$</t>
  </si>
  <si>
    <t>Détail Quantitatif Métré</t>
  </si>
  <si>
    <t>A-   ETUDES TECHNIQUES, ESSAIS, CONTROLES ET RECEPTIONS</t>
  </si>
  <si>
    <t>Etude suivant descriptif  comme suit :
a) Etude géotechnique
b)Etude technique (relevé topographique du terrain, conception local d'archive , implantation ,structure, plomberie et électricité  )
c) Etude des formulations des bétons  .
d) Essais  et contrôles
e) Réception du ferraillage,Essais et réception d'étanchéité
f) Plan de récolement qui doit décrit les travaux réellement réalisés à la fin du projet,</t>
  </si>
  <si>
    <t>f</t>
  </si>
  <si>
    <t>U</t>
  </si>
  <si>
    <t xml:space="preserve">Terrassement en fouilles, en tranchées ou en plein masse y compris décapage de la
terre végétale </t>
  </si>
  <si>
    <t>1-6</t>
  </si>
  <si>
    <t>1-5</t>
  </si>
  <si>
    <t>poteaux</t>
  </si>
  <si>
    <t xml:space="preserve">longrines </t>
  </si>
  <si>
    <t>X</t>
  </si>
  <si>
    <t>Y</t>
  </si>
  <si>
    <t xml:space="preserve"> LONGUEUR  TOTALE</t>
  </si>
  <si>
    <t xml:space="preserve"> POIDS / ML</t>
  </si>
  <si>
    <t xml:space="preserve"> POIDS PARTIELS</t>
  </si>
  <si>
    <t xml:space="preserve"> POIDS TOTAL</t>
  </si>
  <si>
    <t xml:space="preserve">Construction de locaux et travaux de réaménagement à la mine Youssoufia </t>
  </si>
  <si>
    <t xml:space="preserve"> AO N° : </t>
  </si>
  <si>
    <t xml:space="preserve">Armature pour béton armé en fondation et en élévation </t>
  </si>
  <si>
    <t>Armature INF X</t>
  </si>
  <si>
    <t>Armature INF Y</t>
  </si>
  <si>
    <t>fût des poteaux</t>
  </si>
  <si>
    <t>4-5</t>
  </si>
  <si>
    <t>5-6</t>
  </si>
  <si>
    <t>1-2</t>
  </si>
  <si>
    <t>2-3</t>
  </si>
  <si>
    <t>3-4</t>
  </si>
  <si>
    <t>NAPPE INF1</t>
  </si>
  <si>
    <t>NAPPE SUP</t>
  </si>
  <si>
    <t>CADRE</t>
  </si>
  <si>
    <t>EPINGLE</t>
  </si>
  <si>
    <t>chainage</t>
  </si>
  <si>
    <t>4</t>
  </si>
  <si>
    <t>1</t>
  </si>
  <si>
    <t>C-D</t>
  </si>
  <si>
    <t>3</t>
  </si>
  <si>
    <t>5</t>
  </si>
  <si>
    <t>CH</t>
  </si>
  <si>
    <t>A-C</t>
  </si>
  <si>
    <t>Armature LONG</t>
  </si>
  <si>
    <t>6</t>
  </si>
  <si>
    <t>h0 $##</t>
  </si>
  <si>
    <t>$$</t>
  </si>
  <si>
    <t>A-F</t>
  </si>
  <si>
    <t>2</t>
  </si>
  <si>
    <t xml:space="preserve">B-   GROS ŒUVRES et maconnerie </t>
  </si>
  <si>
    <t xml:space="preserve"> Béton de propreté </t>
  </si>
  <si>
    <t>pour semelle isolee</t>
  </si>
  <si>
    <t/>
  </si>
  <si>
    <t xml:space="preserve">pour longrines </t>
  </si>
  <si>
    <t>pour chainage</t>
  </si>
  <si>
    <t xml:space="preserve"> Maçonnerie de moellons en fondation  exécutée selon descriptif </t>
  </si>
  <si>
    <t>M2</t>
  </si>
  <si>
    <t xml:space="preserve"> Béton pour béton armé en fondation et en élévation</t>
  </si>
  <si>
    <t>pour les massifs</t>
  </si>
  <si>
    <t xml:space="preserve">adduction </t>
  </si>
  <si>
    <t>reduire</t>
  </si>
  <si>
    <t xml:space="preserve"> Remblaiement en tout-venant </t>
  </si>
  <si>
    <t>s4</t>
  </si>
  <si>
    <t>s1</t>
  </si>
  <si>
    <t>S4</t>
  </si>
  <si>
    <t>S5</t>
  </si>
  <si>
    <t>S3</t>
  </si>
  <si>
    <t>6-7</t>
  </si>
  <si>
    <t>7-8</t>
  </si>
  <si>
    <t>7</t>
  </si>
  <si>
    <t>A-E</t>
  </si>
  <si>
    <t>D-G</t>
  </si>
  <si>
    <t>E-G</t>
  </si>
  <si>
    <t>LG</t>
  </si>
  <si>
    <t>2-4</t>
  </si>
  <si>
    <t>8</t>
  </si>
  <si>
    <t>C-E</t>
  </si>
  <si>
    <t>POUR DALLAGE TYPE 13</t>
  </si>
  <si>
    <t>A-G</t>
  </si>
  <si>
    <t>5-8</t>
  </si>
  <si>
    <t>POUR DALLAGE TYPE 20</t>
  </si>
  <si>
    <t xml:space="preserve">POUTRE </t>
  </si>
  <si>
    <t>POUTRE MEZZANINE</t>
  </si>
  <si>
    <t>NOM</t>
  </si>
  <si>
    <t>CH1</t>
  </si>
  <si>
    <t>N2</t>
  </si>
  <si>
    <t xml:space="preserve">Armature LONG NAPPE INF </t>
  </si>
  <si>
    <t>Armature LONG NAPPE SUP</t>
  </si>
  <si>
    <t>N1</t>
  </si>
  <si>
    <t>N4</t>
  </si>
  <si>
    <t>A-B</t>
  </si>
  <si>
    <t>Armature LONG NAPPE INTER</t>
  </si>
  <si>
    <t>N3</t>
  </si>
  <si>
    <t>B-F</t>
  </si>
  <si>
    <t>BN</t>
  </si>
  <si>
    <t xml:space="preserve">treillis dallage </t>
  </si>
  <si>
    <t>POUTRE PH RDC</t>
  </si>
  <si>
    <t>N5</t>
  </si>
  <si>
    <t>N6</t>
  </si>
  <si>
    <t>N7</t>
  </si>
  <si>
    <t>+</t>
  </si>
  <si>
    <t>3-5</t>
  </si>
  <si>
    <t>F-G</t>
  </si>
  <si>
    <t>B-E</t>
  </si>
  <si>
    <t>1-3</t>
  </si>
  <si>
    <t>MASSIF</t>
  </si>
  <si>
    <t>Attachement N°1</t>
  </si>
  <si>
    <t xml:space="preserve">Forme  en  béton </t>
  </si>
  <si>
    <t>semelle perdu</t>
  </si>
  <si>
    <t>poids + 10%</t>
  </si>
  <si>
    <t xml:space="preserve"> </t>
  </si>
  <si>
    <t>s2</t>
  </si>
  <si>
    <t>s3</t>
  </si>
  <si>
    <t>ax</t>
  </si>
  <si>
    <t>ay</t>
  </si>
  <si>
    <t>fut poteau</t>
  </si>
  <si>
    <t xml:space="preserve">ARM LONG </t>
  </si>
  <si>
    <t xml:space="preserve">H  terrassement </t>
  </si>
  <si>
    <t xml:space="preserve">chainage </t>
  </si>
  <si>
    <t xml:space="preserve">EPINGLE </t>
  </si>
  <si>
    <t xml:space="preserve">LONGRINE </t>
  </si>
  <si>
    <t>ARM LONG SUPP</t>
  </si>
  <si>
    <t>ARM LONG INF</t>
  </si>
  <si>
    <t xml:space="preserve">NAPPE DU DALLAGE </t>
  </si>
  <si>
    <t>DALLAGE TYPE 13CM</t>
  </si>
  <si>
    <t>AX</t>
  </si>
  <si>
    <t>AY</t>
  </si>
  <si>
    <t>DALLAGE TYPE 20CM</t>
  </si>
  <si>
    <t xml:space="preserve"> POIDS PARTIELS +10%</t>
  </si>
  <si>
    <t xml:space="preserve"> POIDS PARTIELS SUR CHANTIER </t>
  </si>
  <si>
    <t xml:space="preserve"> POIDS RESTANT SUR CHANTIER </t>
  </si>
  <si>
    <t xml:space="preserve">pour dallage de fondation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</si>
</sst>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164" formatCode="_-* #,##0.00\ _€_-;\-* #,##0.00\ _€_-;_-* &quot;-&quot;??\ _€_-;_-@_-"/>
    <numFmt numFmtId="165" formatCode="_-* #,##0.00\ _F_-;\-* #,##0.00\ _F_-;_-* &quot;-&quot;??\ _F_-;_-@_-"/>
    <numFmt numFmtId="166" formatCode="0.00;\-0.00;;@"/>
    <numFmt numFmtId="167" formatCode="0.000;\-0.000;;@"/>
    <numFmt numFmtId="170" formatCode="#,##0.0000"/>
    <numFmt numFmtId="171" formatCode="0.000000000000"/>
  </numFmts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name val="Arial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8"/>
      <name val="Aptos Narrow"/>
      <family val="2"/>
      <scheme val="minor"/>
    </font>
    <font>
      <b/>
      <sz val="12"/>
      <name val="Aptos Display"/>
      <family val="2"/>
      <scheme val="major"/>
    </font>
    <font>
      <b/>
      <sz val="9"/>
      <name val="Times New Roman"/>
      <family val="1"/>
    </font>
    <font>
      <b/>
      <sz val="16"/>
      <color theme="1"/>
      <name val="Aptos Narrow"/>
      <family val="2"/>
      <scheme val="minor"/>
    </font>
    <font>
      <b/>
      <sz val="16"/>
      <name val="Times New Roman"/>
      <family val="1"/>
    </font>
    <font>
      <sz val="11"/>
      <name val="Times New Roman"/>
      <family val="1"/>
    </font>
    <font>
      <b/>
      <u/>
      <sz val="12"/>
      <name val="Times New Roman"/>
      <family val="1"/>
    </font>
    <font>
      <sz val="11"/>
      <color theme="1"/>
      <name val="Aptos Narrow"/>
      <scheme val="minor"/>
    </font>
    <font>
      <b/>
      <sz val="11"/>
      <color theme="1"/>
      <name val="Aptos Narrow"/>
      <scheme val="minor"/>
    </font>
    <font>
      <sz val="12"/>
      <name val="Aptos Display"/>
      <scheme val="major"/>
    </font>
    <font>
      <b/>
      <sz val="11"/>
      <name val="Times New Roman"/>
      <family val="1"/>
    </font>
    <font>
      <b/>
      <sz val="12"/>
      <name val="Aptos Display"/>
      <scheme val="major"/>
    </font>
    <font>
      <b/>
      <sz val="20"/>
      <color theme="1"/>
      <name val="Aptos Narrow"/>
      <scheme val="minor"/>
    </font>
    <font>
      <b/>
      <sz val="8"/>
      <color rgb="FF000000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5">
    <xf numFmtId="0" fontId="0" fillId="0" borderId="0"/>
    <xf numFmtId="164" fontId="1" fillId="0" borderId="0" applyFont="0" applyFill="0" applyBorder="0" applyAlignment="0" applyProtection="0"/>
    <xf numFmtId="0" fontId="3" fillId="0" borderId="0"/>
    <xf numFmtId="0" fontId="3" fillId="0" borderId="0"/>
    <xf numFmtId="165" fontId="3" fillId="0" borderId="0" applyFont="0" applyFill="0" applyBorder="0" applyAlignment="0" applyProtection="0"/>
  </cellStyleXfs>
  <cellXfs count="187">
    <xf numFmtId="0" fontId="0" fillId="0" borderId="0" xfId="0"/>
    <xf numFmtId="0" fontId="2" fillId="0" borderId="0" xfId="0" applyFont="1"/>
    <xf numFmtId="0" fontId="2" fillId="4" borderId="0" xfId="0" applyFont="1" applyFill="1" applyAlignment="1">
      <alignment horizontal="center" vertical="center"/>
    </xf>
    <xf numFmtId="0" fontId="2" fillId="5" borderId="0" xfId="0" applyFont="1" applyFill="1"/>
    <xf numFmtId="0" fontId="2" fillId="0" borderId="0" xfId="0" applyFont="1" applyAlignment="1">
      <alignment horizontal="center" vertical="center"/>
    </xf>
    <xf numFmtId="0" fontId="0" fillId="2" borderId="0" xfId="0" applyFill="1"/>
    <xf numFmtId="0" fontId="0" fillId="2" borderId="2" xfId="0" applyFill="1" applyBorder="1"/>
    <xf numFmtId="0" fontId="0" fillId="0" borderId="2" xfId="0" applyBorder="1"/>
    <xf numFmtId="0" fontId="0" fillId="2" borderId="6" xfId="0" applyFill="1" applyBorder="1"/>
    <xf numFmtId="0" fontId="0" fillId="0" borderId="6" xfId="0" applyBorder="1"/>
    <xf numFmtId="0" fontId="8" fillId="0" borderId="9" xfId="3" applyFont="1" applyBorder="1" applyAlignment="1">
      <alignment horizontal="center" vertical="center"/>
    </xf>
    <xf numFmtId="0" fontId="0" fillId="2" borderId="8" xfId="0" applyFill="1" applyBorder="1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/>
    </xf>
    <xf numFmtId="4" fontId="4" fillId="3" borderId="0" xfId="0" applyNumberFormat="1" applyFont="1" applyFill="1" applyAlignment="1">
      <alignment vertical="center" wrapText="1"/>
    </xf>
    <xf numFmtId="0" fontId="9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5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4" fontId="4" fillId="0" borderId="0" xfId="0" applyNumberFormat="1" applyFont="1" applyAlignment="1">
      <alignment vertical="center" wrapText="1"/>
    </xf>
    <xf numFmtId="0" fontId="0" fillId="0" borderId="0" xfId="0" applyAlignment="1">
      <alignment horizontal="center"/>
    </xf>
    <xf numFmtId="0" fontId="2" fillId="0" borderId="0" xfId="0" applyFont="1" applyAlignment="1">
      <alignment vertical="center"/>
    </xf>
    <xf numFmtId="49" fontId="2" fillId="0" borderId="0" xfId="0" applyNumberFormat="1" applyFont="1" applyAlignment="1">
      <alignment horizontal="center" vertical="center"/>
    </xf>
    <xf numFmtId="0" fontId="0" fillId="0" borderId="0" xfId="0" applyAlignment="1">
      <alignment vertical="center"/>
    </xf>
    <xf numFmtId="0" fontId="2" fillId="6" borderId="0" xfId="0" applyFont="1" applyFill="1" applyAlignment="1">
      <alignment horizontal="center" vertical="center"/>
    </xf>
    <xf numFmtId="0" fontId="2" fillId="6" borderId="0" xfId="0" applyFont="1" applyFill="1" applyAlignment="1">
      <alignment vertical="center"/>
    </xf>
    <xf numFmtId="0" fontId="0" fillId="6" borderId="0" xfId="0" applyFill="1" applyAlignment="1">
      <alignment horizontal="center" vertical="center"/>
    </xf>
    <xf numFmtId="166" fontId="5" fillId="2" borderId="14" xfId="4" applyNumberFormat="1" applyFont="1" applyFill="1" applyBorder="1" applyAlignment="1">
      <alignment horizontal="center" wrapText="1"/>
    </xf>
    <xf numFmtId="167" fontId="5" fillId="0" borderId="4" xfId="4" applyNumberFormat="1" applyFont="1" applyFill="1" applyBorder="1" applyAlignment="1">
      <alignment horizontal="center" wrapText="1"/>
    </xf>
    <xf numFmtId="167" fontId="5" fillId="0" borderId="17" xfId="3" applyNumberFormat="1" applyFont="1" applyBorder="1" applyAlignment="1">
      <alignment horizontal="center" wrapText="1"/>
    </xf>
    <xf numFmtId="167" fontId="5" fillId="0" borderId="18" xfId="3" applyNumberFormat="1" applyFont="1" applyBorder="1" applyAlignment="1">
      <alignment horizontal="center" wrapText="1"/>
    </xf>
    <xf numFmtId="166" fontId="5" fillId="0" borderId="4" xfId="4" applyNumberFormat="1" applyFont="1" applyFill="1" applyBorder="1" applyAlignment="1">
      <alignment horizontal="center" vertical="center"/>
    </xf>
    <xf numFmtId="167" fontId="5" fillId="0" borderId="4" xfId="3" applyNumberFormat="1" applyFont="1" applyBorder="1" applyAlignment="1">
      <alignment horizontal="center" wrapText="1"/>
    </xf>
    <xf numFmtId="0" fontId="4" fillId="0" borderId="22" xfId="3" applyFont="1" applyBorder="1" applyAlignment="1">
      <alignment horizontal="left"/>
    </xf>
    <xf numFmtId="0" fontId="4" fillId="0" borderId="17" xfId="3" applyFont="1" applyBorder="1" applyAlignment="1">
      <alignment horizontal="left"/>
    </xf>
    <xf numFmtId="165" fontId="8" fillId="0" borderId="9" xfId="4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2" fillId="0" borderId="0" xfId="0" applyFont="1" applyFill="1"/>
    <xf numFmtId="0" fontId="0" fillId="0" borderId="6" xfId="0" applyFill="1" applyBorder="1"/>
    <xf numFmtId="0" fontId="0" fillId="0" borderId="0" xfId="0" applyFill="1"/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23" xfId="0" applyFill="1" applyBorder="1"/>
    <xf numFmtId="0" fontId="0" fillId="0" borderId="0" xfId="0" applyBorder="1"/>
    <xf numFmtId="0" fontId="14" fillId="0" borderId="0" xfId="0" applyFont="1"/>
    <xf numFmtId="49" fontId="14" fillId="0" borderId="0" xfId="0" applyNumberFormat="1" applyFont="1"/>
    <xf numFmtId="0" fontId="4" fillId="0" borderId="24" xfId="3" applyFont="1" applyBorder="1" applyAlignment="1">
      <alignment horizontal="left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3" fontId="7" fillId="0" borderId="0" xfId="0" applyNumberFormat="1" applyFont="1" applyAlignment="1">
      <alignment horizontal="left" vertical="center" wrapText="1"/>
    </xf>
    <xf numFmtId="0" fontId="0" fillId="11" borderId="0" xfId="0" applyFill="1" applyAlignment="1">
      <alignment horizontal="center" vertical="center"/>
    </xf>
    <xf numFmtId="3" fontId="15" fillId="0" borderId="0" xfId="0" applyNumberFormat="1" applyFont="1" applyAlignment="1">
      <alignment horizontal="left" vertical="center" wrapText="1"/>
    </xf>
    <xf numFmtId="4" fontId="15" fillId="0" borderId="0" xfId="0" applyNumberFormat="1" applyFont="1" applyAlignment="1">
      <alignment horizontal="left" vertical="center" wrapText="1"/>
    </xf>
    <xf numFmtId="4" fontId="15" fillId="11" borderId="0" xfId="0" applyNumberFormat="1" applyFont="1" applyFill="1" applyAlignment="1">
      <alignment horizontal="left" vertical="center" wrapText="1"/>
    </xf>
    <xf numFmtId="0" fontId="14" fillId="0" borderId="0" xfId="0" applyFont="1" applyFill="1" applyAlignment="1">
      <alignment horizontal="center" vertical="center"/>
    </xf>
    <xf numFmtId="49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0" fillId="0" borderId="0" xfId="0" applyFill="1" applyAlignment="1">
      <alignment horizontal="center" vertical="center"/>
    </xf>
    <xf numFmtId="0" fontId="0" fillId="0" borderId="2" xfId="0" applyFill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Border="1"/>
    <xf numFmtId="0" fontId="0" fillId="0" borderId="0" xfId="0" applyBorder="1" applyAlignment="1">
      <alignment horizontal="center" vertical="center"/>
    </xf>
    <xf numFmtId="49" fontId="2" fillId="0" borderId="0" xfId="0" applyNumberFormat="1" applyFont="1" applyBorder="1" applyAlignment="1">
      <alignment horizontal="center" vertical="center"/>
    </xf>
    <xf numFmtId="0" fontId="0" fillId="0" borderId="0" xfId="0" applyFill="1" applyBorder="1"/>
    <xf numFmtId="0" fontId="14" fillId="0" borderId="0" xfId="0" applyFont="1" applyFill="1" applyBorder="1" applyAlignment="1">
      <alignment horizontal="center" vertical="center"/>
    </xf>
    <xf numFmtId="49" fontId="2" fillId="0" borderId="0" xfId="0" applyNumberFormat="1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2" fontId="4" fillId="0" borderId="0" xfId="0" applyNumberFormat="1" applyFont="1" applyAlignment="1">
      <alignment horizontal="center" vertical="center"/>
    </xf>
    <xf numFmtId="2" fontId="7" fillId="0" borderId="0" xfId="0" applyNumberFormat="1" applyFont="1" applyAlignment="1">
      <alignment horizontal="left" vertical="center" wrapText="1"/>
    </xf>
    <xf numFmtId="2" fontId="0" fillId="0" borderId="0" xfId="0" applyNumberFormat="1"/>
    <xf numFmtId="2" fontId="15" fillId="0" borderId="0" xfId="0" applyNumberFormat="1" applyFont="1" applyAlignment="1">
      <alignment horizontal="left" vertical="center" wrapText="1"/>
    </xf>
    <xf numFmtId="0" fontId="15" fillId="0" borderId="0" xfId="0" applyNumberFormat="1" applyFont="1" applyAlignment="1">
      <alignment horizontal="left" vertical="center" wrapText="1"/>
    </xf>
    <xf numFmtId="2" fontId="15" fillId="11" borderId="0" xfId="0" applyNumberFormat="1" applyFont="1" applyFill="1" applyAlignment="1">
      <alignment horizontal="left" vertical="center" wrapText="1"/>
    </xf>
    <xf numFmtId="0" fontId="15" fillId="0" borderId="0" xfId="0" applyNumberFormat="1" applyFont="1" applyAlignment="1">
      <alignment vertical="center" wrapText="1"/>
    </xf>
    <xf numFmtId="0" fontId="2" fillId="0" borderId="0" xfId="0" applyFont="1" applyFill="1" applyBorder="1" applyAlignment="1">
      <alignment vertical="center"/>
    </xf>
    <xf numFmtId="0" fontId="14" fillId="0" borderId="0" xfId="0" applyFont="1" applyBorder="1"/>
    <xf numFmtId="0" fontId="13" fillId="0" borderId="0" xfId="0" applyFont="1" applyFill="1"/>
    <xf numFmtId="49" fontId="14" fillId="0" borderId="0" xfId="0" applyNumberFormat="1" applyFont="1" applyAlignment="1">
      <alignment horizontal="center" vertical="center"/>
    </xf>
    <xf numFmtId="3" fontId="7" fillId="0" borderId="0" xfId="0" applyNumberFormat="1" applyFont="1" applyAlignment="1">
      <alignment horizontal="left" vertical="center" wrapText="1"/>
    </xf>
    <xf numFmtId="0" fontId="0" fillId="0" borderId="0" xfId="0" applyBorder="1" applyAlignment="1">
      <alignment horizontal="right"/>
    </xf>
    <xf numFmtId="0" fontId="14" fillId="0" borderId="0" xfId="0" applyFont="1" applyFill="1" applyBorder="1"/>
    <xf numFmtId="0" fontId="2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right"/>
    </xf>
    <xf numFmtId="0" fontId="4" fillId="0" borderId="0" xfId="0" applyFont="1" applyFill="1" applyAlignment="1">
      <alignment horizontal="center" vertical="center"/>
    </xf>
    <xf numFmtId="3" fontId="7" fillId="0" borderId="0" xfId="0" applyNumberFormat="1" applyFont="1" applyFill="1" applyAlignment="1">
      <alignment horizontal="left" vertical="center" wrapText="1"/>
    </xf>
    <xf numFmtId="3" fontId="15" fillId="0" borderId="0" xfId="0" applyNumberFormat="1" applyFont="1" applyFill="1" applyAlignment="1">
      <alignment horizontal="left" vertical="center" wrapText="1"/>
    </xf>
    <xf numFmtId="4" fontId="15" fillId="0" borderId="0" xfId="0" applyNumberFormat="1" applyFont="1" applyFill="1" applyAlignment="1">
      <alignment horizontal="left" vertical="center" wrapText="1"/>
    </xf>
    <xf numFmtId="0" fontId="0" fillId="12" borderId="0" xfId="0" applyFill="1" applyBorder="1" applyAlignment="1">
      <alignment horizontal="center" vertical="center"/>
    </xf>
    <xf numFmtId="0" fontId="2" fillId="0" borderId="0" xfId="0" applyFont="1" applyFill="1" applyAlignment="1">
      <alignment vertical="center"/>
    </xf>
    <xf numFmtId="0" fontId="0" fillId="0" borderId="0" xfId="0" applyFill="1" applyBorder="1" applyAlignment="1">
      <alignment vertical="center"/>
    </xf>
    <xf numFmtId="0" fontId="2" fillId="0" borderId="0" xfId="0" applyFont="1" applyFill="1" applyBorder="1"/>
    <xf numFmtId="4" fontId="0" fillId="11" borderId="0" xfId="0" applyNumberFormat="1" applyFill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2" fontId="17" fillId="0" borderId="0" xfId="0" applyNumberFormat="1" applyFont="1" applyAlignment="1">
      <alignment horizontal="left" vertical="center" wrapText="1"/>
    </xf>
    <xf numFmtId="4" fontId="4" fillId="3" borderId="0" xfId="0" applyNumberFormat="1" applyFont="1" applyFill="1" applyAlignment="1">
      <alignment horizontal="center" vertical="center" wrapText="1"/>
    </xf>
    <xf numFmtId="3" fontId="7" fillId="0" borderId="0" xfId="0" applyNumberFormat="1" applyFont="1" applyAlignment="1">
      <alignment horizontal="left" vertical="center" wrapText="1"/>
    </xf>
    <xf numFmtId="4" fontId="0" fillId="0" borderId="0" xfId="0" applyNumberFormat="1" applyFill="1" applyBorder="1"/>
    <xf numFmtId="0" fontId="0" fillId="0" borderId="0" xfId="0" applyFill="1" applyBorder="1" applyAlignment="1">
      <alignment horizontal="left" vertical="top"/>
    </xf>
    <xf numFmtId="1" fontId="19" fillId="0" borderId="0" xfId="0" applyNumberFormat="1" applyFont="1" applyFill="1" applyBorder="1" applyAlignment="1">
      <alignment horizontal="center" vertical="top" shrinkToFit="1"/>
    </xf>
    <xf numFmtId="0" fontId="2" fillId="4" borderId="0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  <xf numFmtId="0" fontId="0" fillId="11" borderId="0" xfId="0" applyFill="1" applyBorder="1" applyAlignment="1">
      <alignment horizontal="center" vertical="center"/>
    </xf>
    <xf numFmtId="0" fontId="13" fillId="0" borderId="0" xfId="0" applyFont="1" applyFill="1" applyBorder="1"/>
    <xf numFmtId="0" fontId="14" fillId="0" borderId="0" xfId="0" applyFont="1" applyBorder="1" applyAlignment="1">
      <alignment horizontal="center" vertical="center"/>
    </xf>
    <xf numFmtId="49" fontId="14" fillId="0" borderId="0" xfId="0" applyNumberFormat="1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4" fontId="4" fillId="0" borderId="0" xfId="0" applyNumberFormat="1" applyFont="1" applyAlignment="1">
      <alignment horizontal="center" vertical="center" wrapText="1"/>
    </xf>
    <xf numFmtId="3" fontId="7" fillId="0" borderId="0" xfId="0" applyNumberFormat="1" applyFont="1" applyFill="1" applyAlignment="1">
      <alignment horizontal="center" vertical="center" wrapText="1"/>
    </xf>
    <xf numFmtId="49" fontId="7" fillId="0" borderId="0" xfId="0" applyNumberFormat="1" applyFont="1" applyFill="1" applyAlignment="1">
      <alignment horizontal="center" vertical="center" wrapText="1"/>
    </xf>
    <xf numFmtId="2" fontId="7" fillId="0" borderId="0" xfId="0" applyNumberFormat="1" applyFont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3" fontId="7" fillId="0" borderId="0" xfId="0" applyNumberFormat="1" applyFont="1" applyAlignment="1">
      <alignment horizontal="center" vertical="center" wrapText="1"/>
    </xf>
    <xf numFmtId="0" fontId="13" fillId="0" borderId="0" xfId="0" applyFont="1" applyBorder="1"/>
    <xf numFmtId="0" fontId="13" fillId="0" borderId="0" xfId="0" applyFont="1"/>
    <xf numFmtId="0" fontId="2" fillId="0" borderId="0" xfId="0" applyFont="1" applyBorder="1" applyAlignment="1">
      <alignment horizontal="right"/>
    </xf>
    <xf numFmtId="0" fontId="0" fillId="0" borderId="0" xfId="0" applyBorder="1" applyAlignment="1">
      <alignment horizontal="right" vertical="center"/>
    </xf>
    <xf numFmtId="0" fontId="2" fillId="0" borderId="0" xfId="0" applyFont="1" applyBorder="1" applyAlignment="1">
      <alignment horizontal="left"/>
    </xf>
    <xf numFmtId="3" fontId="0" fillId="0" borderId="0" xfId="0" applyNumberFormat="1"/>
    <xf numFmtId="2" fontId="0" fillId="0" borderId="0" xfId="0" applyNumberFormat="1" applyFill="1" applyBorder="1" applyAlignment="1">
      <alignment horizontal="center" vertical="center"/>
    </xf>
    <xf numFmtId="2" fontId="0" fillId="0" borderId="2" xfId="0" applyNumberFormat="1" applyBorder="1"/>
    <xf numFmtId="171" fontId="0" fillId="0" borderId="2" xfId="0" applyNumberFormat="1" applyBorder="1"/>
    <xf numFmtId="2" fontId="0" fillId="0" borderId="6" xfId="0" applyNumberFormat="1" applyBorder="1"/>
    <xf numFmtId="0" fontId="4" fillId="2" borderId="17" xfId="3" applyFont="1" applyFill="1" applyBorder="1" applyAlignment="1">
      <alignment horizontal="left"/>
    </xf>
    <xf numFmtId="166" fontId="5" fillId="2" borderId="4" xfId="4" applyNumberFormat="1" applyFont="1" applyFill="1" applyBorder="1" applyAlignment="1">
      <alignment horizontal="center" vertical="center"/>
    </xf>
    <xf numFmtId="3" fontId="7" fillId="0" borderId="0" xfId="0" applyNumberFormat="1" applyFont="1" applyAlignment="1">
      <alignment horizontal="left" vertical="center" wrapText="1"/>
    </xf>
    <xf numFmtId="4" fontId="4" fillId="3" borderId="0" xfId="0" applyNumberFormat="1" applyFont="1" applyFill="1" applyAlignment="1">
      <alignment horizontal="center" vertical="center" wrapText="1"/>
    </xf>
    <xf numFmtId="0" fontId="0" fillId="2" borderId="0" xfId="0" applyFill="1" applyBorder="1"/>
    <xf numFmtId="3" fontId="7" fillId="0" borderId="0" xfId="0" applyNumberFormat="1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left"/>
    </xf>
    <xf numFmtId="0" fontId="2" fillId="6" borderId="0" xfId="0" applyFont="1" applyFill="1" applyBorder="1" applyAlignment="1">
      <alignment horizontal="left" vertical="top"/>
    </xf>
    <xf numFmtId="0" fontId="2" fillId="9" borderId="0" xfId="0" applyFont="1" applyFill="1" applyBorder="1" applyAlignment="1">
      <alignment horizontal="left"/>
    </xf>
    <xf numFmtId="0" fontId="2" fillId="8" borderId="0" xfId="0" applyFont="1" applyFill="1" applyBorder="1" applyAlignment="1">
      <alignment horizontal="center"/>
    </xf>
    <xf numFmtId="4" fontId="4" fillId="3" borderId="0" xfId="0" applyNumberFormat="1" applyFont="1" applyFill="1" applyAlignment="1">
      <alignment horizontal="center" vertical="center" wrapText="1"/>
    </xf>
    <xf numFmtId="4" fontId="10" fillId="0" borderId="0" xfId="0" applyNumberFormat="1" applyFont="1" applyAlignment="1">
      <alignment horizontal="center" vertical="center" wrapText="1"/>
    </xf>
    <xf numFmtId="0" fontId="11" fillId="0" borderId="0" xfId="0" applyFont="1" applyAlignment="1">
      <alignment horizontal="left" vertical="top" wrapText="1"/>
    </xf>
    <xf numFmtId="0" fontId="4" fillId="10" borderId="17" xfId="0" applyFont="1" applyFill="1" applyBorder="1" applyAlignment="1">
      <alignment horizontal="center" vertical="center" wrapText="1"/>
    </xf>
    <xf numFmtId="0" fontId="5" fillId="10" borderId="17" xfId="0" applyFont="1" applyFill="1" applyBorder="1" applyAlignment="1">
      <alignment horizontal="center" vertical="center"/>
    </xf>
    <xf numFmtId="2" fontId="5" fillId="10" borderId="17" xfId="0" applyNumberFormat="1" applyFont="1" applyFill="1" applyBorder="1" applyAlignment="1">
      <alignment horizontal="center" vertical="center"/>
    </xf>
    <xf numFmtId="2" fontId="5" fillId="10" borderId="17" xfId="0" applyNumberFormat="1" applyFont="1" applyFill="1" applyBorder="1" applyAlignment="1">
      <alignment horizontal="center" vertical="center" wrapText="1"/>
    </xf>
    <xf numFmtId="0" fontId="5" fillId="10" borderId="17" xfId="0" applyFont="1" applyFill="1" applyBorder="1" applyAlignment="1">
      <alignment horizontal="center" vertical="center" wrapText="1"/>
    </xf>
    <xf numFmtId="0" fontId="4" fillId="7" borderId="0" xfId="0" applyFont="1" applyFill="1" applyAlignment="1">
      <alignment horizontal="left" vertical="center" wrapText="1"/>
    </xf>
    <xf numFmtId="0" fontId="4" fillId="10" borderId="17" xfId="0" applyFont="1" applyFill="1" applyBorder="1" applyAlignment="1">
      <alignment vertical="center" wrapText="1"/>
    </xf>
    <xf numFmtId="3" fontId="4" fillId="7" borderId="0" xfId="0" applyNumberFormat="1" applyFont="1" applyFill="1" applyAlignment="1">
      <alignment horizontal="left" vertical="center"/>
    </xf>
    <xf numFmtId="3" fontId="7" fillId="0" borderId="0" xfId="0" applyNumberFormat="1" applyFont="1" applyAlignment="1">
      <alignment horizontal="left" vertical="center" wrapText="1"/>
    </xf>
    <xf numFmtId="0" fontId="2" fillId="5" borderId="0" xfId="0" applyFont="1" applyFill="1" applyAlignment="1">
      <alignment horizontal="left"/>
    </xf>
    <xf numFmtId="0" fontId="2" fillId="5" borderId="0" xfId="0" applyFont="1" applyFill="1" applyAlignment="1">
      <alignment horizontal="left" vertical="top"/>
    </xf>
    <xf numFmtId="0" fontId="2" fillId="5" borderId="2" xfId="0" applyFont="1" applyFill="1" applyBorder="1" applyAlignment="1">
      <alignment horizontal="left" vertical="top"/>
    </xf>
    <xf numFmtId="0" fontId="8" fillId="0" borderId="3" xfId="3" quotePrefix="1" applyFont="1" applyBorder="1" applyAlignment="1">
      <alignment horizontal="center" vertical="center"/>
    </xf>
    <xf numFmtId="0" fontId="8" fillId="0" borderId="1" xfId="3" quotePrefix="1" applyFont="1" applyBorder="1" applyAlignment="1">
      <alignment horizontal="center" vertical="center"/>
    </xf>
    <xf numFmtId="0" fontId="8" fillId="0" borderId="4" xfId="3" quotePrefix="1" applyFont="1" applyBorder="1" applyAlignment="1">
      <alignment horizontal="center" vertical="center"/>
    </xf>
    <xf numFmtId="0" fontId="8" fillId="0" borderId="5" xfId="3" applyFont="1" applyBorder="1" applyAlignment="1">
      <alignment horizontal="center" vertical="center"/>
    </xf>
    <xf numFmtId="0" fontId="3" fillId="0" borderId="5" xfId="3" applyBorder="1" applyAlignment="1">
      <alignment vertical="center"/>
    </xf>
    <xf numFmtId="0" fontId="3" fillId="0" borderId="7" xfId="3" applyBorder="1" applyAlignment="1">
      <alignment vertical="center"/>
    </xf>
    <xf numFmtId="0" fontId="8" fillId="0" borderId="10" xfId="3" applyFont="1" applyBorder="1" applyAlignment="1">
      <alignment horizontal="center" vertical="center"/>
    </xf>
    <xf numFmtId="0" fontId="8" fillId="0" borderId="7" xfId="3" applyFont="1" applyBorder="1" applyAlignment="1">
      <alignment horizontal="center" vertical="center"/>
    </xf>
    <xf numFmtId="165" fontId="8" fillId="0" borderId="10" xfId="4" quotePrefix="1" applyFont="1" applyFill="1" applyBorder="1" applyAlignment="1">
      <alignment horizontal="center" vertical="center"/>
    </xf>
    <xf numFmtId="165" fontId="8" fillId="0" borderId="7" xfId="4" quotePrefix="1" applyFont="1" applyFill="1" applyBorder="1" applyAlignment="1">
      <alignment horizontal="center" vertical="center"/>
    </xf>
    <xf numFmtId="0" fontId="18" fillId="2" borderId="0" xfId="0" applyFont="1" applyFill="1" applyAlignment="1">
      <alignment horizontal="center" vertical="center"/>
    </xf>
    <xf numFmtId="0" fontId="18" fillId="2" borderId="2" xfId="0" applyFont="1" applyFill="1" applyBorder="1" applyAlignment="1">
      <alignment horizontal="center" vertical="center"/>
    </xf>
    <xf numFmtId="170" fontId="4" fillId="0" borderId="3" xfId="4" applyNumberFormat="1" applyFont="1" applyFill="1" applyBorder="1" applyAlignment="1">
      <alignment horizontal="center"/>
    </xf>
    <xf numFmtId="170" fontId="4" fillId="0" borderId="1" xfId="4" applyNumberFormat="1" applyFont="1" applyFill="1" applyBorder="1" applyAlignment="1">
      <alignment horizontal="center"/>
    </xf>
    <xf numFmtId="170" fontId="4" fillId="0" borderId="25" xfId="4" applyNumberFormat="1" applyFont="1" applyFill="1" applyBorder="1" applyAlignment="1">
      <alignment horizontal="center"/>
    </xf>
    <xf numFmtId="0" fontId="2" fillId="6" borderId="0" xfId="0" applyFont="1" applyFill="1" applyAlignment="1">
      <alignment horizontal="left" vertical="top"/>
    </xf>
    <xf numFmtId="0" fontId="2" fillId="6" borderId="2" xfId="0" applyFont="1" applyFill="1" applyBorder="1" applyAlignment="1">
      <alignment horizontal="left" vertical="top"/>
    </xf>
    <xf numFmtId="0" fontId="12" fillId="0" borderId="11" xfId="3" applyFont="1" applyBorder="1" applyAlignment="1">
      <alignment horizontal="center"/>
    </xf>
    <xf numFmtId="0" fontId="12" fillId="0" borderId="12" xfId="3" applyFont="1" applyBorder="1" applyAlignment="1">
      <alignment horizontal="center"/>
    </xf>
    <xf numFmtId="0" fontId="12" fillId="0" borderId="13" xfId="3" applyFont="1" applyBorder="1" applyAlignment="1">
      <alignment horizontal="center"/>
    </xf>
    <xf numFmtId="0" fontId="12" fillId="0" borderId="15" xfId="3" applyFont="1" applyBorder="1" applyAlignment="1">
      <alignment horizontal="center"/>
    </xf>
    <xf numFmtId="0" fontId="12" fillId="0" borderId="0" xfId="3" applyFont="1" applyAlignment="1">
      <alignment horizontal="center"/>
    </xf>
    <xf numFmtId="0" fontId="12" fillId="0" borderId="16" xfId="3" applyFont="1" applyBorder="1" applyAlignment="1">
      <alignment horizontal="center"/>
    </xf>
    <xf numFmtId="0" fontId="12" fillId="0" borderId="19" xfId="3" applyFont="1" applyBorder="1" applyAlignment="1">
      <alignment horizontal="center"/>
    </xf>
    <xf numFmtId="0" fontId="12" fillId="0" borderId="20" xfId="3" applyFont="1" applyBorder="1" applyAlignment="1">
      <alignment horizontal="center"/>
    </xf>
    <xf numFmtId="0" fontId="12" fillId="0" borderId="21" xfId="3" applyFon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0" xfId="0" applyBorder="1" applyAlignment="1"/>
  </cellXfs>
  <cellStyles count="5">
    <cellStyle name="Milliers 2" xfId="1"/>
    <cellStyle name="Milliers_Aciers Fondation Bloc F 2" xfId="4"/>
    <cellStyle name="Normal" xfId="0" builtinId="0"/>
    <cellStyle name="Normal 10" xfId="3"/>
    <cellStyle name="Normal 2_BRD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280147</xdr:rowOff>
    </xdr:from>
    <xdr:to>
      <xdr:col>1</xdr:col>
      <xdr:colOff>737302</xdr:colOff>
      <xdr:row>3</xdr:row>
      <xdr:rowOff>773206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6930A659-8A61-8525-DB8E-AB8EFE41E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7218"/>
          <a:ext cx="1499302" cy="493059"/>
        </a:xfrm>
        <a:prstGeom prst="rect">
          <a:avLst/>
        </a:prstGeom>
      </xdr:spPr>
    </xdr:pic>
    <xdr:clientData/>
  </xdr:twoCellAnchor>
  <xdr:twoCellAnchor editAs="oneCell">
    <xdr:from>
      <xdr:col>11</xdr:col>
      <xdr:colOff>302559</xdr:colOff>
      <xdr:row>3</xdr:row>
      <xdr:rowOff>78441</xdr:rowOff>
    </xdr:from>
    <xdr:to>
      <xdr:col>12</xdr:col>
      <xdr:colOff>554318</xdr:colOff>
      <xdr:row>3</xdr:row>
      <xdr:rowOff>851647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1FD2FA6B-07A4-5667-C2C4-938E6E18E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87971" y="593912"/>
          <a:ext cx="1013759" cy="7732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80683</xdr:colOff>
      <xdr:row>3</xdr:row>
      <xdr:rowOff>136712</xdr:rowOff>
    </xdr:from>
    <xdr:to>
      <xdr:col>1</xdr:col>
      <xdr:colOff>385483</xdr:colOff>
      <xdr:row>3</xdr:row>
      <xdr:rowOff>645460</xdr:rowOff>
    </xdr:to>
    <xdr:pic>
      <xdr:nvPicPr>
        <xdr:cNvPr id="2" name="Image 2">
          <a:extLst>
            <a:ext uri="{FF2B5EF4-FFF2-40B4-BE49-F238E27FC236}">
              <a16:creationId xmlns:a16="http://schemas.microsoft.com/office/drawing/2014/main" id="{6930A659-8A61-8525-DB8E-AB8EFE41E4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683" y="647700"/>
          <a:ext cx="977153" cy="508748"/>
        </a:xfrm>
        <a:prstGeom prst="rect">
          <a:avLst/>
        </a:prstGeom>
      </xdr:spPr>
    </xdr:pic>
    <xdr:clientData/>
  </xdr:twoCellAnchor>
  <xdr:twoCellAnchor editAs="oneCell">
    <xdr:from>
      <xdr:col>11</xdr:col>
      <xdr:colOff>302560</xdr:colOff>
      <xdr:row>3</xdr:row>
      <xdr:rowOff>78441</xdr:rowOff>
    </xdr:from>
    <xdr:to>
      <xdr:col>12</xdr:col>
      <xdr:colOff>349625</xdr:colOff>
      <xdr:row>3</xdr:row>
      <xdr:rowOff>860612</xdr:rowOff>
    </xdr:to>
    <xdr:pic>
      <xdr:nvPicPr>
        <xdr:cNvPr id="3" name="Image 4">
          <a:extLst>
            <a:ext uri="{FF2B5EF4-FFF2-40B4-BE49-F238E27FC236}">
              <a16:creationId xmlns:a16="http://schemas.microsoft.com/office/drawing/2014/main" id="{1FD2FA6B-07A4-5667-C2C4-938E6E18EF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8442" y="589429"/>
          <a:ext cx="719418" cy="782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508"/>
  <sheetViews>
    <sheetView zoomScale="70" zoomScaleNormal="70" workbookViewId="0">
      <pane ySplit="7" topLeftCell="A480" activePane="bottomLeft" state="frozen"/>
      <selection pane="bottomLeft" sqref="A1:XFD507"/>
    </sheetView>
  </sheetViews>
  <sheetFormatPr defaultColWidth="11.19921875" defaultRowHeight="13.8"/>
  <cols>
    <col min="1" max="1" width="11.3984375" style="13"/>
    <col min="2" max="3" width="12.3984375" style="53" customWidth="1"/>
    <col min="4" max="7" width="12.3984375" style="1" customWidth="1"/>
  </cols>
  <sheetData>
    <row r="1" spans="1:14" ht="40.5" customHeight="1">
      <c r="A1" s="15" t="s">
        <v>64</v>
      </c>
    </row>
    <row r="2" spans="1:14" ht="11.25" hidden="1" customHeight="1"/>
    <row r="3" spans="1:14" hidden="1"/>
    <row r="4" spans="1:14" ht="72" customHeight="1">
      <c r="A4" s="142"/>
      <c r="B4" s="142"/>
      <c r="C4" s="143" t="s">
        <v>63</v>
      </c>
      <c r="D4" s="143"/>
      <c r="E4" s="143"/>
      <c r="F4" s="143"/>
      <c r="G4" s="143"/>
      <c r="H4" s="143"/>
      <c r="I4" s="143"/>
      <c r="J4" s="143"/>
      <c r="K4" s="143"/>
      <c r="L4" s="143"/>
      <c r="M4" s="143"/>
    </row>
    <row r="5" spans="1:14" ht="30.75" customHeight="1">
      <c r="A5" s="14"/>
      <c r="B5" s="102"/>
      <c r="C5" s="114"/>
      <c r="D5" s="20"/>
      <c r="E5" s="143" t="s">
        <v>47</v>
      </c>
      <c r="F5" s="143"/>
      <c r="G5" s="143"/>
      <c r="H5" s="143"/>
      <c r="I5" s="143"/>
      <c r="J5" s="143"/>
      <c r="K5" s="20"/>
      <c r="L5" s="20"/>
      <c r="M5" s="14"/>
    </row>
    <row r="6" spans="1:14" ht="15.75" customHeight="1">
      <c r="A6" s="145" t="s">
        <v>0</v>
      </c>
      <c r="B6" s="145" t="s">
        <v>23</v>
      </c>
      <c r="C6" s="145"/>
      <c r="D6" s="145"/>
      <c r="E6" s="145"/>
      <c r="F6" s="145"/>
      <c r="G6" s="151" t="s">
        <v>51</v>
      </c>
      <c r="H6" s="146" t="s">
        <v>1</v>
      </c>
      <c r="I6" s="147" t="s">
        <v>15</v>
      </c>
      <c r="J6" s="147" t="s">
        <v>16</v>
      </c>
      <c r="K6" s="148" t="s">
        <v>17</v>
      </c>
      <c r="L6" s="146" t="s">
        <v>18</v>
      </c>
      <c r="M6" s="149" t="s">
        <v>19</v>
      </c>
    </row>
    <row r="7" spans="1:14" ht="15.75" customHeight="1">
      <c r="A7" s="145"/>
      <c r="B7" s="145"/>
      <c r="C7" s="145"/>
      <c r="D7" s="145"/>
      <c r="E7" s="145"/>
      <c r="F7" s="145"/>
      <c r="G7" s="151"/>
      <c r="H7" s="146"/>
      <c r="I7" s="147"/>
      <c r="J7" s="147"/>
      <c r="K7" s="148"/>
      <c r="L7" s="146"/>
      <c r="M7" s="146"/>
    </row>
    <row r="8" spans="1:14" ht="24" customHeight="1">
      <c r="A8" s="150" t="s">
        <v>48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</row>
    <row r="9" spans="1:14" ht="147" customHeight="1">
      <c r="A9" s="16">
        <v>1</v>
      </c>
      <c r="B9" s="144" t="s">
        <v>49</v>
      </c>
      <c r="C9" s="144"/>
      <c r="D9" s="144"/>
      <c r="E9" s="144"/>
      <c r="F9" s="144"/>
      <c r="G9" s="100" t="s">
        <v>50</v>
      </c>
      <c r="H9" s="18">
        <v>1</v>
      </c>
      <c r="I9" s="17"/>
      <c r="J9" s="17"/>
      <c r="K9" s="17"/>
      <c r="L9" s="17"/>
      <c r="M9" s="18">
        <v>1</v>
      </c>
    </row>
    <row r="10" spans="1:14" ht="25.5" customHeight="1">
      <c r="A10" s="152" t="s">
        <v>92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</row>
    <row r="11" spans="1:14" ht="35.25" customHeight="1">
      <c r="A11" s="19">
        <v>3</v>
      </c>
      <c r="B11" s="153" t="s">
        <v>52</v>
      </c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</row>
    <row r="12" spans="1:14" s="45" customFormat="1" ht="13.8" customHeight="1">
      <c r="A12" s="91"/>
      <c r="B12" s="115"/>
      <c r="C12" s="115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45" t="s">
        <v>46</v>
      </c>
    </row>
    <row r="13" spans="1:14" s="45" customFormat="1" ht="13.8" customHeight="1">
      <c r="A13" s="91"/>
      <c r="B13" s="2" t="s">
        <v>2</v>
      </c>
      <c r="C13" s="2" t="s">
        <v>3</v>
      </c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45">
        <v>1.48</v>
      </c>
    </row>
    <row r="14" spans="1:14" s="45" customFormat="1" ht="13.8" customHeight="1">
      <c r="A14" s="91"/>
      <c r="B14" s="115" t="s">
        <v>4</v>
      </c>
      <c r="C14" s="116" t="s">
        <v>53</v>
      </c>
      <c r="D14" s="92"/>
      <c r="E14" s="92"/>
      <c r="F14" s="92"/>
      <c r="G14" s="92" t="s">
        <v>22</v>
      </c>
      <c r="H14" s="93">
        <v>1</v>
      </c>
      <c r="I14" s="94">
        <v>25.4</v>
      </c>
      <c r="J14" s="94">
        <v>1.6</v>
      </c>
      <c r="K14" s="94">
        <f>$N$13</f>
        <v>1.48</v>
      </c>
      <c r="L14" s="94">
        <f>K14*J14*I14*H14</f>
        <v>60.147199999999991</v>
      </c>
      <c r="M14" s="94"/>
    </row>
    <row r="15" spans="1:14" s="45" customFormat="1" ht="13.8" customHeight="1">
      <c r="A15" s="91"/>
      <c r="B15" s="115" t="s">
        <v>10</v>
      </c>
      <c r="C15" s="116" t="s">
        <v>53</v>
      </c>
      <c r="D15" s="92"/>
      <c r="E15" s="92"/>
      <c r="F15" s="92"/>
      <c r="G15" s="92" t="s">
        <v>22</v>
      </c>
      <c r="H15" s="93">
        <v>1</v>
      </c>
      <c r="I15" s="94">
        <v>25.4</v>
      </c>
      <c r="J15" s="94">
        <v>1.6</v>
      </c>
      <c r="K15" s="94">
        <f>$N$13+0.5</f>
        <v>1.98</v>
      </c>
      <c r="L15" s="94">
        <f t="shared" ref="L15:L21" si="0">K15*J15*I15*H15</f>
        <v>80.467200000000005</v>
      </c>
      <c r="M15" s="94"/>
    </row>
    <row r="16" spans="1:14" s="45" customFormat="1" ht="13.8" customHeight="1">
      <c r="A16" s="91"/>
      <c r="B16" s="115" t="s">
        <v>90</v>
      </c>
      <c r="C16" s="116" t="s">
        <v>80</v>
      </c>
      <c r="D16" s="92"/>
      <c r="E16" s="92"/>
      <c r="F16" s="92"/>
      <c r="G16" s="92" t="s">
        <v>22</v>
      </c>
      <c r="H16" s="93">
        <v>1</v>
      </c>
      <c r="I16" s="94">
        <v>11.4</v>
      </c>
      <c r="J16" s="94">
        <v>1.6</v>
      </c>
      <c r="K16" s="94">
        <f>$N$13</f>
        <v>1.48</v>
      </c>
      <c r="L16" s="94">
        <f t="shared" si="0"/>
        <v>26.995200000000001</v>
      </c>
      <c r="M16" s="94"/>
    </row>
    <row r="17" spans="1:14" s="45" customFormat="1" ht="13.8" customHeight="1">
      <c r="A17" s="91"/>
      <c r="B17" s="115" t="s">
        <v>90</v>
      </c>
      <c r="C17" s="116" t="s">
        <v>87</v>
      </c>
      <c r="D17" s="92"/>
      <c r="E17" s="92"/>
      <c r="F17" s="92"/>
      <c r="G17" s="92" t="s">
        <v>22</v>
      </c>
      <c r="H17" s="93">
        <v>1</v>
      </c>
      <c r="I17" s="94">
        <v>11.4</v>
      </c>
      <c r="J17" s="94">
        <v>1.6</v>
      </c>
      <c r="K17" s="94">
        <f>$N$13</f>
        <v>1.48</v>
      </c>
      <c r="L17" s="94">
        <f t="shared" si="0"/>
        <v>26.995200000000001</v>
      </c>
      <c r="M17" s="94"/>
    </row>
    <row r="18" spans="1:14" s="45" customFormat="1" ht="13.8" customHeight="1">
      <c r="A18" s="91"/>
      <c r="B18" s="115" t="s">
        <v>81</v>
      </c>
      <c r="C18" s="116" t="s">
        <v>91</v>
      </c>
      <c r="D18" s="92"/>
      <c r="E18" s="92"/>
      <c r="F18" s="92"/>
      <c r="G18" s="92" t="s">
        <v>22</v>
      </c>
      <c r="H18" s="93">
        <v>1</v>
      </c>
      <c r="I18" s="94">
        <v>2.75</v>
      </c>
      <c r="J18" s="94">
        <v>1.6</v>
      </c>
      <c r="K18" s="94">
        <f>$N$13+0.5</f>
        <v>1.98</v>
      </c>
      <c r="L18" s="94">
        <f t="shared" si="0"/>
        <v>8.7119999999999997</v>
      </c>
      <c r="M18" s="94"/>
    </row>
    <row r="19" spans="1:14" s="45" customFormat="1" ht="13.8" customHeight="1">
      <c r="A19" s="91"/>
      <c r="B19" s="115" t="s">
        <v>81</v>
      </c>
      <c r="C19" s="116" t="s">
        <v>82</v>
      </c>
      <c r="D19" s="92"/>
      <c r="E19" s="92"/>
      <c r="F19" s="92"/>
      <c r="G19" s="92" t="s">
        <v>22</v>
      </c>
      <c r="H19" s="93">
        <v>1</v>
      </c>
      <c r="I19" s="94">
        <v>2.75</v>
      </c>
      <c r="J19" s="94">
        <v>1.6</v>
      </c>
      <c r="K19" s="94">
        <f>$N$13</f>
        <v>1.48</v>
      </c>
      <c r="L19" s="94">
        <f t="shared" si="0"/>
        <v>6.5119999999999996</v>
      </c>
      <c r="M19" s="94"/>
    </row>
    <row r="20" spans="1:14" s="45" customFormat="1" ht="13.8" customHeight="1">
      <c r="A20" s="91"/>
      <c r="B20" s="115" t="s">
        <v>81</v>
      </c>
      <c r="C20" s="116" t="s">
        <v>79</v>
      </c>
      <c r="D20" s="92"/>
      <c r="E20" s="92"/>
      <c r="F20" s="92"/>
      <c r="G20" s="92" t="s">
        <v>22</v>
      </c>
      <c r="H20" s="93">
        <v>1</v>
      </c>
      <c r="I20" s="94">
        <v>2.75</v>
      </c>
      <c r="J20" s="94">
        <v>1.6</v>
      </c>
      <c r="K20" s="94">
        <f>$N$13</f>
        <v>1.48</v>
      </c>
      <c r="L20" s="94">
        <f t="shared" si="0"/>
        <v>6.5119999999999996</v>
      </c>
      <c r="M20" s="94"/>
    </row>
    <row r="21" spans="1:14" s="45" customFormat="1" ht="13.8" customHeight="1">
      <c r="A21" s="91"/>
      <c r="B21" s="115" t="s">
        <v>81</v>
      </c>
      <c r="C21" s="116" t="s">
        <v>83</v>
      </c>
      <c r="D21" s="92"/>
      <c r="E21" s="92"/>
      <c r="F21" s="92"/>
      <c r="G21" s="92" t="s">
        <v>22</v>
      </c>
      <c r="H21" s="93">
        <v>1</v>
      </c>
      <c r="I21" s="94">
        <v>2.75</v>
      </c>
      <c r="J21" s="94">
        <v>1.6</v>
      </c>
      <c r="K21" s="94">
        <f>$N$13</f>
        <v>1.48</v>
      </c>
      <c r="L21" s="94">
        <f t="shared" si="0"/>
        <v>6.5119999999999996</v>
      </c>
      <c r="M21" s="94"/>
    </row>
    <row r="22" spans="1:14" ht="13.8" customHeight="1">
      <c r="A22" s="137" t="s">
        <v>41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60">
        <f>SUM(L14:L21)</f>
        <v>222.8528</v>
      </c>
      <c r="N22">
        <v>222.85</v>
      </c>
    </row>
    <row r="23" spans="1:14" ht="35.25" customHeight="1">
      <c r="A23" s="19">
        <v>15</v>
      </c>
      <c r="B23" s="153" t="s">
        <v>93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4" s="45" customFormat="1">
      <c r="A24" s="138" t="s">
        <v>94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</row>
    <row r="25" spans="1:14" s="45" customFormat="1">
      <c r="A25" s="63"/>
      <c r="B25" s="2" t="s">
        <v>2</v>
      </c>
      <c r="C25" s="2" t="s">
        <v>3</v>
      </c>
      <c r="D25" s="63"/>
      <c r="F25" s="64"/>
      <c r="G25" s="96"/>
      <c r="H25" s="64"/>
      <c r="I25" s="64"/>
      <c r="J25" s="64"/>
      <c r="K25" s="64"/>
      <c r="L25" s="64"/>
      <c r="M25" s="64"/>
    </row>
    <row r="26" spans="1:14" s="70" customFormat="1">
      <c r="A26" s="88" t="s">
        <v>106</v>
      </c>
      <c r="B26" s="89" t="s">
        <v>4</v>
      </c>
      <c r="C26" s="89">
        <v>1</v>
      </c>
      <c r="D26" s="70">
        <v>1</v>
      </c>
      <c r="E26" s="70">
        <v>1</v>
      </c>
      <c r="F26" s="74">
        <v>0.25</v>
      </c>
      <c r="G26" s="98" t="s">
        <v>22</v>
      </c>
      <c r="H26" s="70">
        <v>1</v>
      </c>
      <c r="I26" s="70">
        <f>D26</f>
        <v>1</v>
      </c>
      <c r="J26" s="70">
        <f>E26</f>
        <v>1</v>
      </c>
      <c r="K26" s="70">
        <v>0.1</v>
      </c>
      <c r="L26" s="70">
        <f>H26*I26*J26*K26</f>
        <v>0.1</v>
      </c>
    </row>
    <row r="27" spans="1:14" s="70" customFormat="1">
      <c r="A27" s="88" t="s">
        <v>105</v>
      </c>
      <c r="B27" s="89" t="s">
        <v>4</v>
      </c>
      <c r="C27" s="73">
        <v>2</v>
      </c>
      <c r="D27" s="70">
        <v>1.5</v>
      </c>
      <c r="E27" s="70">
        <v>1.5</v>
      </c>
      <c r="F27" s="74">
        <v>0.4</v>
      </c>
      <c r="G27" s="98" t="s">
        <v>22</v>
      </c>
      <c r="H27" s="70">
        <v>1</v>
      </c>
      <c r="I27" s="70">
        <f t="shared" ref="I27:I32" si="1">D27</f>
        <v>1.5</v>
      </c>
      <c r="J27" s="70">
        <f t="shared" ref="J27:J32" si="2">E27</f>
        <v>1.5</v>
      </c>
      <c r="K27" s="70">
        <v>0.1</v>
      </c>
      <c r="L27" s="70">
        <f t="shared" ref="L27:L32" si="3">H27*I27*J27*K27</f>
        <v>0.22500000000000001</v>
      </c>
      <c r="M27" s="70" t="str">
        <f t="shared" ref="M27:M32" si="4">IF(I27=10,G27*H27*J27,"")</f>
        <v/>
      </c>
    </row>
    <row r="28" spans="1:14" s="70" customFormat="1">
      <c r="A28" s="88" t="s">
        <v>107</v>
      </c>
      <c r="B28" s="89" t="s">
        <v>4</v>
      </c>
      <c r="C28" s="89">
        <v>4</v>
      </c>
      <c r="D28" s="70">
        <v>1.5</v>
      </c>
      <c r="E28" s="97">
        <v>1.5</v>
      </c>
      <c r="F28" s="73">
        <v>0.4</v>
      </c>
      <c r="G28" s="98" t="s">
        <v>22</v>
      </c>
      <c r="H28" s="70">
        <v>1</v>
      </c>
      <c r="I28" s="70">
        <f t="shared" si="1"/>
        <v>1.5</v>
      </c>
      <c r="J28" s="70">
        <f t="shared" si="2"/>
        <v>1.5</v>
      </c>
      <c r="K28" s="70">
        <v>0.1</v>
      </c>
      <c r="L28" s="70">
        <f t="shared" si="3"/>
        <v>0.22500000000000001</v>
      </c>
      <c r="M28" s="70" t="str">
        <f t="shared" si="4"/>
        <v/>
      </c>
    </row>
    <row r="29" spans="1:14" s="70" customFormat="1">
      <c r="A29" s="88" t="s">
        <v>21</v>
      </c>
      <c r="B29" s="89" t="s">
        <v>4</v>
      </c>
      <c r="C29" s="73">
        <v>5</v>
      </c>
      <c r="D29" s="70">
        <v>1.1000000000000001</v>
      </c>
      <c r="E29" s="70">
        <v>1.1000000000000001</v>
      </c>
      <c r="F29" s="73">
        <v>0.25</v>
      </c>
      <c r="G29" s="98" t="s">
        <v>22</v>
      </c>
      <c r="H29" s="70">
        <v>1</v>
      </c>
      <c r="I29" s="70">
        <f t="shared" si="1"/>
        <v>1.1000000000000001</v>
      </c>
      <c r="J29" s="70">
        <f t="shared" si="2"/>
        <v>1.1000000000000001</v>
      </c>
      <c r="K29" s="70">
        <v>0.1</v>
      </c>
      <c r="L29" s="70">
        <f t="shared" si="3"/>
        <v>0.12100000000000002</v>
      </c>
      <c r="M29" s="70" t="str">
        <f t="shared" si="4"/>
        <v/>
      </c>
    </row>
    <row r="30" spans="1:14" s="70" customFormat="1">
      <c r="A30" s="88" t="s">
        <v>109</v>
      </c>
      <c r="B30" s="89" t="s">
        <v>4</v>
      </c>
      <c r="C30" s="73">
        <v>6</v>
      </c>
      <c r="D30" s="70">
        <v>1.2</v>
      </c>
      <c r="E30" s="70">
        <v>1.2</v>
      </c>
      <c r="F30" s="73">
        <v>0.3</v>
      </c>
      <c r="G30" s="98" t="s">
        <v>22</v>
      </c>
      <c r="H30" s="70">
        <v>1</v>
      </c>
      <c r="I30" s="70">
        <f t="shared" si="1"/>
        <v>1.2</v>
      </c>
      <c r="J30" s="70">
        <f t="shared" si="2"/>
        <v>1.2</v>
      </c>
      <c r="K30" s="70">
        <v>0.1</v>
      </c>
      <c r="L30" s="70">
        <f t="shared" si="3"/>
        <v>0.14399999999999999</v>
      </c>
      <c r="M30" s="70" t="str">
        <f t="shared" si="4"/>
        <v/>
      </c>
    </row>
    <row r="31" spans="1:14" s="70" customFormat="1">
      <c r="A31" s="88" t="s">
        <v>109</v>
      </c>
      <c r="B31" s="89" t="s">
        <v>4</v>
      </c>
      <c r="C31" s="89">
        <v>7</v>
      </c>
      <c r="D31" s="90">
        <v>1.2</v>
      </c>
      <c r="E31" s="90">
        <v>1.2</v>
      </c>
      <c r="F31" s="73">
        <v>0.3</v>
      </c>
      <c r="G31" s="98" t="s">
        <v>22</v>
      </c>
      <c r="H31" s="70">
        <v>1</v>
      </c>
      <c r="I31" s="70">
        <f t="shared" si="1"/>
        <v>1.2</v>
      </c>
      <c r="J31" s="70">
        <f t="shared" si="2"/>
        <v>1.2</v>
      </c>
      <c r="K31" s="70">
        <v>0.1</v>
      </c>
      <c r="L31" s="70">
        <f t="shared" si="3"/>
        <v>0.14399999999999999</v>
      </c>
      <c r="M31" s="70" t="str">
        <f t="shared" si="4"/>
        <v/>
      </c>
    </row>
    <row r="32" spans="1:14" s="70" customFormat="1">
      <c r="A32" s="88" t="s">
        <v>107</v>
      </c>
      <c r="B32" s="89" t="s">
        <v>8</v>
      </c>
      <c r="C32" s="89">
        <v>1</v>
      </c>
      <c r="D32" s="70">
        <v>1.5</v>
      </c>
      <c r="E32" s="70">
        <v>1.5</v>
      </c>
      <c r="F32" s="73">
        <v>0.4</v>
      </c>
      <c r="G32" s="98" t="s">
        <v>22</v>
      </c>
      <c r="H32" s="70">
        <v>1</v>
      </c>
      <c r="I32" s="70">
        <f t="shared" si="1"/>
        <v>1.5</v>
      </c>
      <c r="J32" s="70">
        <f t="shared" si="2"/>
        <v>1.5</v>
      </c>
      <c r="K32" s="70">
        <v>0.1</v>
      </c>
      <c r="L32" s="70">
        <f t="shared" si="3"/>
        <v>0.22500000000000001</v>
      </c>
      <c r="M32" s="70" t="str">
        <f t="shared" si="4"/>
        <v/>
      </c>
    </row>
    <row r="33" spans="1:19" s="70" customFormat="1" ht="16.2" customHeight="1">
      <c r="A33" s="137" t="s">
        <v>41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60">
        <f>SUM(L26:L32)</f>
        <v>1.1840000000000002</v>
      </c>
      <c r="P33" s="98"/>
    </row>
    <row r="34" spans="1:19" s="70" customFormat="1">
      <c r="A34" s="138" t="s">
        <v>96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04">
        <f>M33+M55+M75</f>
        <v>7.9521999999999995</v>
      </c>
    </row>
    <row r="35" spans="1:19" s="70" customFormat="1">
      <c r="A35" s="2" t="s">
        <v>2</v>
      </c>
      <c r="B35" s="2" t="s">
        <v>3</v>
      </c>
      <c r="C35" s="2" t="s">
        <v>12</v>
      </c>
      <c r="D35" s="82"/>
      <c r="E35" s="73"/>
      <c r="F35" s="73"/>
      <c r="G35" s="98"/>
      <c r="K35" s="70" t="str">
        <f t="shared" ref="K35" si="5">IF(I35=6,G35*H35*J35,"")</f>
        <v/>
      </c>
      <c r="L35" s="70" t="str">
        <f t="shared" ref="L35" si="6">IF(I35=8,G35*H35*J35,"")</f>
        <v/>
      </c>
      <c r="M35" s="70" t="str">
        <f t="shared" ref="M35" si="7">IF(I35=10,G35*H35*J35,"")</f>
        <v/>
      </c>
      <c r="N35" s="70" t="str">
        <f t="shared" ref="N35" si="8">IF(I35=12,G35*H35*J35,"")</f>
        <v/>
      </c>
      <c r="O35" s="70" t="str">
        <f t="shared" ref="O35" si="9">IF(I35=14,G35*H35*J35,"")</f>
        <v/>
      </c>
      <c r="P35" s="70" t="str">
        <f t="shared" ref="P35" si="10">IF(I35=16,G35*H35*J35,"")</f>
        <v/>
      </c>
      <c r="Q35" s="70" t="str">
        <f t="shared" ref="Q35" si="11">IF(I35=20,G35*H35*J35,"")</f>
        <v/>
      </c>
      <c r="S35" s="70" t="str">
        <f t="shared" ref="S35" si="12">IF(I35=32,G35*H35*J35,"")</f>
        <v/>
      </c>
    </row>
    <row r="36" spans="1:19" s="70" customFormat="1">
      <c r="A36" s="71" t="s">
        <v>7</v>
      </c>
      <c r="B36" s="72" t="s">
        <v>70</v>
      </c>
      <c r="C36" s="89" t="s">
        <v>116</v>
      </c>
      <c r="D36" s="98"/>
      <c r="E36" s="98"/>
      <c r="F36" s="98"/>
      <c r="G36" s="98" t="s">
        <v>22</v>
      </c>
      <c r="H36" s="70">
        <v>1</v>
      </c>
      <c r="I36" s="73">
        <v>4.8</v>
      </c>
      <c r="J36" s="73">
        <v>0.4</v>
      </c>
      <c r="K36" s="73">
        <v>0.1</v>
      </c>
      <c r="L36" s="70">
        <f>K36*J36*I36*H36</f>
        <v>0.19200000000000003</v>
      </c>
    </row>
    <row r="37" spans="1:19" s="70" customFormat="1">
      <c r="A37" s="71" t="s">
        <v>7</v>
      </c>
      <c r="B37" s="72" t="s">
        <v>110</v>
      </c>
      <c r="C37" s="89" t="s">
        <v>116</v>
      </c>
      <c r="D37" s="98"/>
      <c r="E37" s="98"/>
      <c r="F37" s="98"/>
      <c r="G37" s="98" t="s">
        <v>22</v>
      </c>
      <c r="H37" s="70">
        <v>1</v>
      </c>
      <c r="I37" s="73">
        <v>2.65</v>
      </c>
      <c r="J37" s="73">
        <v>0.4</v>
      </c>
      <c r="K37" s="73">
        <v>0.1</v>
      </c>
      <c r="L37" s="70">
        <f t="shared" ref="L37:L54" si="13">K37*J37*I37*H37</f>
        <v>0.10600000000000001</v>
      </c>
    </row>
    <row r="38" spans="1:19" s="70" customFormat="1">
      <c r="A38" s="71" t="s">
        <v>7</v>
      </c>
      <c r="B38" s="72" t="s">
        <v>111</v>
      </c>
      <c r="C38" s="89" t="s">
        <v>116</v>
      </c>
      <c r="D38" s="98"/>
      <c r="E38" s="98"/>
      <c r="F38" s="98"/>
      <c r="G38" s="98" t="s">
        <v>22</v>
      </c>
      <c r="H38" s="70">
        <v>1</v>
      </c>
      <c r="I38" s="73">
        <v>4.5999999999999996</v>
      </c>
      <c r="J38" s="73">
        <v>0.4</v>
      </c>
      <c r="K38" s="73">
        <v>0.1</v>
      </c>
      <c r="L38" s="70">
        <f t="shared" si="13"/>
        <v>0.18400000000000002</v>
      </c>
    </row>
    <row r="39" spans="1:19" s="70" customFormat="1">
      <c r="A39" s="71" t="s">
        <v>8</v>
      </c>
      <c r="B39" s="72" t="s">
        <v>71</v>
      </c>
      <c r="C39" s="89" t="s">
        <v>14</v>
      </c>
      <c r="D39" s="98"/>
      <c r="E39" s="98"/>
      <c r="F39" s="98"/>
      <c r="G39" s="98" t="s">
        <v>22</v>
      </c>
      <c r="H39" s="70">
        <v>1</v>
      </c>
      <c r="I39" s="73">
        <v>2.48</v>
      </c>
      <c r="J39" s="73">
        <v>0.4</v>
      </c>
      <c r="K39" s="73">
        <v>0.1</v>
      </c>
      <c r="L39" s="70">
        <f t="shared" si="13"/>
        <v>9.9200000000000024E-2</v>
      </c>
    </row>
    <row r="40" spans="1:19" s="70" customFormat="1">
      <c r="A40" s="71" t="s">
        <v>8</v>
      </c>
      <c r="B40" s="72" t="s">
        <v>72</v>
      </c>
      <c r="C40" s="89" t="s">
        <v>14</v>
      </c>
      <c r="D40" s="98"/>
      <c r="E40" s="98"/>
      <c r="F40" s="98"/>
      <c r="G40" s="98" t="s">
        <v>22</v>
      </c>
      <c r="H40" s="70">
        <v>1</v>
      </c>
      <c r="I40" s="73">
        <v>3.7</v>
      </c>
      <c r="J40" s="73">
        <v>0.4</v>
      </c>
      <c r="K40" s="73">
        <v>0.1</v>
      </c>
      <c r="L40" s="70">
        <f t="shared" si="13"/>
        <v>0.14800000000000005</v>
      </c>
    </row>
    <row r="41" spans="1:19" s="70" customFormat="1">
      <c r="A41" s="71" t="s">
        <v>8</v>
      </c>
      <c r="B41" s="72" t="s">
        <v>73</v>
      </c>
      <c r="C41" s="89" t="s">
        <v>14</v>
      </c>
      <c r="D41" s="98"/>
      <c r="E41" s="98"/>
      <c r="F41" s="98"/>
      <c r="G41" s="98" t="s">
        <v>22</v>
      </c>
      <c r="H41" s="70">
        <v>1</v>
      </c>
      <c r="I41" s="73">
        <v>3.7</v>
      </c>
      <c r="J41" s="73">
        <v>0.4</v>
      </c>
      <c r="K41" s="73">
        <v>0.1</v>
      </c>
      <c r="L41" s="70">
        <f t="shared" si="13"/>
        <v>0.14800000000000005</v>
      </c>
    </row>
    <row r="42" spans="1:19" s="70" customFormat="1">
      <c r="A42" s="71" t="s">
        <v>8</v>
      </c>
      <c r="B42" s="72" t="s">
        <v>69</v>
      </c>
      <c r="C42" s="89" t="s">
        <v>14</v>
      </c>
      <c r="D42" s="98"/>
      <c r="E42" s="98"/>
      <c r="F42" s="98"/>
      <c r="G42" s="98" t="s">
        <v>22</v>
      </c>
      <c r="H42" s="70">
        <v>1</v>
      </c>
      <c r="I42" s="73">
        <v>2.38</v>
      </c>
      <c r="J42" s="73">
        <v>0.4</v>
      </c>
      <c r="K42" s="73">
        <v>0.1</v>
      </c>
      <c r="L42" s="70">
        <f t="shared" si="13"/>
        <v>9.5200000000000021E-2</v>
      </c>
    </row>
    <row r="43" spans="1:19" s="70" customFormat="1">
      <c r="A43" s="71" t="s">
        <v>9</v>
      </c>
      <c r="B43" s="72" t="s">
        <v>70</v>
      </c>
      <c r="C43" s="89" t="s">
        <v>116</v>
      </c>
      <c r="D43" s="98"/>
      <c r="E43" s="98"/>
      <c r="F43" s="98"/>
      <c r="G43" s="98" t="s">
        <v>22</v>
      </c>
      <c r="H43" s="70">
        <v>1</v>
      </c>
      <c r="I43" s="73">
        <v>4.78</v>
      </c>
      <c r="J43" s="73">
        <v>0.4</v>
      </c>
      <c r="K43" s="73">
        <v>0.1</v>
      </c>
      <c r="L43" s="70">
        <f t="shared" si="13"/>
        <v>0.19120000000000004</v>
      </c>
    </row>
    <row r="44" spans="1:19" s="70" customFormat="1">
      <c r="A44" s="71" t="s">
        <v>9</v>
      </c>
      <c r="B44" s="72" t="s">
        <v>110</v>
      </c>
      <c r="C44" s="89" t="s">
        <v>116</v>
      </c>
      <c r="D44" s="98"/>
      <c r="E44" s="98"/>
      <c r="F44" s="98"/>
      <c r="G44" s="98" t="s">
        <v>22</v>
      </c>
      <c r="H44" s="70">
        <v>1</v>
      </c>
      <c r="I44" s="73">
        <v>2.65</v>
      </c>
      <c r="J44" s="73">
        <v>0.4</v>
      </c>
      <c r="K44" s="73">
        <v>0.1</v>
      </c>
      <c r="L44" s="70">
        <f t="shared" si="13"/>
        <v>0.10600000000000001</v>
      </c>
    </row>
    <row r="45" spans="1:19" s="70" customFormat="1">
      <c r="A45" s="71" t="s">
        <v>25</v>
      </c>
      <c r="B45" s="72" t="s">
        <v>91</v>
      </c>
      <c r="C45" s="89" t="s">
        <v>14</v>
      </c>
      <c r="G45" s="98" t="s">
        <v>22</v>
      </c>
      <c r="H45" s="70">
        <v>1</v>
      </c>
      <c r="I45" s="73">
        <f>3.82+0.4+0.82</f>
        <v>5.04</v>
      </c>
      <c r="J45" s="73">
        <v>0.4</v>
      </c>
      <c r="K45" s="73">
        <v>0.1</v>
      </c>
      <c r="L45" s="70">
        <f t="shared" si="13"/>
        <v>0.20160000000000003</v>
      </c>
    </row>
    <row r="46" spans="1:19" s="70" customFormat="1">
      <c r="A46" s="89" t="s">
        <v>25</v>
      </c>
      <c r="B46" s="72" t="s">
        <v>79</v>
      </c>
      <c r="C46" s="89" t="s">
        <v>14</v>
      </c>
      <c r="D46" s="98"/>
      <c r="E46" s="98"/>
      <c r="F46" s="98"/>
      <c r="G46" s="98" t="s">
        <v>22</v>
      </c>
      <c r="H46" s="70">
        <v>1</v>
      </c>
      <c r="I46" s="73">
        <v>5.04</v>
      </c>
      <c r="J46" s="73">
        <v>0.4</v>
      </c>
      <c r="K46" s="73">
        <v>0.1</v>
      </c>
      <c r="L46" s="70">
        <f t="shared" si="13"/>
        <v>0.20160000000000003</v>
      </c>
    </row>
    <row r="47" spans="1:19" s="70" customFormat="1">
      <c r="A47" s="71" t="s">
        <v>113</v>
      </c>
      <c r="B47" s="72" t="s">
        <v>83</v>
      </c>
      <c r="C47" s="89" t="s">
        <v>116</v>
      </c>
      <c r="D47" s="98"/>
      <c r="E47" s="98"/>
      <c r="F47" s="98"/>
      <c r="G47" s="98" t="s">
        <v>22</v>
      </c>
      <c r="H47" s="70">
        <v>1</v>
      </c>
      <c r="I47" s="73">
        <f>3.82+0.4+0.82+1.08</f>
        <v>6.12</v>
      </c>
      <c r="J47" s="73">
        <v>0.4</v>
      </c>
      <c r="K47" s="73">
        <v>0.1</v>
      </c>
      <c r="L47" s="70">
        <f t="shared" si="13"/>
        <v>0.24480000000000005</v>
      </c>
    </row>
    <row r="48" spans="1:19" s="70" customFormat="1">
      <c r="A48" s="71" t="s">
        <v>113</v>
      </c>
      <c r="B48" s="72" t="s">
        <v>87</v>
      </c>
      <c r="C48" s="89" t="s">
        <v>116</v>
      </c>
      <c r="G48" s="98" t="s">
        <v>22</v>
      </c>
      <c r="H48" s="70">
        <v>1</v>
      </c>
      <c r="I48" s="73">
        <v>6.12</v>
      </c>
      <c r="J48" s="73">
        <v>0.4</v>
      </c>
      <c r="K48" s="73">
        <v>0.1</v>
      </c>
      <c r="L48" s="70">
        <f t="shared" si="13"/>
        <v>0.24480000000000005</v>
      </c>
    </row>
    <row r="49" spans="1:16" s="70" customFormat="1">
      <c r="A49" s="89" t="s">
        <v>113</v>
      </c>
      <c r="B49" s="72" t="s">
        <v>112</v>
      </c>
      <c r="C49" s="89" t="s">
        <v>116</v>
      </c>
      <c r="D49" s="98"/>
      <c r="E49" s="98"/>
      <c r="F49" s="98"/>
      <c r="G49" s="98" t="s">
        <v>22</v>
      </c>
      <c r="H49" s="70">
        <v>1</v>
      </c>
      <c r="I49" s="73">
        <v>6.12</v>
      </c>
      <c r="J49" s="73">
        <v>0.4</v>
      </c>
      <c r="K49" s="73">
        <v>0.1</v>
      </c>
      <c r="L49" s="70">
        <f t="shared" si="13"/>
        <v>0.24480000000000005</v>
      </c>
    </row>
    <row r="50" spans="1:16" s="70" customFormat="1">
      <c r="A50" s="71" t="s">
        <v>114</v>
      </c>
      <c r="B50" s="72" t="s">
        <v>91</v>
      </c>
      <c r="C50" s="89" t="s">
        <v>14</v>
      </c>
      <c r="D50" s="98"/>
      <c r="E50" s="98"/>
      <c r="F50" s="98"/>
      <c r="G50" s="98" t="s">
        <v>22</v>
      </c>
      <c r="H50" s="70">
        <v>1</v>
      </c>
      <c r="I50" s="73">
        <f>1.8+0.15+3.82</f>
        <v>5.77</v>
      </c>
      <c r="J50" s="73">
        <v>0.4</v>
      </c>
      <c r="K50" s="73">
        <v>0.1</v>
      </c>
      <c r="L50" s="70">
        <f t="shared" si="13"/>
        <v>0.23080000000000003</v>
      </c>
    </row>
    <row r="51" spans="1:16" s="70" customFormat="1">
      <c r="A51" s="71" t="s">
        <v>114</v>
      </c>
      <c r="B51" s="72" t="s">
        <v>82</v>
      </c>
      <c r="C51" s="89" t="s">
        <v>14</v>
      </c>
      <c r="D51" s="98"/>
      <c r="E51" s="98"/>
      <c r="F51" s="98"/>
      <c r="G51" s="98" t="s">
        <v>22</v>
      </c>
      <c r="H51" s="70">
        <v>1</v>
      </c>
      <c r="I51" s="73">
        <v>5.77</v>
      </c>
      <c r="J51" s="73">
        <v>0.4</v>
      </c>
      <c r="K51" s="73">
        <v>0.1</v>
      </c>
      <c r="L51" s="70">
        <f t="shared" si="13"/>
        <v>0.23080000000000003</v>
      </c>
    </row>
    <row r="52" spans="1:16" s="70" customFormat="1">
      <c r="A52" s="71" t="s">
        <v>115</v>
      </c>
      <c r="B52" s="72" t="s">
        <v>83</v>
      </c>
      <c r="C52" s="89" t="s">
        <v>116</v>
      </c>
      <c r="D52" s="98"/>
      <c r="E52" s="98"/>
      <c r="F52" s="98"/>
      <c r="G52" s="98" t="s">
        <v>22</v>
      </c>
      <c r="H52" s="70">
        <v>1</v>
      </c>
      <c r="I52" s="73">
        <f>3.82+0.15</f>
        <v>3.9699999999999998</v>
      </c>
      <c r="J52" s="73">
        <v>0.4</v>
      </c>
      <c r="K52" s="73">
        <v>0.1</v>
      </c>
      <c r="L52" s="70">
        <f t="shared" si="13"/>
        <v>0.15880000000000002</v>
      </c>
    </row>
    <row r="53" spans="1:16" s="70" customFormat="1">
      <c r="A53" s="71" t="s">
        <v>115</v>
      </c>
      <c r="B53" s="72" t="s">
        <v>87</v>
      </c>
      <c r="C53" s="89" t="s">
        <v>116</v>
      </c>
      <c r="D53" s="98"/>
      <c r="E53" s="98"/>
      <c r="F53" s="98"/>
      <c r="G53" s="98" t="s">
        <v>22</v>
      </c>
      <c r="H53" s="70">
        <v>1</v>
      </c>
      <c r="I53" s="73">
        <f>0.15+3.82</f>
        <v>3.9699999999999998</v>
      </c>
      <c r="J53" s="73">
        <v>0.4</v>
      </c>
      <c r="K53" s="73">
        <v>0.1</v>
      </c>
      <c r="L53" s="70">
        <f t="shared" si="13"/>
        <v>0.15880000000000002</v>
      </c>
    </row>
    <row r="54" spans="1:16" s="70" customFormat="1">
      <c r="A54" s="71" t="s">
        <v>115</v>
      </c>
      <c r="B54" s="72" t="s">
        <v>112</v>
      </c>
      <c r="C54" s="89" t="s">
        <v>116</v>
      </c>
      <c r="D54" s="98"/>
      <c r="E54" s="98"/>
      <c r="F54" s="98"/>
      <c r="G54" s="98" t="s">
        <v>22</v>
      </c>
      <c r="H54" s="70">
        <v>1</v>
      </c>
      <c r="I54" s="73">
        <f>0.15+3.82</f>
        <v>3.9699999999999998</v>
      </c>
      <c r="J54" s="73">
        <v>0.4</v>
      </c>
      <c r="K54" s="73">
        <v>0.1</v>
      </c>
      <c r="L54" s="70">
        <f t="shared" si="13"/>
        <v>0.15880000000000002</v>
      </c>
    </row>
    <row r="55" spans="1:16" s="70" customFormat="1" ht="16.2" customHeight="1">
      <c r="A55" s="137" t="s">
        <v>41</v>
      </c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60">
        <f>SUM(L36:L54)</f>
        <v>3.3451999999999997</v>
      </c>
      <c r="N55" s="73"/>
      <c r="P55" s="98"/>
    </row>
    <row r="56" spans="1:16" s="70" customFormat="1">
      <c r="A56" s="138" t="s">
        <v>97</v>
      </c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</row>
    <row r="57" spans="1:16" s="70" customFormat="1">
      <c r="A57" s="2" t="s">
        <v>2</v>
      </c>
      <c r="B57" s="2" t="s">
        <v>3</v>
      </c>
      <c r="C57" s="2" t="s">
        <v>12</v>
      </c>
      <c r="D57" s="63"/>
      <c r="E57" s="73"/>
      <c r="F57" s="73"/>
      <c r="G57" s="98"/>
    </row>
    <row r="58" spans="1:16" s="70" customFormat="1">
      <c r="A58" s="72" t="s">
        <v>4</v>
      </c>
      <c r="B58" s="72" t="s">
        <v>71</v>
      </c>
      <c r="C58" s="73" t="s">
        <v>84</v>
      </c>
      <c r="D58" s="98"/>
      <c r="E58" s="98"/>
      <c r="F58" s="98"/>
      <c r="G58" s="98" t="s">
        <v>22</v>
      </c>
      <c r="H58" s="70">
        <v>1</v>
      </c>
      <c r="I58" s="73">
        <v>2.48</v>
      </c>
      <c r="J58" s="73">
        <v>0.5</v>
      </c>
      <c r="K58" s="73">
        <v>0.1</v>
      </c>
      <c r="L58" s="70">
        <f t="shared" ref="L58:L63" si="14">K58*J58*I58*H58</f>
        <v>0.124</v>
      </c>
    </row>
    <row r="59" spans="1:16" s="70" customFormat="1">
      <c r="A59" s="72" t="s">
        <v>4</v>
      </c>
      <c r="B59" s="72" t="s">
        <v>117</v>
      </c>
      <c r="C59" s="73" t="s">
        <v>84</v>
      </c>
      <c r="D59" s="98"/>
      <c r="E59" s="98"/>
      <c r="F59" s="98"/>
      <c r="G59" s="98" t="s">
        <v>22</v>
      </c>
      <c r="H59" s="70">
        <v>1</v>
      </c>
      <c r="I59" s="73">
        <v>7.25</v>
      </c>
      <c r="J59" s="73">
        <v>0.5</v>
      </c>
      <c r="K59" s="73">
        <v>0.1</v>
      </c>
      <c r="L59" s="70">
        <f t="shared" si="14"/>
        <v>0.36250000000000004</v>
      </c>
    </row>
    <row r="60" spans="1:16" s="70" customFormat="1">
      <c r="A60" s="72" t="s">
        <v>4</v>
      </c>
      <c r="B60" s="72" t="s">
        <v>69</v>
      </c>
      <c r="C60" s="73" t="s">
        <v>84</v>
      </c>
      <c r="D60" s="98"/>
      <c r="E60" s="98"/>
      <c r="F60" s="98"/>
      <c r="G60" s="98" t="s">
        <v>22</v>
      </c>
      <c r="H60" s="70">
        <v>1</v>
      </c>
      <c r="I60" s="73">
        <v>2.38</v>
      </c>
      <c r="J60" s="73">
        <v>0.5</v>
      </c>
      <c r="K60" s="73">
        <v>0.1</v>
      </c>
      <c r="L60" s="70">
        <f t="shared" si="14"/>
        <v>0.11899999999999999</v>
      </c>
    </row>
    <row r="61" spans="1:16" s="70" customFormat="1">
      <c r="A61" s="72" t="s">
        <v>4</v>
      </c>
      <c r="B61" s="72" t="s">
        <v>70</v>
      </c>
      <c r="C61" s="73" t="s">
        <v>84</v>
      </c>
      <c r="D61" s="98"/>
      <c r="E61" s="98"/>
      <c r="F61" s="98"/>
      <c r="G61" s="98" t="s">
        <v>22</v>
      </c>
      <c r="H61" s="70">
        <v>1</v>
      </c>
      <c r="I61" s="73">
        <v>4.78</v>
      </c>
      <c r="J61" s="73">
        <v>0.5</v>
      </c>
      <c r="K61" s="73">
        <v>0.1</v>
      </c>
      <c r="L61" s="70">
        <f t="shared" si="14"/>
        <v>0.23900000000000002</v>
      </c>
    </row>
    <row r="62" spans="1:16" s="70" customFormat="1">
      <c r="A62" s="72" t="s">
        <v>4</v>
      </c>
      <c r="B62" s="72" t="s">
        <v>110</v>
      </c>
      <c r="C62" s="73" t="s">
        <v>84</v>
      </c>
      <c r="D62" s="98"/>
      <c r="E62" s="98"/>
      <c r="F62" s="98"/>
      <c r="G62" s="98" t="s">
        <v>22</v>
      </c>
      <c r="H62" s="70">
        <v>1</v>
      </c>
      <c r="I62" s="73">
        <v>2.65</v>
      </c>
      <c r="J62" s="73">
        <v>0.5</v>
      </c>
      <c r="K62" s="73">
        <v>0.1</v>
      </c>
      <c r="L62" s="70">
        <f t="shared" si="14"/>
        <v>0.13250000000000001</v>
      </c>
    </row>
    <row r="63" spans="1:16" s="70" customFormat="1">
      <c r="A63" s="72" t="s">
        <v>4</v>
      </c>
      <c r="B63" s="72" t="s">
        <v>111</v>
      </c>
      <c r="C63" s="73" t="s">
        <v>84</v>
      </c>
      <c r="D63" s="98"/>
      <c r="E63" s="98"/>
      <c r="F63" s="98"/>
      <c r="G63" s="98" t="s">
        <v>22</v>
      </c>
      <c r="H63" s="70">
        <v>1</v>
      </c>
      <c r="I63" s="73">
        <v>4.5999999999999996</v>
      </c>
      <c r="J63" s="73">
        <v>0.5</v>
      </c>
      <c r="K63" s="73">
        <v>0.1</v>
      </c>
      <c r="L63" s="70">
        <f t="shared" si="14"/>
        <v>0.22999999999999998</v>
      </c>
    </row>
    <row r="64" spans="1:16" s="70" customFormat="1">
      <c r="A64" s="72" t="s">
        <v>11</v>
      </c>
      <c r="B64" s="72" t="s">
        <v>71</v>
      </c>
      <c r="C64" s="73" t="s">
        <v>84</v>
      </c>
      <c r="D64" s="98"/>
      <c r="E64" s="98"/>
      <c r="F64" s="98"/>
      <c r="G64" s="98" t="s">
        <v>22</v>
      </c>
      <c r="H64" s="70">
        <v>1</v>
      </c>
      <c r="I64" s="73">
        <v>2.48</v>
      </c>
      <c r="J64" s="73">
        <v>0.5</v>
      </c>
      <c r="K64" s="73">
        <v>0.1</v>
      </c>
      <c r="L64" s="70">
        <f>K64*J64*I64*H64</f>
        <v>0.124</v>
      </c>
    </row>
    <row r="65" spans="1:18" s="70" customFormat="1">
      <c r="A65" s="89" t="s">
        <v>11</v>
      </c>
      <c r="B65" s="72" t="s">
        <v>117</v>
      </c>
      <c r="C65" s="73" t="s">
        <v>84</v>
      </c>
      <c r="D65" s="98"/>
      <c r="E65" s="98"/>
      <c r="F65" s="98"/>
      <c r="G65" s="98" t="s">
        <v>22</v>
      </c>
      <c r="H65" s="70">
        <v>1</v>
      </c>
      <c r="I65" s="73">
        <v>7.25</v>
      </c>
      <c r="J65" s="73">
        <v>0.5</v>
      </c>
      <c r="K65" s="73">
        <v>0.1</v>
      </c>
      <c r="L65" s="70">
        <f t="shared" ref="L65:L74" si="15">K65*J65*I65*H65</f>
        <v>0.36250000000000004</v>
      </c>
    </row>
    <row r="66" spans="1:18" s="70" customFormat="1">
      <c r="A66" s="89" t="s">
        <v>11</v>
      </c>
      <c r="B66" s="72" t="s">
        <v>69</v>
      </c>
      <c r="C66" s="73" t="s">
        <v>84</v>
      </c>
      <c r="D66" s="98"/>
      <c r="E66" s="98"/>
      <c r="F66" s="98"/>
      <c r="G66" s="98" t="s">
        <v>22</v>
      </c>
      <c r="H66" s="70">
        <v>1</v>
      </c>
      <c r="I66" s="73">
        <v>2.38</v>
      </c>
      <c r="J66" s="73">
        <v>0.5</v>
      </c>
      <c r="K66" s="73">
        <v>0.1</v>
      </c>
      <c r="L66" s="70">
        <f t="shared" si="15"/>
        <v>0.11899999999999999</v>
      </c>
    </row>
    <row r="67" spans="1:18" s="70" customFormat="1">
      <c r="A67" s="89" t="s">
        <v>11</v>
      </c>
      <c r="B67" s="72" t="s">
        <v>70</v>
      </c>
      <c r="C67" s="73" t="s">
        <v>84</v>
      </c>
      <c r="D67" s="98"/>
      <c r="E67" s="98"/>
      <c r="F67" s="98"/>
      <c r="G67" s="98" t="s">
        <v>22</v>
      </c>
      <c r="H67" s="70">
        <v>1</v>
      </c>
      <c r="I67" s="73">
        <v>4.78</v>
      </c>
      <c r="J67" s="73">
        <v>0.5</v>
      </c>
      <c r="K67" s="73">
        <v>0.1</v>
      </c>
      <c r="L67" s="70">
        <f t="shared" si="15"/>
        <v>0.23900000000000002</v>
      </c>
    </row>
    <row r="68" spans="1:18" s="70" customFormat="1">
      <c r="A68" s="89" t="s">
        <v>11</v>
      </c>
      <c r="B68" s="72" t="s">
        <v>110</v>
      </c>
      <c r="C68" s="73" t="s">
        <v>84</v>
      </c>
      <c r="D68" s="98"/>
      <c r="E68" s="98"/>
      <c r="F68" s="98"/>
      <c r="G68" s="98" t="s">
        <v>22</v>
      </c>
      <c r="H68" s="70">
        <v>1</v>
      </c>
      <c r="I68" s="73">
        <v>2.65</v>
      </c>
      <c r="J68" s="73">
        <v>0.5</v>
      </c>
      <c r="K68" s="73">
        <v>0.1</v>
      </c>
      <c r="L68" s="70">
        <f t="shared" si="15"/>
        <v>0.13250000000000001</v>
      </c>
    </row>
    <row r="69" spans="1:18" s="70" customFormat="1">
      <c r="A69" s="89" t="s">
        <v>11</v>
      </c>
      <c r="B69" s="72" t="s">
        <v>111</v>
      </c>
      <c r="C69" s="73" t="s">
        <v>84</v>
      </c>
      <c r="D69" s="98"/>
      <c r="E69" s="98"/>
      <c r="F69" s="98"/>
      <c r="G69" s="98" t="s">
        <v>22</v>
      </c>
      <c r="H69" s="70">
        <v>1</v>
      </c>
      <c r="I69" s="73">
        <v>4.5999999999999996</v>
      </c>
      <c r="J69" s="73">
        <v>0.5</v>
      </c>
      <c r="K69" s="73">
        <v>0.1</v>
      </c>
      <c r="L69" s="70">
        <f t="shared" si="15"/>
        <v>0.22999999999999998</v>
      </c>
    </row>
    <row r="70" spans="1:18" s="70" customFormat="1">
      <c r="A70" s="89" t="s">
        <v>25</v>
      </c>
      <c r="B70" s="72" t="s">
        <v>80</v>
      </c>
      <c r="C70" s="73" t="s">
        <v>84</v>
      </c>
      <c r="D70" s="98"/>
      <c r="E70" s="98"/>
      <c r="F70" s="98"/>
      <c r="G70" s="98" t="s">
        <v>22</v>
      </c>
      <c r="H70" s="70">
        <v>1</v>
      </c>
      <c r="I70" s="73">
        <f>3.82+0.4+0.82</f>
        <v>5.04</v>
      </c>
      <c r="J70" s="73">
        <v>0.5</v>
      </c>
      <c r="K70" s="73">
        <v>0.1</v>
      </c>
      <c r="L70" s="70">
        <f t="shared" si="15"/>
        <v>0.252</v>
      </c>
    </row>
    <row r="71" spans="1:18" s="70" customFormat="1">
      <c r="A71" s="72" t="s">
        <v>114</v>
      </c>
      <c r="B71" s="72" t="s">
        <v>80</v>
      </c>
      <c r="C71" s="73" t="s">
        <v>84</v>
      </c>
      <c r="D71" s="98"/>
      <c r="E71" s="98"/>
      <c r="F71" s="98"/>
      <c r="G71" s="98" t="s">
        <v>22</v>
      </c>
      <c r="H71" s="70">
        <v>1</v>
      </c>
      <c r="I71" s="73">
        <f>1.08+0.15+3.82</f>
        <v>5.05</v>
      </c>
      <c r="J71" s="73">
        <v>0.5</v>
      </c>
      <c r="K71" s="73">
        <v>0.1</v>
      </c>
      <c r="L71" s="70">
        <f t="shared" si="15"/>
        <v>0.2525</v>
      </c>
    </row>
    <row r="72" spans="1:18" s="70" customFormat="1">
      <c r="A72" s="72" t="s">
        <v>85</v>
      </c>
      <c r="B72" s="72" t="s">
        <v>118</v>
      </c>
      <c r="C72" s="73" t="s">
        <v>84</v>
      </c>
      <c r="D72" s="98"/>
      <c r="E72" s="98"/>
      <c r="F72" s="98"/>
      <c r="G72" s="98" t="s">
        <v>22</v>
      </c>
      <c r="H72" s="70">
        <v>1</v>
      </c>
      <c r="I72" s="73">
        <f>3.82+0.4</f>
        <v>4.22</v>
      </c>
      <c r="J72" s="73">
        <v>0.5</v>
      </c>
      <c r="K72" s="73">
        <v>0.1</v>
      </c>
      <c r="L72" s="70">
        <f t="shared" si="15"/>
        <v>0.21099999999999999</v>
      </c>
    </row>
    <row r="73" spans="1:18" s="70" customFormat="1">
      <c r="A73" s="89" t="s">
        <v>119</v>
      </c>
      <c r="B73" s="72" t="s">
        <v>118</v>
      </c>
      <c r="C73" s="73" t="s">
        <v>84</v>
      </c>
      <c r="D73" s="98"/>
      <c r="E73" s="98"/>
      <c r="F73" s="98"/>
      <c r="G73" s="98" t="s">
        <v>22</v>
      </c>
      <c r="H73" s="70">
        <v>1</v>
      </c>
      <c r="I73" s="73">
        <f>0.82+1.08</f>
        <v>1.9</v>
      </c>
      <c r="J73" s="73">
        <v>0.5</v>
      </c>
      <c r="K73" s="73">
        <v>0.1</v>
      </c>
      <c r="L73" s="70">
        <f t="shared" si="15"/>
        <v>9.5000000000000001E-2</v>
      </c>
    </row>
    <row r="74" spans="1:18" s="70" customFormat="1">
      <c r="A74" s="89" t="s">
        <v>115</v>
      </c>
      <c r="B74" s="72" t="s">
        <v>118</v>
      </c>
      <c r="C74" s="73" t="s">
        <v>84</v>
      </c>
      <c r="D74" s="98"/>
      <c r="E74" s="98"/>
      <c r="F74" s="98"/>
      <c r="G74" s="98" t="s">
        <v>22</v>
      </c>
      <c r="H74" s="70">
        <v>1</v>
      </c>
      <c r="I74" s="73">
        <f>0.15+3.82</f>
        <v>3.9699999999999998</v>
      </c>
      <c r="J74" s="73">
        <v>0.5</v>
      </c>
      <c r="K74" s="73">
        <v>0.1</v>
      </c>
      <c r="L74" s="70">
        <f t="shared" si="15"/>
        <v>0.19850000000000001</v>
      </c>
    </row>
    <row r="75" spans="1:18" s="70" customFormat="1" ht="16.2" customHeight="1">
      <c r="A75" s="137" t="s">
        <v>41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60">
        <f>SUM(L58:L74)</f>
        <v>3.4229999999999996</v>
      </c>
      <c r="P75" s="98"/>
    </row>
    <row r="76" spans="1:18" ht="35.25" customHeight="1">
      <c r="A76" s="19">
        <v>16</v>
      </c>
      <c r="B76" s="153" t="s">
        <v>45</v>
      </c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</row>
    <row r="77" spans="1:18" ht="13.8" customHeight="1">
      <c r="A77" s="19"/>
      <c r="B77" s="2" t="s">
        <v>2</v>
      </c>
      <c r="C77" s="2" t="s">
        <v>3</v>
      </c>
      <c r="D77" s="56"/>
      <c r="E77" s="56"/>
      <c r="F77" s="56"/>
      <c r="G77" s="86"/>
      <c r="H77" s="58"/>
      <c r="I77" s="59"/>
      <c r="J77" s="59"/>
      <c r="K77" s="59"/>
      <c r="L77" s="59"/>
      <c r="M77" s="59"/>
    </row>
    <row r="78" spans="1:18" s="49" customFormat="1">
      <c r="A78" s="83" t="s">
        <v>109</v>
      </c>
      <c r="B78" s="66" t="s">
        <v>4</v>
      </c>
      <c r="C78" s="66">
        <v>8</v>
      </c>
      <c r="F78" s="68"/>
      <c r="G78" s="67" t="s">
        <v>22</v>
      </c>
      <c r="H78" s="70">
        <v>1</v>
      </c>
      <c r="I78" s="49">
        <v>1.2</v>
      </c>
      <c r="J78" s="49">
        <v>1.2</v>
      </c>
      <c r="K78" s="49">
        <v>0.5</v>
      </c>
      <c r="L78" s="87">
        <f t="shared" ref="L78:L99" si="16">K78*J78*I78*H78</f>
        <v>0.72</v>
      </c>
      <c r="R78" s="68"/>
    </row>
    <row r="79" spans="1:18" s="49" customFormat="1">
      <c r="A79" s="83" t="s">
        <v>108</v>
      </c>
      <c r="B79" s="66" t="s">
        <v>6</v>
      </c>
      <c r="C79" s="66">
        <v>5</v>
      </c>
      <c r="D79" s="87"/>
      <c r="E79" s="87"/>
      <c r="F79" s="68"/>
      <c r="G79" s="67" t="s">
        <v>22</v>
      </c>
      <c r="H79" s="70">
        <v>1</v>
      </c>
      <c r="I79" s="87">
        <v>1.5</v>
      </c>
      <c r="J79" s="87">
        <v>1.5</v>
      </c>
      <c r="K79" s="49">
        <v>0.5</v>
      </c>
      <c r="L79" s="87">
        <f t="shared" si="16"/>
        <v>1.125</v>
      </c>
      <c r="R79" s="73"/>
    </row>
    <row r="80" spans="1:18">
      <c r="A80" s="88" t="s">
        <v>107</v>
      </c>
      <c r="B80" s="89" t="s">
        <v>7</v>
      </c>
      <c r="C80" s="89">
        <v>6</v>
      </c>
      <c r="D80" s="90"/>
      <c r="E80" s="90"/>
      <c r="F80" s="73"/>
      <c r="G80" s="98" t="s">
        <v>22</v>
      </c>
      <c r="H80" s="70">
        <v>1</v>
      </c>
      <c r="I80" s="90">
        <v>1.5</v>
      </c>
      <c r="J80" s="90">
        <v>1.5</v>
      </c>
      <c r="K80" s="70">
        <v>0.5</v>
      </c>
      <c r="L80" s="87">
        <f t="shared" si="16"/>
        <v>1.125</v>
      </c>
      <c r="M80" s="55"/>
      <c r="R80" s="73"/>
    </row>
    <row r="81" spans="1:18">
      <c r="A81" s="88" t="s">
        <v>107</v>
      </c>
      <c r="B81" s="89" t="s">
        <v>7</v>
      </c>
      <c r="C81" s="89">
        <v>7</v>
      </c>
      <c r="D81" s="90"/>
      <c r="E81" s="90"/>
      <c r="F81" s="73"/>
      <c r="G81" s="98" t="s">
        <v>22</v>
      </c>
      <c r="H81" s="70">
        <v>1</v>
      </c>
      <c r="I81" s="90">
        <v>1.5</v>
      </c>
      <c r="J81" s="90">
        <v>1.5</v>
      </c>
      <c r="K81" s="70">
        <v>0.5</v>
      </c>
      <c r="L81" s="87">
        <f t="shared" si="16"/>
        <v>1.125</v>
      </c>
      <c r="M81" s="55"/>
      <c r="R81" s="73"/>
    </row>
    <row r="82" spans="1:18">
      <c r="A82" s="88" t="s">
        <v>109</v>
      </c>
      <c r="B82" s="89" t="s">
        <v>7</v>
      </c>
      <c r="C82" s="89">
        <v>8</v>
      </c>
      <c r="D82" s="90"/>
      <c r="E82" s="90"/>
      <c r="F82" s="73"/>
      <c r="G82" s="98" t="s">
        <v>22</v>
      </c>
      <c r="H82" s="70">
        <v>1</v>
      </c>
      <c r="I82" s="90">
        <v>1.2</v>
      </c>
      <c r="J82" s="90">
        <v>1.2</v>
      </c>
      <c r="K82" s="70">
        <v>0.5</v>
      </c>
      <c r="L82" s="87">
        <f t="shared" si="16"/>
        <v>0.72</v>
      </c>
      <c r="M82" s="55"/>
      <c r="R82" s="73"/>
    </row>
    <row r="83" spans="1:18">
      <c r="A83" s="88" t="s">
        <v>108</v>
      </c>
      <c r="B83" s="89" t="s">
        <v>9</v>
      </c>
      <c r="C83" s="89">
        <v>5</v>
      </c>
      <c r="D83" s="90"/>
      <c r="E83" s="90"/>
      <c r="F83" s="73"/>
      <c r="G83" s="98" t="s">
        <v>22</v>
      </c>
      <c r="H83" s="70">
        <v>1</v>
      </c>
      <c r="I83" s="90">
        <v>1.5</v>
      </c>
      <c r="J83" s="90">
        <v>1.3</v>
      </c>
      <c r="K83" s="70">
        <v>0.5</v>
      </c>
      <c r="L83" s="87">
        <f t="shared" si="16"/>
        <v>0.97500000000000009</v>
      </c>
      <c r="M83" s="55"/>
      <c r="R83" s="73"/>
    </row>
    <row r="84" spans="1:18">
      <c r="A84" s="88" t="s">
        <v>107</v>
      </c>
      <c r="B84" s="89" t="s">
        <v>9</v>
      </c>
      <c r="C84" s="89">
        <v>6</v>
      </c>
      <c r="D84" s="90"/>
      <c r="E84" s="90"/>
      <c r="F84" s="73"/>
      <c r="G84" s="98" t="s">
        <v>22</v>
      </c>
      <c r="H84" s="70">
        <v>1</v>
      </c>
      <c r="I84" s="90">
        <v>1.5</v>
      </c>
      <c r="J84" s="90">
        <v>1.5</v>
      </c>
      <c r="K84" s="70">
        <v>0.5</v>
      </c>
      <c r="L84" s="87">
        <f t="shared" si="16"/>
        <v>1.125</v>
      </c>
      <c r="M84" s="55"/>
      <c r="R84" s="73"/>
    </row>
    <row r="85" spans="1:18">
      <c r="A85" s="88" t="s">
        <v>107</v>
      </c>
      <c r="B85" s="89" t="s">
        <v>9</v>
      </c>
      <c r="C85" s="89">
        <v>7</v>
      </c>
      <c r="D85" s="90"/>
      <c r="E85" s="90"/>
      <c r="F85" s="73"/>
      <c r="G85" s="98" t="s">
        <v>22</v>
      </c>
      <c r="H85" s="70">
        <v>1</v>
      </c>
      <c r="I85" s="90">
        <v>1.5</v>
      </c>
      <c r="J85" s="90">
        <v>1.5</v>
      </c>
      <c r="K85" s="70">
        <v>0.5</v>
      </c>
      <c r="L85" s="87">
        <f t="shared" si="16"/>
        <v>1.125</v>
      </c>
      <c r="M85" s="55"/>
      <c r="R85" s="73"/>
    </row>
    <row r="86" spans="1:18">
      <c r="A86" s="88" t="s">
        <v>109</v>
      </c>
      <c r="B86" s="89" t="s">
        <v>9</v>
      </c>
      <c r="C86" s="89">
        <v>8</v>
      </c>
      <c r="D86" s="90"/>
      <c r="E86" s="90"/>
      <c r="F86" s="73"/>
      <c r="G86" s="98" t="s">
        <v>22</v>
      </c>
      <c r="H86" s="70">
        <v>1</v>
      </c>
      <c r="I86" s="90">
        <v>1.2</v>
      </c>
      <c r="J86" s="90">
        <v>1.2</v>
      </c>
      <c r="K86" s="70">
        <v>0.5</v>
      </c>
      <c r="L86" s="87">
        <f t="shared" si="16"/>
        <v>0.72</v>
      </c>
      <c r="M86" s="55"/>
      <c r="R86" s="73"/>
    </row>
    <row r="87" spans="1:18">
      <c r="A87" s="88" t="s">
        <v>20</v>
      </c>
      <c r="B87" s="89" t="s">
        <v>11</v>
      </c>
      <c r="C87" s="89">
        <v>1</v>
      </c>
      <c r="D87" s="70"/>
      <c r="E87" s="70"/>
      <c r="F87" s="73"/>
      <c r="G87" s="98" t="s">
        <v>22</v>
      </c>
      <c r="H87" s="70">
        <v>1</v>
      </c>
      <c r="I87" s="70">
        <v>1</v>
      </c>
      <c r="J87" s="70">
        <v>1</v>
      </c>
      <c r="K87" s="70">
        <v>0.5</v>
      </c>
      <c r="L87" s="87">
        <f t="shared" si="16"/>
        <v>0.5</v>
      </c>
      <c r="M87" s="55"/>
      <c r="R87" s="73"/>
    </row>
    <row r="88" spans="1:18">
      <c r="A88" s="88" t="s">
        <v>107</v>
      </c>
      <c r="B88" s="89" t="s">
        <v>11</v>
      </c>
      <c r="C88" s="89">
        <v>2</v>
      </c>
      <c r="D88" s="70"/>
      <c r="E88" s="70"/>
      <c r="F88" s="73"/>
      <c r="G88" s="98" t="s">
        <v>22</v>
      </c>
      <c r="H88" s="70">
        <v>1</v>
      </c>
      <c r="I88" s="70">
        <v>1.5</v>
      </c>
      <c r="J88" s="70">
        <v>1.5</v>
      </c>
      <c r="K88" s="70">
        <v>0.5</v>
      </c>
      <c r="L88" s="87">
        <f t="shared" si="16"/>
        <v>1.125</v>
      </c>
      <c r="M88" s="55"/>
      <c r="R88" s="73"/>
    </row>
    <row r="89" spans="1:18">
      <c r="A89" s="88" t="s">
        <v>107</v>
      </c>
      <c r="B89" s="89" t="s">
        <v>11</v>
      </c>
      <c r="C89" s="89">
        <v>3</v>
      </c>
      <c r="D89" s="70"/>
      <c r="E89" s="70"/>
      <c r="F89" s="73"/>
      <c r="G89" s="98" t="s">
        <v>22</v>
      </c>
      <c r="H89" s="70">
        <v>1</v>
      </c>
      <c r="I89" s="70">
        <v>1.5</v>
      </c>
      <c r="J89" s="70">
        <v>1.5</v>
      </c>
      <c r="K89" s="70">
        <v>0.5</v>
      </c>
      <c r="L89" s="87">
        <f t="shared" si="16"/>
        <v>1.125</v>
      </c>
      <c r="M89" s="55"/>
      <c r="R89" s="73"/>
    </row>
    <row r="90" spans="1:18">
      <c r="A90" s="88" t="s">
        <v>108</v>
      </c>
      <c r="B90" s="89" t="s">
        <v>11</v>
      </c>
      <c r="C90" s="89">
        <v>5</v>
      </c>
      <c r="D90" s="70"/>
      <c r="E90" s="70"/>
      <c r="F90" s="73"/>
      <c r="G90" s="98" t="s">
        <v>22</v>
      </c>
      <c r="H90" s="70">
        <v>1</v>
      </c>
      <c r="I90" s="70">
        <v>1.5</v>
      </c>
      <c r="J90" s="70">
        <v>1.5</v>
      </c>
      <c r="K90" s="70">
        <v>0.5</v>
      </c>
      <c r="L90" s="87">
        <f t="shared" si="16"/>
        <v>1.125</v>
      </c>
      <c r="M90" s="55"/>
      <c r="R90" s="73"/>
    </row>
    <row r="91" spans="1:18">
      <c r="A91" s="88" t="s">
        <v>109</v>
      </c>
      <c r="B91" s="89" t="s">
        <v>11</v>
      </c>
      <c r="C91" s="89">
        <v>6</v>
      </c>
      <c r="D91" s="70"/>
      <c r="E91" s="70"/>
      <c r="F91" s="73"/>
      <c r="G91" s="98" t="s">
        <v>22</v>
      </c>
      <c r="H91" s="70">
        <v>1</v>
      </c>
      <c r="I91" s="70">
        <v>1.2</v>
      </c>
      <c r="J91" s="70">
        <v>1.2</v>
      </c>
      <c r="K91" s="70">
        <v>0.5</v>
      </c>
      <c r="L91" s="87">
        <f t="shared" si="16"/>
        <v>0.72</v>
      </c>
      <c r="M91" s="55"/>
      <c r="R91" s="73"/>
    </row>
    <row r="92" spans="1:18" s="49" customFormat="1">
      <c r="A92" s="88" t="s">
        <v>109</v>
      </c>
      <c r="B92" s="89" t="s">
        <v>11</v>
      </c>
      <c r="C92" s="89">
        <v>7</v>
      </c>
      <c r="D92" s="70"/>
      <c r="E92" s="70"/>
      <c r="F92" s="73"/>
      <c r="G92" s="98" t="s">
        <v>22</v>
      </c>
      <c r="H92" s="70">
        <v>1</v>
      </c>
      <c r="I92" s="70">
        <v>1.2</v>
      </c>
      <c r="J92" s="70">
        <v>1.2</v>
      </c>
      <c r="K92" s="70">
        <v>0.5</v>
      </c>
      <c r="L92" s="87">
        <f t="shared" si="16"/>
        <v>0.72</v>
      </c>
      <c r="M92" s="49" t="s">
        <v>95</v>
      </c>
      <c r="R92" s="73"/>
    </row>
    <row r="93" spans="1:18" s="49" customFormat="1">
      <c r="A93" s="88" t="s">
        <v>109</v>
      </c>
      <c r="B93" s="89" t="s">
        <v>11</v>
      </c>
      <c r="C93" s="89">
        <v>8</v>
      </c>
      <c r="D93" s="70"/>
      <c r="E93" s="70"/>
      <c r="F93" s="73"/>
      <c r="G93" s="98" t="s">
        <v>22</v>
      </c>
      <c r="H93" s="70">
        <v>1</v>
      </c>
      <c r="I93" s="70">
        <v>1.2</v>
      </c>
      <c r="J93" s="70">
        <v>1.2</v>
      </c>
      <c r="K93" s="70">
        <v>0.5</v>
      </c>
      <c r="L93" s="87">
        <f t="shared" si="16"/>
        <v>0.72</v>
      </c>
      <c r="M93" s="49" t="s">
        <v>95</v>
      </c>
    </row>
    <row r="94" spans="1:18" s="49" customFormat="1">
      <c r="A94" s="88" t="s">
        <v>151</v>
      </c>
      <c r="B94" s="89"/>
      <c r="C94" s="89"/>
      <c r="D94" s="70"/>
      <c r="E94" s="70"/>
      <c r="F94" s="73"/>
      <c r="G94" s="98" t="s">
        <v>22</v>
      </c>
      <c r="H94" s="70">
        <v>1</v>
      </c>
      <c r="I94" s="70">
        <v>1.6</v>
      </c>
      <c r="J94" s="70">
        <v>1.6</v>
      </c>
      <c r="K94" s="70">
        <v>1.4</v>
      </c>
      <c r="L94" s="87">
        <f t="shared" si="16"/>
        <v>3.5839999999999996</v>
      </c>
    </row>
    <row r="95" spans="1:18" s="49" customFormat="1">
      <c r="A95" s="88" t="s">
        <v>151</v>
      </c>
      <c r="B95" s="89"/>
      <c r="C95" s="89"/>
      <c r="D95" s="70"/>
      <c r="E95" s="70"/>
      <c r="F95" s="73"/>
      <c r="G95" s="98" t="s">
        <v>22</v>
      </c>
      <c r="H95" s="70">
        <v>1</v>
      </c>
      <c r="I95" s="70">
        <v>1.6</v>
      </c>
      <c r="J95" s="70">
        <v>1.6</v>
      </c>
      <c r="K95" s="70">
        <v>1.4</v>
      </c>
      <c r="L95" s="87">
        <f t="shared" si="16"/>
        <v>3.5839999999999996</v>
      </c>
    </row>
    <row r="96" spans="1:18" s="87" customFormat="1">
      <c r="B96" s="66" t="s">
        <v>11</v>
      </c>
      <c r="C96" s="69" t="s">
        <v>69</v>
      </c>
      <c r="E96" s="122"/>
      <c r="F96" s="122"/>
      <c r="G96" s="124" t="s">
        <v>22</v>
      </c>
      <c r="H96" s="87">
        <v>1</v>
      </c>
      <c r="I96" s="123">
        <v>2.38</v>
      </c>
      <c r="J96" s="123">
        <v>0.4</v>
      </c>
      <c r="K96" s="123">
        <v>0.3</v>
      </c>
      <c r="L96" s="87">
        <f t="shared" si="16"/>
        <v>0.28559999999999997</v>
      </c>
    </row>
    <row r="97" spans="1:13" s="87" customFormat="1">
      <c r="B97" s="66" t="s">
        <v>11</v>
      </c>
      <c r="C97" s="69" t="s">
        <v>70</v>
      </c>
      <c r="E97" s="122"/>
      <c r="F97" s="122"/>
      <c r="G97" s="124" t="s">
        <v>22</v>
      </c>
      <c r="H97" s="87">
        <v>1</v>
      </c>
      <c r="I97" s="123">
        <v>4.78</v>
      </c>
      <c r="J97" s="123">
        <v>0.4</v>
      </c>
      <c r="K97" s="123">
        <v>0.3</v>
      </c>
      <c r="L97" s="87">
        <f t="shared" si="16"/>
        <v>0.5736</v>
      </c>
    </row>
    <row r="98" spans="1:13" s="87" customFormat="1">
      <c r="B98" s="66" t="s">
        <v>11</v>
      </c>
      <c r="C98" s="69" t="s">
        <v>110</v>
      </c>
      <c r="E98" s="122"/>
      <c r="F98" s="122"/>
      <c r="G98" s="124" t="s">
        <v>22</v>
      </c>
      <c r="H98" s="87">
        <v>1</v>
      </c>
      <c r="I98" s="123">
        <v>2.65</v>
      </c>
      <c r="J98" s="123">
        <v>0.4</v>
      </c>
      <c r="K98" s="123">
        <v>0.3</v>
      </c>
      <c r="L98" s="87">
        <f t="shared" si="16"/>
        <v>0.318</v>
      </c>
    </row>
    <row r="99" spans="1:13" s="87" customFormat="1">
      <c r="B99" s="66" t="s">
        <v>11</v>
      </c>
      <c r="C99" s="69" t="s">
        <v>111</v>
      </c>
      <c r="E99" s="122"/>
      <c r="F99" s="122"/>
      <c r="G99" s="124" t="s">
        <v>22</v>
      </c>
      <c r="H99" s="87">
        <v>1</v>
      </c>
      <c r="I99" s="123">
        <v>4.5999999999999996</v>
      </c>
      <c r="J99" s="123">
        <v>0.4</v>
      </c>
      <c r="K99" s="123">
        <v>0.3</v>
      </c>
      <c r="L99" s="87">
        <f t="shared" si="16"/>
        <v>0.55199999999999994</v>
      </c>
    </row>
    <row r="100" spans="1:13" ht="13.8" customHeight="1">
      <c r="A100" s="137" t="s">
        <v>41</v>
      </c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60">
        <f>SUM(L78:L99)</f>
        <v>23.6922</v>
      </c>
    </row>
    <row r="101" spans="1:13" ht="35.25" customHeight="1">
      <c r="A101" s="19">
        <v>17</v>
      </c>
      <c r="B101" s="153" t="s">
        <v>98</v>
      </c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</row>
    <row r="102" spans="1:13" s="49" customFormat="1">
      <c r="B102" s="2" t="s">
        <v>2</v>
      </c>
      <c r="C102" s="2" t="s">
        <v>3</v>
      </c>
      <c r="G102" s="67"/>
      <c r="L102" s="49" t="s">
        <v>95</v>
      </c>
      <c r="M102" s="49" t="s">
        <v>95</v>
      </c>
    </row>
    <row r="103" spans="1:13" s="49" customFormat="1">
      <c r="B103" s="69" t="s">
        <v>4</v>
      </c>
      <c r="C103" s="69" t="s">
        <v>71</v>
      </c>
      <c r="E103" s="67"/>
      <c r="F103" s="67"/>
      <c r="G103" s="67" t="s">
        <v>22</v>
      </c>
      <c r="H103" s="49">
        <v>1</v>
      </c>
      <c r="I103" s="68">
        <v>2.48</v>
      </c>
      <c r="J103" s="68">
        <v>0.4</v>
      </c>
      <c r="K103" s="68">
        <f>$N$13-0.1</f>
        <v>1.38</v>
      </c>
      <c r="L103" s="49">
        <f t="shared" ref="L103:L108" si="17">K103*J103*I103*H103</f>
        <v>1.3689599999999997</v>
      </c>
    </row>
    <row r="104" spans="1:13" s="49" customFormat="1">
      <c r="B104" s="69" t="s">
        <v>4</v>
      </c>
      <c r="C104" s="69" t="s">
        <v>117</v>
      </c>
      <c r="E104" s="67"/>
      <c r="F104" s="67"/>
      <c r="G104" s="67" t="s">
        <v>22</v>
      </c>
      <c r="H104" s="49">
        <v>1</v>
      </c>
      <c r="I104" s="68">
        <v>7.25</v>
      </c>
      <c r="J104" s="68">
        <v>0.4</v>
      </c>
      <c r="K104" s="68">
        <f t="shared" ref="K104:K119" si="18">$N$13-0.1</f>
        <v>1.38</v>
      </c>
      <c r="L104" s="49">
        <f t="shared" si="17"/>
        <v>4.0019999999999998</v>
      </c>
    </row>
    <row r="105" spans="1:13" s="49" customFormat="1">
      <c r="B105" s="69" t="s">
        <v>4</v>
      </c>
      <c r="C105" s="69" t="s">
        <v>69</v>
      </c>
      <c r="E105" s="67"/>
      <c r="F105" s="67"/>
      <c r="G105" s="67" t="s">
        <v>22</v>
      </c>
      <c r="H105" s="49">
        <v>1</v>
      </c>
      <c r="I105" s="68">
        <v>2.38</v>
      </c>
      <c r="J105" s="68">
        <v>0.4</v>
      </c>
      <c r="K105" s="68">
        <f t="shared" si="18"/>
        <v>1.38</v>
      </c>
      <c r="L105" s="49">
        <f t="shared" si="17"/>
        <v>1.3137599999999998</v>
      </c>
    </row>
    <row r="106" spans="1:13" s="49" customFormat="1">
      <c r="B106" s="69" t="s">
        <v>4</v>
      </c>
      <c r="C106" s="69" t="s">
        <v>70</v>
      </c>
      <c r="E106" s="67"/>
      <c r="F106" s="67"/>
      <c r="G106" s="67" t="s">
        <v>22</v>
      </c>
      <c r="H106" s="49">
        <v>1</v>
      </c>
      <c r="I106" s="68">
        <v>4.78</v>
      </c>
      <c r="J106" s="68">
        <v>0.4</v>
      </c>
      <c r="K106" s="68">
        <f t="shared" si="18"/>
        <v>1.38</v>
      </c>
      <c r="L106" s="49">
        <f t="shared" si="17"/>
        <v>2.63856</v>
      </c>
    </row>
    <row r="107" spans="1:13" s="49" customFormat="1">
      <c r="B107" s="69" t="s">
        <v>4</v>
      </c>
      <c r="C107" s="69" t="s">
        <v>110</v>
      </c>
      <c r="E107" s="67"/>
      <c r="F107" s="67"/>
      <c r="G107" s="67" t="s">
        <v>22</v>
      </c>
      <c r="H107" s="49">
        <v>1</v>
      </c>
      <c r="I107" s="68">
        <v>2.65</v>
      </c>
      <c r="J107" s="68">
        <v>0.4</v>
      </c>
      <c r="K107" s="68">
        <f t="shared" si="18"/>
        <v>1.38</v>
      </c>
      <c r="L107" s="49">
        <f t="shared" si="17"/>
        <v>1.4627999999999999</v>
      </c>
    </row>
    <row r="108" spans="1:13" s="49" customFormat="1">
      <c r="B108" s="69" t="s">
        <v>4</v>
      </c>
      <c r="C108" s="69" t="s">
        <v>111</v>
      </c>
      <c r="E108" s="67"/>
      <c r="F108" s="67"/>
      <c r="G108" s="67" t="s">
        <v>22</v>
      </c>
      <c r="H108" s="49">
        <v>1</v>
      </c>
      <c r="I108" s="68">
        <v>4.5999999999999996</v>
      </c>
      <c r="J108" s="68">
        <v>0.4</v>
      </c>
      <c r="K108" s="68">
        <f t="shared" si="18"/>
        <v>1.38</v>
      </c>
      <c r="L108" s="49">
        <f t="shared" si="17"/>
        <v>2.5391999999999997</v>
      </c>
    </row>
    <row r="109" spans="1:13" s="49" customFormat="1">
      <c r="B109" s="69" t="s">
        <v>11</v>
      </c>
      <c r="C109" s="69" t="s">
        <v>71</v>
      </c>
      <c r="E109" s="67"/>
      <c r="F109" s="67"/>
      <c r="G109" s="67" t="s">
        <v>22</v>
      </c>
      <c r="H109" s="49">
        <v>1</v>
      </c>
      <c r="I109" s="68">
        <v>2.48</v>
      </c>
      <c r="J109" s="68">
        <v>0.4</v>
      </c>
      <c r="K109" s="68">
        <f t="shared" si="18"/>
        <v>1.38</v>
      </c>
      <c r="L109" s="49">
        <f>K109*J109*I109*H109</f>
        <v>1.3689599999999997</v>
      </c>
    </row>
    <row r="110" spans="1:13" s="49" customFormat="1">
      <c r="B110" s="66" t="s">
        <v>11</v>
      </c>
      <c r="C110" s="69" t="s">
        <v>117</v>
      </c>
      <c r="E110" s="67"/>
      <c r="F110" s="67"/>
      <c r="G110" s="67" t="s">
        <v>22</v>
      </c>
      <c r="H110" s="49">
        <v>1</v>
      </c>
      <c r="I110" s="68">
        <v>7.25</v>
      </c>
      <c r="J110" s="68">
        <v>0.4</v>
      </c>
      <c r="K110" s="68">
        <f t="shared" si="18"/>
        <v>1.38</v>
      </c>
      <c r="L110" s="49">
        <f t="shared" ref="L110:L119" si="19">K110*J110*I110*H110</f>
        <v>4.0019999999999998</v>
      </c>
    </row>
    <row r="111" spans="1:13" s="49" customFormat="1">
      <c r="B111" s="66" t="s">
        <v>11</v>
      </c>
      <c r="C111" s="69" t="s">
        <v>69</v>
      </c>
      <c r="E111" s="67"/>
      <c r="F111" s="67"/>
      <c r="G111" s="67" t="s">
        <v>22</v>
      </c>
      <c r="H111" s="49">
        <v>1</v>
      </c>
      <c r="I111" s="68">
        <v>2.38</v>
      </c>
      <c r="J111" s="68">
        <v>0.4</v>
      </c>
      <c r="K111" s="68">
        <f t="shared" si="18"/>
        <v>1.38</v>
      </c>
      <c r="L111" s="49">
        <f t="shared" si="19"/>
        <v>1.3137599999999998</v>
      </c>
    </row>
    <row r="112" spans="1:13" s="49" customFormat="1">
      <c r="B112" s="66" t="s">
        <v>11</v>
      </c>
      <c r="C112" s="69" t="s">
        <v>70</v>
      </c>
      <c r="E112" s="67"/>
      <c r="F112" s="67"/>
      <c r="G112" s="67" t="s">
        <v>22</v>
      </c>
      <c r="H112" s="49">
        <v>1</v>
      </c>
      <c r="I112" s="68">
        <v>4.78</v>
      </c>
      <c r="J112" s="68">
        <v>0.4</v>
      </c>
      <c r="K112" s="68">
        <f t="shared" si="18"/>
        <v>1.38</v>
      </c>
      <c r="L112" s="49">
        <f t="shared" si="19"/>
        <v>2.63856</v>
      </c>
    </row>
    <row r="113" spans="1:16" s="49" customFormat="1">
      <c r="B113" s="66" t="s">
        <v>11</v>
      </c>
      <c r="C113" s="69" t="s">
        <v>110</v>
      </c>
      <c r="E113" s="67"/>
      <c r="F113" s="67"/>
      <c r="G113" s="67" t="s">
        <v>22</v>
      </c>
      <c r="H113" s="49">
        <v>1</v>
      </c>
      <c r="I113" s="68">
        <v>2.65</v>
      </c>
      <c r="J113" s="68">
        <v>0.4</v>
      </c>
      <c r="K113" s="68">
        <f t="shared" si="18"/>
        <v>1.38</v>
      </c>
      <c r="L113" s="49">
        <f t="shared" si="19"/>
        <v>1.4627999999999999</v>
      </c>
    </row>
    <row r="114" spans="1:16" s="49" customFormat="1">
      <c r="B114" s="66" t="s">
        <v>11</v>
      </c>
      <c r="C114" s="69" t="s">
        <v>111</v>
      </c>
      <c r="E114" s="67"/>
      <c r="F114" s="67"/>
      <c r="G114" s="67" t="s">
        <v>22</v>
      </c>
      <c r="H114" s="49">
        <v>1</v>
      </c>
      <c r="I114" s="68">
        <v>4.5999999999999996</v>
      </c>
      <c r="J114" s="68">
        <v>0.4</v>
      </c>
      <c r="K114" s="68">
        <f t="shared" si="18"/>
        <v>1.38</v>
      </c>
      <c r="L114" s="49">
        <f t="shared" si="19"/>
        <v>2.5391999999999997</v>
      </c>
    </row>
    <row r="115" spans="1:16" s="49" customFormat="1">
      <c r="B115" s="66" t="s">
        <v>25</v>
      </c>
      <c r="C115" s="69" t="s">
        <v>80</v>
      </c>
      <c r="E115" s="67"/>
      <c r="F115" s="67"/>
      <c r="G115" s="67" t="s">
        <v>22</v>
      </c>
      <c r="H115" s="49">
        <v>1</v>
      </c>
      <c r="I115" s="68">
        <f>3.82+0.4+0.82</f>
        <v>5.04</v>
      </c>
      <c r="J115" s="68">
        <v>0.4</v>
      </c>
      <c r="K115" s="68">
        <f t="shared" si="18"/>
        <v>1.38</v>
      </c>
      <c r="L115" s="49">
        <f t="shared" si="19"/>
        <v>2.7820799999999997</v>
      </c>
    </row>
    <row r="116" spans="1:16" s="49" customFormat="1">
      <c r="B116" s="69" t="s">
        <v>114</v>
      </c>
      <c r="C116" s="69" t="s">
        <v>80</v>
      </c>
      <c r="E116" s="67"/>
      <c r="F116" s="67"/>
      <c r="G116" s="67" t="s">
        <v>22</v>
      </c>
      <c r="H116" s="49">
        <v>1</v>
      </c>
      <c r="I116" s="68">
        <f>1.08+0.15+3.82</f>
        <v>5.05</v>
      </c>
      <c r="J116" s="68">
        <v>0.4</v>
      </c>
      <c r="K116" s="68">
        <f t="shared" si="18"/>
        <v>1.38</v>
      </c>
      <c r="L116" s="49">
        <f t="shared" si="19"/>
        <v>2.7875999999999994</v>
      </c>
    </row>
    <row r="117" spans="1:16" s="49" customFormat="1">
      <c r="B117" s="69" t="s">
        <v>85</v>
      </c>
      <c r="C117" s="69" t="s">
        <v>118</v>
      </c>
      <c r="E117" s="67"/>
      <c r="F117" s="67"/>
      <c r="G117" s="67" t="s">
        <v>22</v>
      </c>
      <c r="H117" s="49">
        <v>1</v>
      </c>
      <c r="I117" s="68">
        <f>3.82+0.4</f>
        <v>4.22</v>
      </c>
      <c r="J117" s="68">
        <v>0.4</v>
      </c>
      <c r="K117" s="68">
        <f t="shared" si="18"/>
        <v>1.38</v>
      </c>
      <c r="L117" s="49">
        <f t="shared" si="19"/>
        <v>2.3294399999999995</v>
      </c>
    </row>
    <row r="118" spans="1:16" s="49" customFormat="1">
      <c r="B118" s="66" t="s">
        <v>119</v>
      </c>
      <c r="C118" s="69" t="s">
        <v>118</v>
      </c>
      <c r="E118" s="67"/>
      <c r="F118" s="67"/>
      <c r="G118" s="67" t="s">
        <v>22</v>
      </c>
      <c r="H118" s="49">
        <v>1</v>
      </c>
      <c r="I118" s="68">
        <f>0.82+1.08</f>
        <v>1.9</v>
      </c>
      <c r="J118" s="68">
        <v>0.4</v>
      </c>
      <c r="K118" s="68">
        <f t="shared" si="18"/>
        <v>1.38</v>
      </c>
      <c r="L118" s="49">
        <f t="shared" si="19"/>
        <v>1.0487999999999997</v>
      </c>
    </row>
    <row r="119" spans="1:16" s="49" customFormat="1">
      <c r="B119" s="66" t="s">
        <v>115</v>
      </c>
      <c r="C119" s="69" t="s">
        <v>118</v>
      </c>
      <c r="E119" s="67"/>
      <c r="F119" s="67"/>
      <c r="G119" s="67" t="s">
        <v>22</v>
      </c>
      <c r="H119" s="49">
        <v>1</v>
      </c>
      <c r="I119" s="68">
        <f>0.15+3.82</f>
        <v>3.9699999999999998</v>
      </c>
      <c r="J119" s="68">
        <v>0.4</v>
      </c>
      <c r="K119" s="68">
        <f t="shared" si="18"/>
        <v>1.38</v>
      </c>
      <c r="L119" s="49">
        <f t="shared" si="19"/>
        <v>2.1914399999999996</v>
      </c>
    </row>
    <row r="120" spans="1:16" ht="15.6" customHeight="1">
      <c r="A120" s="137" t="s">
        <v>41</v>
      </c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60">
        <f>SUM(L103:L119)</f>
        <v>37.789919999999995</v>
      </c>
      <c r="P120" s="49"/>
    </row>
    <row r="121" spans="1:16" ht="35.25" customHeight="1">
      <c r="A121" s="19">
        <v>20</v>
      </c>
      <c r="B121" s="153" t="s">
        <v>100</v>
      </c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</row>
    <row r="122" spans="1:16" s="45" customFormat="1">
      <c r="A122" s="138" t="s">
        <v>94</v>
      </c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P122"/>
    </row>
    <row r="123" spans="1:16" s="45" customFormat="1">
      <c r="A123"/>
      <c r="B123" s="2" t="s">
        <v>2</v>
      </c>
      <c r="C123" s="2" t="s">
        <v>3</v>
      </c>
      <c r="D123"/>
      <c r="E123"/>
      <c r="F123" s="55"/>
      <c r="G123" s="96"/>
      <c r="H123" s="64"/>
      <c r="I123" s="64"/>
      <c r="J123" s="64"/>
      <c r="K123" s="64"/>
      <c r="L123" s="64"/>
      <c r="M123" s="64"/>
      <c r="P123"/>
    </row>
    <row r="124" spans="1:16" s="49" customFormat="1">
      <c r="A124" s="50" t="s">
        <v>106</v>
      </c>
      <c r="B124" s="53" t="s">
        <v>4</v>
      </c>
      <c r="C124" s="53">
        <v>1</v>
      </c>
      <c r="G124" s="67" t="s">
        <v>22</v>
      </c>
      <c r="H124" s="70">
        <v>1</v>
      </c>
      <c r="I124">
        <v>1</v>
      </c>
      <c r="J124">
        <v>1</v>
      </c>
      <c r="K124" s="54">
        <v>0.25</v>
      </c>
      <c r="L124" s="87">
        <f>K124*J124*I124*H124</f>
        <v>0.25</v>
      </c>
      <c r="P124"/>
    </row>
    <row r="125" spans="1:16" s="49" customFormat="1">
      <c r="A125" s="50" t="s">
        <v>105</v>
      </c>
      <c r="B125" s="53" t="s">
        <v>4</v>
      </c>
      <c r="C125" s="55">
        <v>2</v>
      </c>
      <c r="G125" s="67" t="s">
        <v>22</v>
      </c>
      <c r="H125" s="70">
        <v>1</v>
      </c>
      <c r="I125">
        <v>1.5</v>
      </c>
      <c r="J125">
        <v>1.5</v>
      </c>
      <c r="K125" s="54">
        <v>0.4</v>
      </c>
      <c r="L125" s="87">
        <f t="shared" ref="L125:L146" si="20">K125*J125*I125*H125</f>
        <v>0.90000000000000013</v>
      </c>
      <c r="P125"/>
    </row>
    <row r="126" spans="1:16">
      <c r="A126" s="50" t="s">
        <v>107</v>
      </c>
      <c r="B126" s="53" t="s">
        <v>4</v>
      </c>
      <c r="C126" s="53">
        <v>4</v>
      </c>
      <c r="D126" s="49"/>
      <c r="E126" s="49"/>
      <c r="G126" s="98" t="s">
        <v>22</v>
      </c>
      <c r="H126" s="70">
        <v>1</v>
      </c>
      <c r="I126">
        <v>1.5</v>
      </c>
      <c r="J126" s="24">
        <v>1.5</v>
      </c>
      <c r="K126" s="55">
        <v>0.4</v>
      </c>
      <c r="L126" s="87">
        <f t="shared" si="20"/>
        <v>0.90000000000000013</v>
      </c>
      <c r="M126" s="55"/>
    </row>
    <row r="127" spans="1:16">
      <c r="A127" s="50" t="s">
        <v>21</v>
      </c>
      <c r="B127" s="53" t="s">
        <v>4</v>
      </c>
      <c r="C127" s="55">
        <v>5</v>
      </c>
      <c r="D127" s="49"/>
      <c r="E127" s="49"/>
      <c r="G127" s="98" t="s">
        <v>22</v>
      </c>
      <c r="H127" s="70">
        <v>1</v>
      </c>
      <c r="I127">
        <v>1.1000000000000001</v>
      </c>
      <c r="J127">
        <v>1.1000000000000001</v>
      </c>
      <c r="K127" s="55">
        <v>0.25</v>
      </c>
      <c r="L127" s="87">
        <f t="shared" si="20"/>
        <v>0.30250000000000005</v>
      </c>
      <c r="M127" s="55"/>
    </row>
    <row r="128" spans="1:16">
      <c r="A128" t="s">
        <v>109</v>
      </c>
      <c r="B128" s="53" t="s">
        <v>4</v>
      </c>
      <c r="C128" s="55">
        <v>6</v>
      </c>
      <c r="D128" s="49"/>
      <c r="E128" s="49"/>
      <c r="G128" s="98" t="s">
        <v>22</v>
      </c>
      <c r="H128" s="70">
        <v>1</v>
      </c>
      <c r="I128">
        <v>1.2</v>
      </c>
      <c r="J128">
        <v>1.2</v>
      </c>
      <c r="K128" s="55">
        <v>0.3</v>
      </c>
      <c r="L128" s="87">
        <f t="shared" si="20"/>
        <v>0.432</v>
      </c>
      <c r="M128" s="55"/>
    </row>
    <row r="129" spans="1:16">
      <c r="A129" s="50" t="s">
        <v>109</v>
      </c>
      <c r="B129" s="53" t="s">
        <v>4</v>
      </c>
      <c r="C129" s="53">
        <v>7</v>
      </c>
      <c r="D129" s="49"/>
      <c r="E129" s="49"/>
      <c r="G129" s="98" t="s">
        <v>22</v>
      </c>
      <c r="H129" s="70">
        <v>1</v>
      </c>
      <c r="I129" s="42">
        <v>1.2</v>
      </c>
      <c r="J129" s="42">
        <v>1.2</v>
      </c>
      <c r="K129" s="55">
        <v>0.3</v>
      </c>
      <c r="L129" s="87">
        <f t="shared" si="20"/>
        <v>0.432</v>
      </c>
      <c r="M129" s="55"/>
      <c r="P129" s="49"/>
    </row>
    <row r="130" spans="1:16">
      <c r="A130" s="50" t="s">
        <v>109</v>
      </c>
      <c r="B130" s="53" t="s">
        <v>4</v>
      </c>
      <c r="C130" s="53">
        <v>8</v>
      </c>
      <c r="D130" s="49"/>
      <c r="E130" s="49"/>
      <c r="G130" s="98" t="s">
        <v>22</v>
      </c>
      <c r="H130" s="70">
        <v>1</v>
      </c>
      <c r="I130">
        <v>1.2</v>
      </c>
      <c r="J130">
        <v>1.2</v>
      </c>
      <c r="K130" s="55">
        <v>0.3</v>
      </c>
      <c r="L130" s="87">
        <f t="shared" si="20"/>
        <v>0.432</v>
      </c>
      <c r="M130" s="55"/>
      <c r="P130" s="49"/>
    </row>
    <row r="131" spans="1:16">
      <c r="A131" s="50" t="s">
        <v>108</v>
      </c>
      <c r="B131" s="53" t="s">
        <v>6</v>
      </c>
      <c r="C131" s="53">
        <v>5</v>
      </c>
      <c r="D131" s="49"/>
      <c r="E131" s="49"/>
      <c r="G131" s="98" t="s">
        <v>22</v>
      </c>
      <c r="H131" s="70">
        <v>1</v>
      </c>
      <c r="I131" s="42">
        <v>1.5</v>
      </c>
      <c r="J131" s="42">
        <v>1.5</v>
      </c>
      <c r="K131" s="55">
        <v>0.4</v>
      </c>
      <c r="L131" s="87">
        <f t="shared" si="20"/>
        <v>0.90000000000000013</v>
      </c>
      <c r="M131" s="55"/>
      <c r="P131" s="70"/>
    </row>
    <row r="132" spans="1:16">
      <c r="A132" s="50" t="s">
        <v>107</v>
      </c>
      <c r="B132" s="53" t="s">
        <v>7</v>
      </c>
      <c r="C132" s="53">
        <v>6</v>
      </c>
      <c r="D132" s="49"/>
      <c r="E132" s="49"/>
      <c r="G132" s="98" t="s">
        <v>22</v>
      </c>
      <c r="H132" s="70">
        <v>1</v>
      </c>
      <c r="I132" s="42">
        <v>1.5</v>
      </c>
      <c r="J132" s="42">
        <v>1.5</v>
      </c>
      <c r="K132" s="55">
        <v>0.4</v>
      </c>
      <c r="L132" s="87">
        <f t="shared" si="20"/>
        <v>0.90000000000000013</v>
      </c>
      <c r="M132" s="55"/>
      <c r="P132" s="70"/>
    </row>
    <row r="133" spans="1:16">
      <c r="A133" s="50" t="s">
        <v>107</v>
      </c>
      <c r="B133" s="53" t="s">
        <v>7</v>
      </c>
      <c r="C133" s="53">
        <v>7</v>
      </c>
      <c r="D133" s="49"/>
      <c r="E133" s="49"/>
      <c r="G133" s="98" t="s">
        <v>22</v>
      </c>
      <c r="H133" s="70">
        <v>1</v>
      </c>
      <c r="I133" s="42">
        <v>1.5</v>
      </c>
      <c r="J133" s="42">
        <v>1.5</v>
      </c>
      <c r="K133" s="55">
        <v>0.4</v>
      </c>
      <c r="L133" s="87">
        <f t="shared" si="20"/>
        <v>0.90000000000000013</v>
      </c>
      <c r="M133" s="55"/>
      <c r="P133" s="70"/>
    </row>
    <row r="134" spans="1:16">
      <c r="A134" s="50" t="s">
        <v>109</v>
      </c>
      <c r="B134" s="53" t="s">
        <v>7</v>
      </c>
      <c r="C134" s="53">
        <v>8</v>
      </c>
      <c r="D134" s="49"/>
      <c r="E134" s="49"/>
      <c r="G134" s="98" t="s">
        <v>22</v>
      </c>
      <c r="H134" s="70">
        <v>1</v>
      </c>
      <c r="I134" s="42">
        <v>1.2</v>
      </c>
      <c r="J134" s="42">
        <v>1.2</v>
      </c>
      <c r="K134" s="55">
        <v>0.3</v>
      </c>
      <c r="L134" s="87">
        <f t="shared" si="20"/>
        <v>0.432</v>
      </c>
      <c r="M134" s="55"/>
      <c r="P134" s="70"/>
    </row>
    <row r="135" spans="1:16">
      <c r="A135" s="50" t="s">
        <v>107</v>
      </c>
      <c r="B135" s="53" t="s">
        <v>8</v>
      </c>
      <c r="C135" s="53">
        <v>1</v>
      </c>
      <c r="D135" s="49"/>
      <c r="E135" s="49"/>
      <c r="G135" s="98" t="s">
        <v>22</v>
      </c>
      <c r="H135" s="70">
        <v>1</v>
      </c>
      <c r="I135">
        <v>1.5</v>
      </c>
      <c r="J135">
        <v>1.5</v>
      </c>
      <c r="K135" s="55">
        <v>0.4</v>
      </c>
      <c r="L135" s="87">
        <f t="shared" si="20"/>
        <v>0.90000000000000013</v>
      </c>
      <c r="M135" s="55"/>
      <c r="P135" s="70"/>
    </row>
    <row r="136" spans="1:16">
      <c r="A136" s="50" t="s">
        <v>108</v>
      </c>
      <c r="B136" s="53" t="s">
        <v>10</v>
      </c>
      <c r="C136" s="53">
        <v>5</v>
      </c>
      <c r="D136" s="49"/>
      <c r="E136" s="49"/>
      <c r="G136" s="98" t="s">
        <v>22</v>
      </c>
      <c r="H136" s="70">
        <v>1</v>
      </c>
      <c r="I136" s="42">
        <v>1.5</v>
      </c>
      <c r="J136" s="42">
        <v>1.3</v>
      </c>
      <c r="K136" s="55">
        <v>0.4</v>
      </c>
      <c r="L136" s="87">
        <f t="shared" si="20"/>
        <v>0.78</v>
      </c>
      <c r="M136" s="55"/>
      <c r="P136" s="70"/>
    </row>
    <row r="137" spans="1:16">
      <c r="A137" s="50" t="s">
        <v>107</v>
      </c>
      <c r="B137" s="53" t="s">
        <v>9</v>
      </c>
      <c r="C137" s="53">
        <v>6</v>
      </c>
      <c r="D137" s="49"/>
      <c r="E137" s="49"/>
      <c r="G137" s="98" t="s">
        <v>22</v>
      </c>
      <c r="H137" s="70">
        <v>1</v>
      </c>
      <c r="I137" s="42">
        <v>1.5</v>
      </c>
      <c r="J137" s="42">
        <v>1.5</v>
      </c>
      <c r="K137" s="55">
        <v>0.4</v>
      </c>
      <c r="L137" s="87">
        <f t="shared" si="20"/>
        <v>0.90000000000000013</v>
      </c>
      <c r="M137" s="55"/>
      <c r="P137" s="70"/>
    </row>
    <row r="138" spans="1:16" s="49" customFormat="1">
      <c r="A138" s="50" t="s">
        <v>107</v>
      </c>
      <c r="B138" s="53" t="s">
        <v>9</v>
      </c>
      <c r="C138" s="53">
        <v>7</v>
      </c>
      <c r="G138" s="98" t="s">
        <v>22</v>
      </c>
      <c r="H138" s="70">
        <v>1</v>
      </c>
      <c r="I138" s="42">
        <v>1.5</v>
      </c>
      <c r="J138" s="42">
        <v>1.5</v>
      </c>
      <c r="K138" s="55">
        <v>0.4</v>
      </c>
      <c r="L138" s="87">
        <f t="shared" si="20"/>
        <v>0.90000000000000013</v>
      </c>
      <c r="M138" s="49" t="s">
        <v>95</v>
      </c>
      <c r="P138" s="98"/>
    </row>
    <row r="139" spans="1:16" s="49" customFormat="1">
      <c r="A139" s="50" t="s">
        <v>109</v>
      </c>
      <c r="B139" s="53" t="s">
        <v>9</v>
      </c>
      <c r="C139" s="53">
        <v>8</v>
      </c>
      <c r="G139" s="98" t="s">
        <v>22</v>
      </c>
      <c r="H139" s="70">
        <v>1</v>
      </c>
      <c r="I139" s="42">
        <v>1.2</v>
      </c>
      <c r="J139" s="42">
        <v>1.2</v>
      </c>
      <c r="K139" s="55">
        <v>0.3</v>
      </c>
      <c r="L139" s="87">
        <f t="shared" si="20"/>
        <v>0.432</v>
      </c>
      <c r="M139" s="49" t="s">
        <v>95</v>
      </c>
      <c r="P139" s="70"/>
    </row>
    <row r="140" spans="1:16" s="70" customFormat="1">
      <c r="A140" s="50" t="s">
        <v>20</v>
      </c>
      <c r="B140" s="53" t="s">
        <v>11</v>
      </c>
      <c r="C140" s="53">
        <v>1</v>
      </c>
      <c r="D140" s="49"/>
      <c r="E140" s="49"/>
      <c r="G140" s="98" t="s">
        <v>22</v>
      </c>
      <c r="H140" s="70">
        <v>1</v>
      </c>
      <c r="I140">
        <v>1</v>
      </c>
      <c r="J140">
        <v>1</v>
      </c>
      <c r="K140" s="55">
        <v>0.25</v>
      </c>
      <c r="L140" s="87">
        <f t="shared" si="20"/>
        <v>0.25</v>
      </c>
      <c r="P140" s="70" t="str">
        <f>IF(I149=16,G149*H149*J149,"")</f>
        <v/>
      </c>
    </row>
    <row r="141" spans="1:16" s="70" customFormat="1">
      <c r="A141" s="50" t="s">
        <v>107</v>
      </c>
      <c r="B141" s="53" t="s">
        <v>11</v>
      </c>
      <c r="C141" s="53">
        <v>2</v>
      </c>
      <c r="D141" s="49"/>
      <c r="E141" s="49"/>
      <c r="G141" s="98" t="s">
        <v>22</v>
      </c>
      <c r="H141" s="70">
        <v>1</v>
      </c>
      <c r="I141">
        <v>1.5</v>
      </c>
      <c r="J141">
        <v>1.5</v>
      </c>
      <c r="K141" s="55">
        <v>0.25</v>
      </c>
      <c r="L141" s="87">
        <f t="shared" si="20"/>
        <v>0.5625</v>
      </c>
      <c r="M141" s="49" t="s">
        <v>95</v>
      </c>
    </row>
    <row r="142" spans="1:16" s="70" customFormat="1">
      <c r="A142" s="50" t="s">
        <v>107</v>
      </c>
      <c r="B142" s="53" t="s">
        <v>11</v>
      </c>
      <c r="C142" s="53">
        <v>3</v>
      </c>
      <c r="D142" s="49"/>
      <c r="E142" s="49"/>
      <c r="G142" s="98" t="s">
        <v>22</v>
      </c>
      <c r="H142" s="70">
        <v>1</v>
      </c>
      <c r="I142">
        <v>1.5</v>
      </c>
      <c r="J142">
        <v>1.5</v>
      </c>
      <c r="K142" s="55">
        <v>0.4</v>
      </c>
      <c r="L142" s="87">
        <f t="shared" si="20"/>
        <v>0.90000000000000013</v>
      </c>
    </row>
    <row r="143" spans="1:16" s="70" customFormat="1">
      <c r="A143" s="50" t="s">
        <v>108</v>
      </c>
      <c r="B143" s="53" t="s">
        <v>11</v>
      </c>
      <c r="C143" s="53">
        <v>5</v>
      </c>
      <c r="D143" s="49"/>
      <c r="E143" s="49"/>
      <c r="G143" s="98" t="s">
        <v>22</v>
      </c>
      <c r="H143" s="70">
        <v>1</v>
      </c>
      <c r="I143">
        <v>1.5</v>
      </c>
      <c r="J143">
        <v>1.5</v>
      </c>
      <c r="K143" s="55">
        <v>0.4</v>
      </c>
      <c r="L143" s="87">
        <f t="shared" si="20"/>
        <v>0.90000000000000013</v>
      </c>
      <c r="M143" s="49" t="s">
        <v>95</v>
      </c>
    </row>
    <row r="144" spans="1:16" s="70" customFormat="1">
      <c r="A144" s="50" t="s">
        <v>109</v>
      </c>
      <c r="B144" s="53" t="s">
        <v>11</v>
      </c>
      <c r="C144" s="53">
        <v>6</v>
      </c>
      <c r="D144" s="49"/>
      <c r="E144" s="49"/>
      <c r="G144" s="98" t="s">
        <v>22</v>
      </c>
      <c r="H144" s="70">
        <v>1</v>
      </c>
      <c r="I144">
        <v>1.2</v>
      </c>
      <c r="J144">
        <v>1.2</v>
      </c>
      <c r="K144" s="55">
        <v>0.3</v>
      </c>
      <c r="L144" s="87">
        <f t="shared" si="20"/>
        <v>0.432</v>
      </c>
    </row>
    <row r="145" spans="1:15" s="70" customFormat="1">
      <c r="A145" s="50" t="s">
        <v>109</v>
      </c>
      <c r="B145" s="53" t="s">
        <v>11</v>
      </c>
      <c r="C145" s="53">
        <v>7</v>
      </c>
      <c r="D145" s="49"/>
      <c r="E145" s="49"/>
      <c r="G145" s="98" t="s">
        <v>22</v>
      </c>
      <c r="H145" s="70">
        <v>1</v>
      </c>
      <c r="I145">
        <v>1.2</v>
      </c>
      <c r="J145">
        <v>1.2</v>
      </c>
      <c r="K145" s="55">
        <v>0.3</v>
      </c>
      <c r="L145" s="87">
        <f t="shared" si="20"/>
        <v>0.432</v>
      </c>
    </row>
    <row r="146" spans="1:15" s="70" customFormat="1">
      <c r="A146" s="50" t="s">
        <v>109</v>
      </c>
      <c r="B146" s="53" t="s">
        <v>11</v>
      </c>
      <c r="C146" s="53">
        <v>8</v>
      </c>
      <c r="D146" s="49"/>
      <c r="E146" s="49"/>
      <c r="G146" s="98" t="s">
        <v>22</v>
      </c>
      <c r="H146" s="70">
        <v>1</v>
      </c>
      <c r="I146">
        <v>1.2</v>
      </c>
      <c r="J146">
        <v>1.2</v>
      </c>
      <c r="K146" s="55">
        <v>0.3</v>
      </c>
      <c r="L146" s="87">
        <f t="shared" si="20"/>
        <v>0.432</v>
      </c>
    </row>
    <row r="147" spans="1:15" s="70" customFormat="1" ht="16.2" customHeight="1">
      <c r="A147" s="137" t="s">
        <v>41</v>
      </c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80">
        <f>SUM(L124:L146)</f>
        <v>14.601000000000004</v>
      </c>
    </row>
    <row r="148" spans="1:15" s="70" customFormat="1">
      <c r="A148" s="138" t="s">
        <v>96</v>
      </c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</row>
    <row r="149" spans="1:15" s="70" customFormat="1">
      <c r="A149" s="2" t="s">
        <v>2</v>
      </c>
      <c r="B149" s="2" t="s">
        <v>3</v>
      </c>
      <c r="C149" s="2" t="s">
        <v>12</v>
      </c>
      <c r="D149" s="82"/>
      <c r="E149" s="73"/>
      <c r="F149" s="73"/>
      <c r="G149" s="98"/>
      <c r="K149" s="70" t="str">
        <f t="shared" ref="K149" si="21">IF(I149=6,G149*H149*J149,"")</f>
        <v/>
      </c>
      <c r="L149" s="70" t="str">
        <f t="shared" ref="L149" si="22">IF(I149=8,G149*H149*J149,"")</f>
        <v/>
      </c>
      <c r="M149" s="70" t="str">
        <f t="shared" ref="M149" si="23">IF(I149=10,G149*H149*J149,"")</f>
        <v/>
      </c>
      <c r="N149" s="70" t="str">
        <f t="shared" ref="N149" si="24">IF(I149=12,G149*H149*J149,"")</f>
        <v/>
      </c>
      <c r="O149" s="70" t="str">
        <f t="shared" ref="O149" si="25">IF(I149=14,G149*H149*J149,"")</f>
        <v/>
      </c>
    </row>
    <row r="150" spans="1:15" s="70" customFormat="1">
      <c r="A150" s="71" t="s">
        <v>7</v>
      </c>
      <c r="B150" s="72" t="s">
        <v>70</v>
      </c>
      <c r="C150" s="89" t="s">
        <v>116</v>
      </c>
      <c r="D150" s="98"/>
      <c r="E150" s="98"/>
      <c r="F150" s="98"/>
      <c r="G150" s="98" t="s">
        <v>22</v>
      </c>
      <c r="H150" s="70">
        <v>1</v>
      </c>
      <c r="I150" s="73">
        <v>4.78</v>
      </c>
      <c r="J150" s="73">
        <v>0.5</v>
      </c>
      <c r="K150" s="73">
        <v>0.2</v>
      </c>
      <c r="L150" s="70">
        <f>K150*J150*I150*H150</f>
        <v>0.47800000000000004</v>
      </c>
    </row>
    <row r="151" spans="1:15" s="70" customFormat="1">
      <c r="A151" s="71" t="s">
        <v>7</v>
      </c>
      <c r="B151" s="72" t="s">
        <v>110</v>
      </c>
      <c r="C151" s="89" t="s">
        <v>116</v>
      </c>
      <c r="D151" s="98"/>
      <c r="E151" s="98"/>
      <c r="F151" s="98"/>
      <c r="G151" s="98" t="s">
        <v>22</v>
      </c>
      <c r="H151" s="70">
        <v>1</v>
      </c>
      <c r="I151" s="73">
        <v>2.65</v>
      </c>
      <c r="J151" s="73">
        <v>0.5</v>
      </c>
      <c r="K151" s="73">
        <v>0.2</v>
      </c>
      <c r="L151" s="70">
        <f t="shared" ref="L151:L168" si="26">K151*J151*I151*H151</f>
        <v>0.26500000000000001</v>
      </c>
    </row>
    <row r="152" spans="1:15" s="70" customFormat="1">
      <c r="A152" s="71" t="s">
        <v>7</v>
      </c>
      <c r="B152" s="72" t="s">
        <v>111</v>
      </c>
      <c r="C152" s="89" t="s">
        <v>116</v>
      </c>
      <c r="D152" s="98"/>
      <c r="E152" s="98"/>
      <c r="F152" s="98"/>
      <c r="G152" s="98" t="s">
        <v>22</v>
      </c>
      <c r="H152" s="70">
        <v>1</v>
      </c>
      <c r="I152" s="73">
        <v>4.5999999999999996</v>
      </c>
      <c r="J152" s="73">
        <v>0.5</v>
      </c>
      <c r="K152" s="73">
        <v>0.2</v>
      </c>
      <c r="L152" s="70">
        <f t="shared" si="26"/>
        <v>0.45999999999999996</v>
      </c>
    </row>
    <row r="153" spans="1:15" s="70" customFormat="1">
      <c r="A153" s="71" t="s">
        <v>8</v>
      </c>
      <c r="B153" s="72" t="s">
        <v>71</v>
      </c>
      <c r="C153" s="89" t="s">
        <v>14</v>
      </c>
      <c r="D153" s="98"/>
      <c r="E153" s="98"/>
      <c r="F153" s="98"/>
      <c r="G153" s="98" t="s">
        <v>22</v>
      </c>
      <c r="H153" s="70">
        <v>1</v>
      </c>
      <c r="I153" s="73">
        <v>2.48</v>
      </c>
      <c r="J153" s="73">
        <v>0.4</v>
      </c>
      <c r="K153" s="73">
        <v>0.2</v>
      </c>
      <c r="L153" s="70">
        <f t="shared" si="26"/>
        <v>0.19840000000000005</v>
      </c>
    </row>
    <row r="154" spans="1:15" s="70" customFormat="1">
      <c r="A154" s="71" t="s">
        <v>8</v>
      </c>
      <c r="B154" s="72" t="s">
        <v>72</v>
      </c>
      <c r="C154" s="89" t="s">
        <v>14</v>
      </c>
      <c r="D154" s="98"/>
      <c r="E154" s="98"/>
      <c r="F154" s="98"/>
      <c r="G154" s="98" t="s">
        <v>22</v>
      </c>
      <c r="H154" s="70">
        <v>1</v>
      </c>
      <c r="I154" s="73">
        <v>3.7</v>
      </c>
      <c r="J154" s="73">
        <v>0.4</v>
      </c>
      <c r="K154" s="73">
        <v>0.2</v>
      </c>
      <c r="L154" s="70">
        <f t="shared" si="26"/>
        <v>0.2960000000000001</v>
      </c>
    </row>
    <row r="155" spans="1:15" s="70" customFormat="1">
      <c r="A155" s="71" t="s">
        <v>8</v>
      </c>
      <c r="B155" s="72" t="s">
        <v>73</v>
      </c>
      <c r="C155" s="89" t="s">
        <v>14</v>
      </c>
      <c r="D155" s="98"/>
      <c r="E155" s="98"/>
      <c r="F155" s="98"/>
      <c r="G155" s="98" t="s">
        <v>22</v>
      </c>
      <c r="H155" s="70">
        <v>1</v>
      </c>
      <c r="I155" s="73">
        <v>3.7</v>
      </c>
      <c r="J155" s="73">
        <v>0.4</v>
      </c>
      <c r="K155" s="73">
        <v>0.2</v>
      </c>
      <c r="L155" s="70">
        <f t="shared" si="26"/>
        <v>0.2960000000000001</v>
      </c>
    </row>
    <row r="156" spans="1:15" s="70" customFormat="1">
      <c r="A156" s="71" t="s">
        <v>8</v>
      </c>
      <c r="B156" s="72" t="s">
        <v>69</v>
      </c>
      <c r="C156" s="89" t="s">
        <v>14</v>
      </c>
      <c r="D156" s="98"/>
      <c r="E156" s="98"/>
      <c r="F156" s="98"/>
      <c r="G156" s="98" t="s">
        <v>22</v>
      </c>
      <c r="H156" s="70">
        <v>1</v>
      </c>
      <c r="I156" s="73">
        <v>2.38</v>
      </c>
      <c r="J156" s="73">
        <v>0.4</v>
      </c>
      <c r="K156" s="73">
        <v>0.2</v>
      </c>
      <c r="L156" s="70">
        <f t="shared" si="26"/>
        <v>0.19040000000000004</v>
      </c>
    </row>
    <row r="157" spans="1:15" s="70" customFormat="1">
      <c r="A157" s="71" t="s">
        <v>9</v>
      </c>
      <c r="B157" s="72" t="s">
        <v>70</v>
      </c>
      <c r="C157" s="89" t="s">
        <v>116</v>
      </c>
      <c r="D157" s="98"/>
      <c r="E157" s="98"/>
      <c r="F157" s="98"/>
      <c r="G157" s="98" t="s">
        <v>22</v>
      </c>
      <c r="H157" s="70">
        <v>1</v>
      </c>
      <c r="I157" s="73">
        <v>4.78</v>
      </c>
      <c r="J157" s="73">
        <v>0.5</v>
      </c>
      <c r="K157" s="73">
        <v>0.2</v>
      </c>
      <c r="L157" s="70">
        <f t="shared" si="26"/>
        <v>0.47800000000000004</v>
      </c>
    </row>
    <row r="158" spans="1:15" s="70" customFormat="1">
      <c r="A158" s="71" t="s">
        <v>9</v>
      </c>
      <c r="B158" s="72" t="s">
        <v>110</v>
      </c>
      <c r="C158" s="89" t="s">
        <v>116</v>
      </c>
      <c r="D158" s="98"/>
      <c r="E158" s="98"/>
      <c r="F158" s="98"/>
      <c r="G158" s="98" t="s">
        <v>22</v>
      </c>
      <c r="H158" s="70">
        <v>1</v>
      </c>
      <c r="I158" s="73">
        <v>2.65</v>
      </c>
      <c r="J158" s="73">
        <v>0.5</v>
      </c>
      <c r="K158" s="73">
        <v>0.2</v>
      </c>
      <c r="L158" s="70">
        <f t="shared" si="26"/>
        <v>0.26500000000000001</v>
      </c>
    </row>
    <row r="159" spans="1:15" s="70" customFormat="1">
      <c r="A159" s="71" t="s">
        <v>25</v>
      </c>
      <c r="B159" s="72" t="s">
        <v>91</v>
      </c>
      <c r="C159" s="89" t="s">
        <v>14</v>
      </c>
      <c r="G159" s="98" t="s">
        <v>22</v>
      </c>
      <c r="H159" s="70">
        <v>1</v>
      </c>
      <c r="I159" s="73">
        <f>3.82+0.4+0.82</f>
        <v>5.04</v>
      </c>
      <c r="J159" s="73">
        <v>0.4</v>
      </c>
      <c r="K159" s="73">
        <v>0.2</v>
      </c>
      <c r="L159" s="70">
        <f t="shared" si="26"/>
        <v>0.40320000000000006</v>
      </c>
    </row>
    <row r="160" spans="1:15" s="70" customFormat="1">
      <c r="A160" s="89" t="s">
        <v>25</v>
      </c>
      <c r="B160" s="72" t="s">
        <v>79</v>
      </c>
      <c r="C160" s="89" t="s">
        <v>14</v>
      </c>
      <c r="D160" s="98"/>
      <c r="E160" s="98"/>
      <c r="F160" s="98"/>
      <c r="G160" s="98" t="s">
        <v>22</v>
      </c>
      <c r="H160" s="70">
        <v>1</v>
      </c>
      <c r="I160" s="73">
        <v>5.04</v>
      </c>
      <c r="J160" s="73">
        <v>0.4</v>
      </c>
      <c r="K160" s="73">
        <v>0.2</v>
      </c>
      <c r="L160" s="70">
        <f t="shared" si="26"/>
        <v>0.40320000000000006</v>
      </c>
    </row>
    <row r="161" spans="1:16" s="70" customFormat="1">
      <c r="A161" s="71" t="s">
        <v>113</v>
      </c>
      <c r="B161" s="72" t="s">
        <v>83</v>
      </c>
      <c r="C161" s="89" t="s">
        <v>116</v>
      </c>
      <c r="D161" s="98"/>
      <c r="E161" s="98"/>
      <c r="F161" s="98"/>
      <c r="G161" s="98" t="s">
        <v>22</v>
      </c>
      <c r="H161" s="70">
        <v>1</v>
      </c>
      <c r="I161" s="73">
        <f>3.82+0.4+0.82+1.08</f>
        <v>6.12</v>
      </c>
      <c r="J161" s="73">
        <v>0.5</v>
      </c>
      <c r="K161" s="73">
        <v>0.2</v>
      </c>
      <c r="L161" s="70">
        <f t="shared" si="26"/>
        <v>0.6120000000000001</v>
      </c>
    </row>
    <row r="162" spans="1:16" s="70" customFormat="1">
      <c r="A162" s="71" t="s">
        <v>113</v>
      </c>
      <c r="B162" s="72" t="s">
        <v>87</v>
      </c>
      <c r="C162" s="89" t="s">
        <v>116</v>
      </c>
      <c r="G162" s="98" t="s">
        <v>22</v>
      </c>
      <c r="H162" s="70">
        <v>1</v>
      </c>
      <c r="I162" s="73">
        <v>6.12</v>
      </c>
      <c r="J162" s="73">
        <v>0.5</v>
      </c>
      <c r="K162" s="73">
        <v>0.2</v>
      </c>
      <c r="L162" s="70">
        <f t="shared" si="26"/>
        <v>0.6120000000000001</v>
      </c>
    </row>
    <row r="163" spans="1:16" s="70" customFormat="1">
      <c r="A163" s="89" t="s">
        <v>113</v>
      </c>
      <c r="B163" s="72" t="s">
        <v>112</v>
      </c>
      <c r="C163" s="89" t="s">
        <v>116</v>
      </c>
      <c r="D163" s="98"/>
      <c r="E163" s="98"/>
      <c r="F163" s="98"/>
      <c r="G163" s="98" t="s">
        <v>22</v>
      </c>
      <c r="H163" s="70">
        <v>1</v>
      </c>
      <c r="I163" s="73">
        <v>6.12</v>
      </c>
      <c r="J163" s="73">
        <v>0.5</v>
      </c>
      <c r="K163" s="73">
        <v>0.2</v>
      </c>
      <c r="L163" s="70">
        <f t="shared" si="26"/>
        <v>0.6120000000000001</v>
      </c>
    </row>
    <row r="164" spans="1:16" s="70" customFormat="1">
      <c r="A164" s="71" t="s">
        <v>114</v>
      </c>
      <c r="B164" s="72" t="s">
        <v>91</v>
      </c>
      <c r="C164" s="89" t="s">
        <v>14</v>
      </c>
      <c r="D164" s="98"/>
      <c r="E164" s="98"/>
      <c r="F164" s="98"/>
      <c r="G164" s="98" t="s">
        <v>22</v>
      </c>
      <c r="H164" s="70">
        <v>1</v>
      </c>
      <c r="I164" s="73">
        <f>1.8+0.15+3.82</f>
        <v>5.77</v>
      </c>
      <c r="J164" s="73">
        <v>0.4</v>
      </c>
      <c r="K164" s="73">
        <v>0.2</v>
      </c>
      <c r="L164" s="70">
        <f t="shared" si="26"/>
        <v>0.46160000000000007</v>
      </c>
    </row>
    <row r="165" spans="1:16" s="70" customFormat="1">
      <c r="A165" s="71" t="s">
        <v>114</v>
      </c>
      <c r="B165" s="72" t="s">
        <v>82</v>
      </c>
      <c r="C165" s="89" t="s">
        <v>14</v>
      </c>
      <c r="D165" s="98"/>
      <c r="E165" s="98"/>
      <c r="F165" s="98"/>
      <c r="G165" s="98" t="s">
        <v>22</v>
      </c>
      <c r="H165" s="70">
        <v>1</v>
      </c>
      <c r="I165" s="73">
        <v>5.77</v>
      </c>
      <c r="J165" s="73">
        <v>0.4</v>
      </c>
      <c r="K165" s="73">
        <v>0.2</v>
      </c>
      <c r="L165" s="70">
        <f t="shared" si="26"/>
        <v>0.46160000000000007</v>
      </c>
    </row>
    <row r="166" spans="1:16" s="70" customFormat="1">
      <c r="A166" s="71" t="s">
        <v>115</v>
      </c>
      <c r="B166" s="72" t="s">
        <v>83</v>
      </c>
      <c r="C166" s="89" t="s">
        <v>116</v>
      </c>
      <c r="D166" s="98"/>
      <c r="E166" s="98"/>
      <c r="F166" s="98"/>
      <c r="G166" s="98" t="s">
        <v>22</v>
      </c>
      <c r="H166" s="70">
        <v>1</v>
      </c>
      <c r="I166" s="73">
        <f>3.82+0.15</f>
        <v>3.9699999999999998</v>
      </c>
      <c r="J166" s="73">
        <v>0.5</v>
      </c>
      <c r="K166" s="73">
        <v>0.2</v>
      </c>
      <c r="L166" s="70">
        <f t="shared" si="26"/>
        <v>0.39700000000000002</v>
      </c>
    </row>
    <row r="167" spans="1:16" s="70" customFormat="1">
      <c r="A167" s="71" t="s">
        <v>115</v>
      </c>
      <c r="B167" s="72" t="s">
        <v>87</v>
      </c>
      <c r="C167" s="89" t="s">
        <v>116</v>
      </c>
      <c r="D167" s="98"/>
      <c r="E167" s="98"/>
      <c r="F167" s="98"/>
      <c r="G167" s="98" t="s">
        <v>22</v>
      </c>
      <c r="H167" s="70">
        <v>1</v>
      </c>
      <c r="I167" s="73">
        <f>0.15+3.82</f>
        <v>3.9699999999999998</v>
      </c>
      <c r="J167" s="73">
        <v>0.5</v>
      </c>
      <c r="K167" s="73">
        <v>0.2</v>
      </c>
      <c r="L167" s="70">
        <f t="shared" si="26"/>
        <v>0.39700000000000002</v>
      </c>
    </row>
    <row r="168" spans="1:16" s="70" customFormat="1">
      <c r="A168" s="71" t="s">
        <v>115</v>
      </c>
      <c r="B168" s="72" t="s">
        <v>112</v>
      </c>
      <c r="C168" s="89" t="s">
        <v>116</v>
      </c>
      <c r="D168" s="98"/>
      <c r="E168" s="98"/>
      <c r="F168" s="98"/>
      <c r="G168" s="98" t="s">
        <v>22</v>
      </c>
      <c r="H168" s="70">
        <v>1</v>
      </c>
      <c r="I168" s="73">
        <f>0.15+3.82</f>
        <v>3.9699999999999998</v>
      </c>
      <c r="J168" s="73">
        <v>0.5</v>
      </c>
      <c r="K168" s="73">
        <v>0.2</v>
      </c>
      <c r="L168" s="70">
        <f t="shared" si="26"/>
        <v>0.39700000000000002</v>
      </c>
    </row>
    <row r="169" spans="1:16" s="70" customFormat="1" ht="16.2" customHeight="1">
      <c r="A169" s="137" t="s">
        <v>41</v>
      </c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95">
        <f>SUM(L150:L168)</f>
        <v>7.6834000000000007</v>
      </c>
      <c r="N169" s="126">
        <f>M169+M189+M218+M504+M506</f>
        <v>56.493059000000002</v>
      </c>
      <c r="P169" s="98"/>
    </row>
    <row r="170" spans="1:16" s="70" customFormat="1">
      <c r="A170" s="138" t="s">
        <v>97</v>
      </c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</row>
    <row r="171" spans="1:16" s="70" customFormat="1">
      <c r="A171" s="2" t="s">
        <v>2</v>
      </c>
      <c r="B171" s="2" t="s">
        <v>3</v>
      </c>
      <c r="C171" s="2" t="s">
        <v>12</v>
      </c>
      <c r="D171" s="82"/>
      <c r="E171" s="73"/>
      <c r="F171" s="73"/>
      <c r="G171" s="98"/>
    </row>
    <row r="172" spans="1:16" s="70" customFormat="1">
      <c r="A172" s="72" t="s">
        <v>4</v>
      </c>
      <c r="B172" s="72" t="s">
        <v>71</v>
      </c>
      <c r="C172" s="73" t="s">
        <v>84</v>
      </c>
      <c r="D172" s="98"/>
      <c r="E172" s="98"/>
      <c r="F172" s="98"/>
      <c r="G172" s="98" t="s">
        <v>22</v>
      </c>
      <c r="H172" s="70">
        <v>1</v>
      </c>
      <c r="I172" s="73">
        <v>2.48</v>
      </c>
      <c r="J172" s="73">
        <v>0.4</v>
      </c>
      <c r="K172" s="73">
        <v>0.2</v>
      </c>
      <c r="L172" s="70">
        <f>K172*J172*I172*H172</f>
        <v>0.19840000000000005</v>
      </c>
    </row>
    <row r="173" spans="1:16" s="70" customFormat="1">
      <c r="A173" s="72" t="s">
        <v>4</v>
      </c>
      <c r="B173" s="72" t="s">
        <v>117</v>
      </c>
      <c r="C173" s="73" t="s">
        <v>84</v>
      </c>
      <c r="D173" s="98"/>
      <c r="E173" s="98"/>
      <c r="F173" s="98"/>
      <c r="G173" s="98" t="s">
        <v>22</v>
      </c>
      <c r="H173" s="70">
        <v>1</v>
      </c>
      <c r="I173" s="73">
        <v>7.25</v>
      </c>
      <c r="J173" s="73">
        <v>0.4</v>
      </c>
      <c r="K173" s="73">
        <v>0.2</v>
      </c>
      <c r="L173" s="70">
        <f t="shared" ref="L173:L188" si="27">K173*J173*I173*H173</f>
        <v>0.58000000000000007</v>
      </c>
    </row>
    <row r="174" spans="1:16" s="70" customFormat="1">
      <c r="A174" s="72" t="s">
        <v>4</v>
      </c>
      <c r="B174" s="72" t="s">
        <v>69</v>
      </c>
      <c r="C174" s="73" t="s">
        <v>84</v>
      </c>
      <c r="D174" s="98"/>
      <c r="E174" s="98"/>
      <c r="F174" s="98"/>
      <c r="G174" s="98" t="s">
        <v>22</v>
      </c>
      <c r="H174" s="70">
        <v>1</v>
      </c>
      <c r="I174" s="73">
        <v>2.38</v>
      </c>
      <c r="J174" s="73">
        <v>0.4</v>
      </c>
      <c r="K174" s="73">
        <v>0.2</v>
      </c>
      <c r="L174" s="70">
        <f t="shared" si="27"/>
        <v>0.19040000000000004</v>
      </c>
    </row>
    <row r="175" spans="1:16" s="70" customFormat="1">
      <c r="A175" s="72" t="s">
        <v>4</v>
      </c>
      <c r="B175" s="72" t="s">
        <v>70</v>
      </c>
      <c r="C175" s="73" t="s">
        <v>84</v>
      </c>
      <c r="D175" s="98"/>
      <c r="E175" s="98"/>
      <c r="F175" s="98"/>
      <c r="G175" s="98" t="s">
        <v>22</v>
      </c>
      <c r="H175" s="70">
        <v>1</v>
      </c>
      <c r="I175" s="73">
        <v>4.78</v>
      </c>
      <c r="J175" s="73">
        <v>0.4</v>
      </c>
      <c r="K175" s="73">
        <v>0.2</v>
      </c>
      <c r="L175" s="70">
        <f t="shared" si="27"/>
        <v>0.38240000000000007</v>
      </c>
    </row>
    <row r="176" spans="1:16" s="70" customFormat="1">
      <c r="A176" s="72" t="s">
        <v>4</v>
      </c>
      <c r="B176" s="72" t="s">
        <v>110</v>
      </c>
      <c r="C176" s="73" t="s">
        <v>84</v>
      </c>
      <c r="D176" s="98"/>
      <c r="E176" s="98"/>
      <c r="F176" s="98"/>
      <c r="G176" s="98" t="s">
        <v>22</v>
      </c>
      <c r="H176" s="70">
        <v>1</v>
      </c>
      <c r="I176" s="73">
        <v>2.65</v>
      </c>
      <c r="J176" s="73">
        <v>0.4</v>
      </c>
      <c r="K176" s="73">
        <v>0.2</v>
      </c>
      <c r="L176" s="70">
        <f t="shared" si="27"/>
        <v>0.21200000000000002</v>
      </c>
    </row>
    <row r="177" spans="1:20" s="70" customFormat="1">
      <c r="A177" s="72" t="s">
        <v>4</v>
      </c>
      <c r="B177" s="72" t="s">
        <v>111</v>
      </c>
      <c r="C177" s="73" t="s">
        <v>84</v>
      </c>
      <c r="D177" s="98"/>
      <c r="E177" s="98"/>
      <c r="F177" s="98"/>
      <c r="G177" s="98" t="s">
        <v>22</v>
      </c>
      <c r="H177" s="70">
        <v>1</v>
      </c>
      <c r="I177" s="73">
        <v>4.5999999999999996</v>
      </c>
      <c r="J177" s="73">
        <v>0.4</v>
      </c>
      <c r="K177" s="73">
        <v>0.2</v>
      </c>
      <c r="L177" s="70">
        <f t="shared" si="27"/>
        <v>0.36800000000000005</v>
      </c>
    </row>
    <row r="178" spans="1:20" s="70" customFormat="1">
      <c r="A178" s="72" t="s">
        <v>11</v>
      </c>
      <c r="B178" s="72" t="s">
        <v>71</v>
      </c>
      <c r="C178" s="73" t="s">
        <v>84</v>
      </c>
      <c r="D178" s="98"/>
      <c r="E178" s="98"/>
      <c r="F178" s="98"/>
      <c r="G178" s="98" t="s">
        <v>22</v>
      </c>
      <c r="H178" s="70">
        <v>1</v>
      </c>
      <c r="I178" s="73">
        <v>2.48</v>
      </c>
      <c r="J178" s="73">
        <v>0.4</v>
      </c>
      <c r="K178" s="73">
        <v>0.2</v>
      </c>
      <c r="L178" s="70">
        <f t="shared" si="27"/>
        <v>0.19840000000000005</v>
      </c>
    </row>
    <row r="179" spans="1:20" s="70" customFormat="1">
      <c r="A179" s="89" t="s">
        <v>11</v>
      </c>
      <c r="B179" s="72" t="s">
        <v>117</v>
      </c>
      <c r="C179" s="73" t="s">
        <v>84</v>
      </c>
      <c r="D179" s="98"/>
      <c r="E179" s="98"/>
      <c r="F179" s="98"/>
      <c r="G179" s="98" t="s">
        <v>22</v>
      </c>
      <c r="H179" s="70">
        <v>1</v>
      </c>
      <c r="I179" s="73">
        <v>7.25</v>
      </c>
      <c r="J179" s="73">
        <v>0.4</v>
      </c>
      <c r="K179" s="73">
        <v>0.2</v>
      </c>
      <c r="L179" s="70">
        <f t="shared" si="27"/>
        <v>0.58000000000000007</v>
      </c>
    </row>
    <row r="180" spans="1:20" s="70" customFormat="1">
      <c r="A180" s="89" t="s">
        <v>11</v>
      </c>
      <c r="B180" s="72" t="s">
        <v>69</v>
      </c>
      <c r="C180" s="73" t="s">
        <v>84</v>
      </c>
      <c r="D180" s="98"/>
      <c r="E180" s="98"/>
      <c r="F180" s="98"/>
      <c r="G180" s="98" t="s">
        <v>22</v>
      </c>
      <c r="H180" s="70">
        <v>1</v>
      </c>
      <c r="I180" s="73">
        <v>2.38</v>
      </c>
      <c r="J180" s="73">
        <v>0.4</v>
      </c>
      <c r="K180" s="73">
        <v>0.2</v>
      </c>
      <c r="L180" s="70">
        <f t="shared" si="27"/>
        <v>0.19040000000000004</v>
      </c>
    </row>
    <row r="181" spans="1:20" s="70" customFormat="1">
      <c r="A181" s="89" t="s">
        <v>11</v>
      </c>
      <c r="B181" s="72" t="s">
        <v>70</v>
      </c>
      <c r="C181" s="73" t="s">
        <v>84</v>
      </c>
      <c r="D181" s="98"/>
      <c r="E181" s="98"/>
      <c r="F181" s="98"/>
      <c r="G181" s="98" t="s">
        <v>22</v>
      </c>
      <c r="H181" s="70">
        <v>1</v>
      </c>
      <c r="I181" s="73">
        <v>4.78</v>
      </c>
      <c r="J181" s="73">
        <v>0.4</v>
      </c>
      <c r="K181" s="73">
        <v>0.2</v>
      </c>
      <c r="L181" s="70">
        <f t="shared" si="27"/>
        <v>0.38240000000000007</v>
      </c>
    </row>
    <row r="182" spans="1:20" s="70" customFormat="1">
      <c r="A182" s="89" t="s">
        <v>11</v>
      </c>
      <c r="B182" s="72" t="s">
        <v>110</v>
      </c>
      <c r="C182" s="73" t="s">
        <v>84</v>
      </c>
      <c r="D182" s="98"/>
      <c r="E182" s="98"/>
      <c r="F182" s="98"/>
      <c r="G182" s="98" t="s">
        <v>22</v>
      </c>
      <c r="H182" s="70">
        <v>1</v>
      </c>
      <c r="I182" s="73">
        <v>2.65</v>
      </c>
      <c r="J182" s="73">
        <v>0.4</v>
      </c>
      <c r="K182" s="73">
        <v>0.2</v>
      </c>
      <c r="L182" s="70">
        <f t="shared" si="27"/>
        <v>0.21200000000000002</v>
      </c>
    </row>
    <row r="183" spans="1:20" s="70" customFormat="1">
      <c r="A183" s="89" t="s">
        <v>11</v>
      </c>
      <c r="B183" s="72" t="s">
        <v>111</v>
      </c>
      <c r="C183" s="73" t="s">
        <v>84</v>
      </c>
      <c r="D183" s="98"/>
      <c r="E183" s="98"/>
      <c r="F183" s="98"/>
      <c r="G183" s="98" t="s">
        <v>22</v>
      </c>
      <c r="H183" s="70">
        <v>1</v>
      </c>
      <c r="I183" s="73">
        <v>4.5999999999999996</v>
      </c>
      <c r="J183" s="73">
        <v>0.4</v>
      </c>
      <c r="K183" s="73">
        <v>0.2</v>
      </c>
      <c r="L183" s="70">
        <f t="shared" si="27"/>
        <v>0.36800000000000005</v>
      </c>
    </row>
    <row r="184" spans="1:20" s="70" customFormat="1">
      <c r="A184" s="89" t="s">
        <v>25</v>
      </c>
      <c r="B184" s="72" t="s">
        <v>80</v>
      </c>
      <c r="C184" s="73" t="s">
        <v>84</v>
      </c>
      <c r="D184" s="98"/>
      <c r="E184" s="98"/>
      <c r="F184" s="98"/>
      <c r="G184" s="98" t="s">
        <v>22</v>
      </c>
      <c r="H184" s="70">
        <v>1</v>
      </c>
      <c r="I184" s="73">
        <f>3.82+0.4+0.82</f>
        <v>5.04</v>
      </c>
      <c r="J184" s="73">
        <v>0.4</v>
      </c>
      <c r="K184" s="73">
        <v>0.2</v>
      </c>
      <c r="L184" s="70">
        <f t="shared" si="27"/>
        <v>0.40320000000000006</v>
      </c>
    </row>
    <row r="185" spans="1:20" s="70" customFormat="1">
      <c r="A185" s="72" t="s">
        <v>114</v>
      </c>
      <c r="B185" s="72" t="s">
        <v>80</v>
      </c>
      <c r="C185" s="73" t="s">
        <v>84</v>
      </c>
      <c r="D185" s="98"/>
      <c r="E185" s="98"/>
      <c r="F185" s="98"/>
      <c r="G185" s="98" t="s">
        <v>22</v>
      </c>
      <c r="H185" s="70">
        <v>1</v>
      </c>
      <c r="I185" s="73">
        <f>1.08+0.15+3.82</f>
        <v>5.05</v>
      </c>
      <c r="J185" s="73">
        <v>0.4</v>
      </c>
      <c r="K185" s="73">
        <v>0.2</v>
      </c>
      <c r="L185" s="70">
        <f t="shared" si="27"/>
        <v>0.40400000000000008</v>
      </c>
    </row>
    <row r="186" spans="1:20" s="70" customFormat="1">
      <c r="A186" s="72" t="s">
        <v>85</v>
      </c>
      <c r="B186" s="72" t="s">
        <v>118</v>
      </c>
      <c r="C186" s="73" t="s">
        <v>84</v>
      </c>
      <c r="D186" s="98"/>
      <c r="E186" s="98"/>
      <c r="F186" s="98"/>
      <c r="G186" s="98" t="s">
        <v>22</v>
      </c>
      <c r="H186" s="70">
        <v>1</v>
      </c>
      <c r="I186" s="73">
        <f>3.82+0.4</f>
        <v>4.22</v>
      </c>
      <c r="J186" s="73">
        <v>0.4</v>
      </c>
      <c r="K186" s="73">
        <v>0.2</v>
      </c>
      <c r="L186" s="70">
        <f t="shared" si="27"/>
        <v>0.33760000000000007</v>
      </c>
    </row>
    <row r="187" spans="1:20" s="70" customFormat="1">
      <c r="A187" s="89" t="s">
        <v>119</v>
      </c>
      <c r="B187" s="72" t="s">
        <v>118</v>
      </c>
      <c r="C187" s="73" t="s">
        <v>84</v>
      </c>
      <c r="D187" s="98"/>
      <c r="E187" s="98"/>
      <c r="F187" s="98"/>
      <c r="G187" s="98" t="s">
        <v>22</v>
      </c>
      <c r="H187" s="70">
        <v>1</v>
      </c>
      <c r="I187" s="73">
        <f>0.82+1.08</f>
        <v>1.9</v>
      </c>
      <c r="J187" s="73">
        <v>0.4</v>
      </c>
      <c r="K187" s="73">
        <v>0.2</v>
      </c>
      <c r="L187" s="70">
        <f t="shared" si="27"/>
        <v>0.15200000000000002</v>
      </c>
    </row>
    <row r="188" spans="1:20" s="70" customFormat="1">
      <c r="A188" s="89" t="s">
        <v>115</v>
      </c>
      <c r="B188" s="72" t="s">
        <v>118</v>
      </c>
      <c r="C188" s="73" t="s">
        <v>84</v>
      </c>
      <c r="D188" s="98"/>
      <c r="E188" s="98"/>
      <c r="F188" s="98"/>
      <c r="G188" s="98" t="s">
        <v>22</v>
      </c>
      <c r="H188" s="70">
        <v>1</v>
      </c>
      <c r="I188" s="73">
        <f>0.15+3.82</f>
        <v>3.9699999999999998</v>
      </c>
      <c r="J188" s="73">
        <v>0.4</v>
      </c>
      <c r="K188" s="73">
        <v>0.2</v>
      </c>
      <c r="L188" s="70">
        <f t="shared" si="27"/>
        <v>0.31760000000000005</v>
      </c>
    </row>
    <row r="189" spans="1:20" s="70" customFormat="1" ht="16.2" customHeight="1">
      <c r="A189" s="137" t="s">
        <v>41</v>
      </c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95">
        <f>SUM(L172:L188)</f>
        <v>5.4768000000000008</v>
      </c>
      <c r="P189" s="98"/>
    </row>
    <row r="190" spans="1:20">
      <c r="A190" s="138" t="s">
        <v>68</v>
      </c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</row>
    <row r="191" spans="1:20">
      <c r="A191" s="63"/>
      <c r="B191" s="2" t="s">
        <v>2</v>
      </c>
      <c r="C191" s="2" t="s">
        <v>3</v>
      </c>
      <c r="D191" s="2" t="s">
        <v>12</v>
      </c>
      <c r="E191" s="43"/>
      <c r="F191" s="43"/>
      <c r="G191" s="22"/>
      <c r="H191" s="55"/>
      <c r="I191" s="55"/>
      <c r="J191" s="55"/>
      <c r="K191" s="55"/>
      <c r="L191" s="55"/>
      <c r="M191" s="55"/>
    </row>
    <row r="192" spans="1:20">
      <c r="A192"/>
      <c r="B192" s="53" t="s">
        <v>4</v>
      </c>
      <c r="C192" s="53">
        <v>1</v>
      </c>
      <c r="D192" s="43" t="s">
        <v>43</v>
      </c>
      <c r="G192" s="22" t="s">
        <v>22</v>
      </c>
      <c r="H192" s="55">
        <v>1</v>
      </c>
      <c r="I192" s="43">
        <v>0.3</v>
      </c>
      <c r="J192" s="43">
        <v>0.3</v>
      </c>
      <c r="K192" s="54">
        <f>$N$13-0.13-0.1-0.25</f>
        <v>1</v>
      </c>
      <c r="L192" s="55">
        <f>K192*J192*I192*H192</f>
        <v>0.09</v>
      </c>
      <c r="M192" s="55"/>
      <c r="T192" s="43"/>
    </row>
    <row r="193" spans="1:20">
      <c r="A193"/>
      <c r="B193" s="53" t="s">
        <v>4</v>
      </c>
      <c r="C193" s="55">
        <v>2</v>
      </c>
      <c r="D193" s="43" t="s">
        <v>42</v>
      </c>
      <c r="G193" s="22" t="s">
        <v>22</v>
      </c>
      <c r="H193" s="55">
        <v>1</v>
      </c>
      <c r="I193" s="43">
        <v>0.4</v>
      </c>
      <c r="J193" s="43">
        <v>0.4</v>
      </c>
      <c r="K193" s="54">
        <f t="shared" ref="K193:K214" si="28">$N$13-0.13-0.1-0.25</f>
        <v>1</v>
      </c>
      <c r="L193" s="55">
        <f t="shared" ref="L193:L214" si="29">K193*J193*I193*H193</f>
        <v>0.16000000000000003</v>
      </c>
      <c r="M193" s="55"/>
      <c r="T193" s="43"/>
    </row>
    <row r="194" spans="1:20">
      <c r="A194"/>
      <c r="B194" s="53" t="s">
        <v>4</v>
      </c>
      <c r="C194" s="55">
        <v>4</v>
      </c>
      <c r="D194" s="43" t="s">
        <v>42</v>
      </c>
      <c r="G194" s="22" t="s">
        <v>22</v>
      </c>
      <c r="H194" s="55">
        <v>1</v>
      </c>
      <c r="I194" s="43">
        <v>0.4</v>
      </c>
      <c r="J194" s="43">
        <v>0.4</v>
      </c>
      <c r="K194" s="54">
        <f t="shared" si="28"/>
        <v>1</v>
      </c>
      <c r="L194" s="55">
        <f t="shared" si="29"/>
        <v>0.16000000000000003</v>
      </c>
      <c r="M194" s="55"/>
      <c r="T194" s="43"/>
    </row>
    <row r="195" spans="1:20">
      <c r="A195"/>
      <c r="B195" s="53" t="s">
        <v>4</v>
      </c>
      <c r="C195" s="53">
        <v>5</v>
      </c>
      <c r="D195" s="43" t="s">
        <v>43</v>
      </c>
      <c r="G195" s="22" t="s">
        <v>22</v>
      </c>
      <c r="H195" s="55">
        <v>1</v>
      </c>
      <c r="I195" s="43">
        <v>0.3</v>
      </c>
      <c r="J195" s="43">
        <v>0.3</v>
      </c>
      <c r="K195" s="54">
        <f t="shared" si="28"/>
        <v>1</v>
      </c>
      <c r="L195" s="55">
        <f t="shared" si="29"/>
        <v>0.09</v>
      </c>
      <c r="M195" s="55"/>
      <c r="T195" s="43"/>
    </row>
    <row r="196" spans="1:20">
      <c r="A196"/>
      <c r="B196" s="53" t="s">
        <v>4</v>
      </c>
      <c r="C196" s="55">
        <v>6</v>
      </c>
      <c r="D196" s="43" t="s">
        <v>24</v>
      </c>
      <c r="G196" s="22" t="s">
        <v>22</v>
      </c>
      <c r="H196" s="55">
        <v>1</v>
      </c>
      <c r="I196" s="43">
        <v>0.25</v>
      </c>
      <c r="J196" s="43">
        <v>0.35</v>
      </c>
      <c r="K196" s="54">
        <f t="shared" si="28"/>
        <v>1</v>
      </c>
      <c r="L196" s="55">
        <f t="shared" si="29"/>
        <v>8.7499999999999994E-2</v>
      </c>
      <c r="M196" s="55"/>
      <c r="T196" s="43"/>
    </row>
    <row r="197" spans="1:20">
      <c r="A197"/>
      <c r="B197" s="53" t="s">
        <v>4</v>
      </c>
      <c r="C197" s="55">
        <v>7</v>
      </c>
      <c r="D197" s="43" t="s">
        <v>24</v>
      </c>
      <c r="G197" s="22" t="s">
        <v>22</v>
      </c>
      <c r="H197" s="55">
        <v>1</v>
      </c>
      <c r="I197" s="43">
        <v>0.25</v>
      </c>
      <c r="J197" s="43">
        <v>0.35</v>
      </c>
      <c r="K197" s="54">
        <f t="shared" si="28"/>
        <v>1</v>
      </c>
      <c r="L197" s="55">
        <f t="shared" si="29"/>
        <v>8.7499999999999994E-2</v>
      </c>
      <c r="M197" s="55"/>
      <c r="T197" s="43"/>
    </row>
    <row r="198" spans="1:20">
      <c r="A198"/>
      <c r="B198" s="53" t="s">
        <v>4</v>
      </c>
      <c r="C198" s="55">
        <v>8</v>
      </c>
      <c r="D198" s="43" t="s">
        <v>24</v>
      </c>
      <c r="G198" s="22" t="s">
        <v>22</v>
      </c>
      <c r="H198" s="55">
        <v>1</v>
      </c>
      <c r="I198" s="43">
        <v>0.25</v>
      </c>
      <c r="J198" s="43">
        <v>0.35</v>
      </c>
      <c r="K198" s="54">
        <f t="shared" si="28"/>
        <v>1</v>
      </c>
      <c r="L198" s="55">
        <f t="shared" si="29"/>
        <v>8.7499999999999994E-2</v>
      </c>
      <c r="M198" s="55"/>
      <c r="T198" s="43"/>
    </row>
    <row r="199" spans="1:20">
      <c r="A199"/>
      <c r="B199" s="53" t="s">
        <v>6</v>
      </c>
      <c r="C199" s="53">
        <v>5</v>
      </c>
      <c r="D199" s="43" t="s">
        <v>44</v>
      </c>
      <c r="G199" s="22" t="s">
        <v>22</v>
      </c>
      <c r="H199" s="55">
        <v>1</v>
      </c>
      <c r="I199" s="43">
        <v>0.35</v>
      </c>
      <c r="J199" s="43">
        <v>0.35</v>
      </c>
      <c r="K199" s="54">
        <f t="shared" si="28"/>
        <v>1</v>
      </c>
      <c r="L199" s="55">
        <f t="shared" si="29"/>
        <v>0.12249999999999998</v>
      </c>
      <c r="M199" s="55"/>
      <c r="T199" s="43"/>
    </row>
    <row r="200" spans="1:20">
      <c r="A200"/>
      <c r="B200" s="53" t="s">
        <v>7</v>
      </c>
      <c r="C200" s="53">
        <v>6</v>
      </c>
      <c r="D200" s="43" t="s">
        <v>24</v>
      </c>
      <c r="G200" s="22" t="s">
        <v>22</v>
      </c>
      <c r="H200" s="55">
        <v>1</v>
      </c>
      <c r="I200" s="43">
        <v>0.25</v>
      </c>
      <c r="J200" s="43">
        <v>0.35</v>
      </c>
      <c r="K200" s="54">
        <f t="shared" si="28"/>
        <v>1</v>
      </c>
      <c r="L200" s="55">
        <f t="shared" si="29"/>
        <v>8.7499999999999994E-2</v>
      </c>
      <c r="M200" s="55"/>
      <c r="T200" s="43"/>
    </row>
    <row r="201" spans="1:20">
      <c r="A201"/>
      <c r="B201" s="53" t="s">
        <v>7</v>
      </c>
      <c r="C201" s="53">
        <v>7</v>
      </c>
      <c r="D201" s="43" t="s">
        <v>24</v>
      </c>
      <c r="G201" s="22" t="s">
        <v>22</v>
      </c>
      <c r="H201" s="55">
        <v>1</v>
      </c>
      <c r="I201" s="43">
        <v>0.25</v>
      </c>
      <c r="J201" s="43">
        <v>0.35</v>
      </c>
      <c r="K201" s="54">
        <f t="shared" si="28"/>
        <v>1</v>
      </c>
      <c r="L201" s="55">
        <f t="shared" si="29"/>
        <v>8.7499999999999994E-2</v>
      </c>
      <c r="M201" s="55"/>
      <c r="T201" s="43"/>
    </row>
    <row r="202" spans="1:20">
      <c r="A202"/>
      <c r="B202" s="53" t="s">
        <v>7</v>
      </c>
      <c r="C202" s="53">
        <v>8</v>
      </c>
      <c r="D202" s="43" t="s">
        <v>24</v>
      </c>
      <c r="G202" s="22" t="s">
        <v>22</v>
      </c>
      <c r="H202" s="55">
        <v>1</v>
      </c>
      <c r="I202" s="43">
        <v>0.25</v>
      </c>
      <c r="J202" s="43">
        <v>0.35</v>
      </c>
      <c r="K202" s="54">
        <f t="shared" si="28"/>
        <v>1</v>
      </c>
      <c r="L202" s="55">
        <f t="shared" si="29"/>
        <v>8.7499999999999994E-2</v>
      </c>
      <c r="M202" s="55"/>
      <c r="T202" s="43"/>
    </row>
    <row r="203" spans="1:20">
      <c r="A203"/>
      <c r="B203" s="53" t="s">
        <v>10</v>
      </c>
      <c r="C203" s="53">
        <v>5</v>
      </c>
      <c r="D203" s="43" t="s">
        <v>44</v>
      </c>
      <c r="G203" s="22" t="s">
        <v>22</v>
      </c>
      <c r="H203" s="55">
        <v>1</v>
      </c>
      <c r="I203" s="43">
        <v>0.35</v>
      </c>
      <c r="J203" s="43">
        <v>0.35</v>
      </c>
      <c r="K203" s="54">
        <f t="shared" si="28"/>
        <v>1</v>
      </c>
      <c r="L203" s="55">
        <f t="shared" si="29"/>
        <v>0.12249999999999998</v>
      </c>
      <c r="M203" s="55"/>
      <c r="T203" s="43"/>
    </row>
    <row r="204" spans="1:20">
      <c r="A204"/>
      <c r="B204" s="53" t="s">
        <v>9</v>
      </c>
      <c r="C204" s="53">
        <v>6</v>
      </c>
      <c r="D204" s="43" t="s">
        <v>24</v>
      </c>
      <c r="G204" s="22" t="s">
        <v>22</v>
      </c>
      <c r="H204" s="55">
        <v>1</v>
      </c>
      <c r="I204" s="43">
        <v>0.25</v>
      </c>
      <c r="J204" s="43">
        <v>0.35</v>
      </c>
      <c r="K204" s="54">
        <f t="shared" si="28"/>
        <v>1</v>
      </c>
      <c r="L204" s="55">
        <f t="shared" si="29"/>
        <v>8.7499999999999994E-2</v>
      </c>
      <c r="M204" s="55"/>
      <c r="T204" s="43"/>
    </row>
    <row r="205" spans="1:20">
      <c r="A205"/>
      <c r="B205" s="53" t="s">
        <v>9</v>
      </c>
      <c r="C205" s="53">
        <v>7</v>
      </c>
      <c r="D205" s="43" t="s">
        <v>24</v>
      </c>
      <c r="G205" s="22" t="s">
        <v>22</v>
      </c>
      <c r="H205" s="55">
        <v>1</v>
      </c>
      <c r="I205" s="43">
        <v>0.25</v>
      </c>
      <c r="J205" s="43">
        <v>0.35</v>
      </c>
      <c r="K205" s="54">
        <f t="shared" si="28"/>
        <v>1</v>
      </c>
      <c r="L205" s="55">
        <f t="shared" si="29"/>
        <v>8.7499999999999994E-2</v>
      </c>
      <c r="M205" s="55"/>
      <c r="T205" s="43"/>
    </row>
    <row r="206" spans="1:20">
      <c r="A206"/>
      <c r="B206" s="53" t="s">
        <v>9</v>
      </c>
      <c r="C206" s="53">
        <v>8</v>
      </c>
      <c r="D206" s="43" t="s">
        <v>24</v>
      </c>
      <c r="G206" s="22" t="s">
        <v>22</v>
      </c>
      <c r="H206" s="55">
        <v>1</v>
      </c>
      <c r="I206" s="43">
        <v>0.25</v>
      </c>
      <c r="J206" s="43">
        <v>0.35</v>
      </c>
      <c r="K206" s="54">
        <f t="shared" si="28"/>
        <v>1</v>
      </c>
      <c r="L206" s="55">
        <f t="shared" si="29"/>
        <v>8.7499999999999994E-2</v>
      </c>
      <c r="M206" s="55"/>
      <c r="N206" s="125">
        <f>M169+M189+M218+M504+M506</f>
        <v>56.493059000000002</v>
      </c>
      <c r="T206" s="43"/>
    </row>
    <row r="207" spans="1:20">
      <c r="A207"/>
      <c r="B207" s="53" t="s">
        <v>11</v>
      </c>
      <c r="C207" s="53">
        <v>1</v>
      </c>
      <c r="D207" s="43" t="s">
        <v>43</v>
      </c>
      <c r="G207" s="22" t="s">
        <v>22</v>
      </c>
      <c r="H207" s="55">
        <v>1</v>
      </c>
      <c r="I207" s="43">
        <v>0.3</v>
      </c>
      <c r="J207" s="43">
        <v>0.3</v>
      </c>
      <c r="K207" s="54">
        <f t="shared" si="28"/>
        <v>1</v>
      </c>
      <c r="L207" s="55">
        <f t="shared" si="29"/>
        <v>0.09</v>
      </c>
      <c r="M207" s="55"/>
      <c r="T207" s="43"/>
    </row>
    <row r="208" spans="1:20">
      <c r="A208"/>
      <c r="B208" s="53" t="s">
        <v>11</v>
      </c>
      <c r="C208" s="53">
        <v>2</v>
      </c>
      <c r="D208" s="43" t="s">
        <v>42</v>
      </c>
      <c r="G208" s="22" t="s">
        <v>22</v>
      </c>
      <c r="H208" s="55">
        <v>1</v>
      </c>
      <c r="I208" s="43">
        <v>0.4</v>
      </c>
      <c r="J208" s="43">
        <v>0.4</v>
      </c>
      <c r="K208" s="54">
        <f t="shared" si="28"/>
        <v>1</v>
      </c>
      <c r="L208" s="55">
        <f t="shared" si="29"/>
        <v>0.16000000000000003</v>
      </c>
      <c r="M208" s="55"/>
      <c r="T208" s="43"/>
    </row>
    <row r="209" spans="1:20">
      <c r="A209"/>
      <c r="B209" s="53" t="s">
        <v>8</v>
      </c>
      <c r="C209" s="53">
        <v>1</v>
      </c>
      <c r="D209" s="43" t="s">
        <v>42</v>
      </c>
      <c r="G209" s="22" t="s">
        <v>22</v>
      </c>
      <c r="H209" s="55">
        <v>1</v>
      </c>
      <c r="I209" s="43">
        <v>0.4</v>
      </c>
      <c r="J209" s="43">
        <v>0.4</v>
      </c>
      <c r="K209" s="54">
        <f t="shared" si="28"/>
        <v>1</v>
      </c>
      <c r="L209" s="55">
        <f t="shared" si="29"/>
        <v>0.16000000000000003</v>
      </c>
      <c r="M209" s="55"/>
    </row>
    <row r="210" spans="1:20">
      <c r="A210"/>
      <c r="B210" s="53" t="s">
        <v>11</v>
      </c>
      <c r="C210" s="53">
        <v>3</v>
      </c>
      <c r="D210" s="43" t="s">
        <v>42</v>
      </c>
      <c r="G210" s="22" t="s">
        <v>22</v>
      </c>
      <c r="H210" s="55">
        <v>1</v>
      </c>
      <c r="I210" s="43">
        <v>0.4</v>
      </c>
      <c r="J210" s="43">
        <v>0.4</v>
      </c>
      <c r="K210" s="54">
        <f t="shared" si="28"/>
        <v>1</v>
      </c>
      <c r="L210" s="55">
        <f t="shared" si="29"/>
        <v>0.16000000000000003</v>
      </c>
      <c r="M210" s="55"/>
      <c r="T210" s="43"/>
    </row>
    <row r="211" spans="1:20">
      <c r="A211"/>
      <c r="B211" s="53" t="s">
        <v>11</v>
      </c>
      <c r="C211" s="53">
        <v>5</v>
      </c>
      <c r="D211" s="43" t="s">
        <v>43</v>
      </c>
      <c r="G211" s="22" t="s">
        <v>22</v>
      </c>
      <c r="H211" s="55">
        <v>1</v>
      </c>
      <c r="I211" s="43">
        <v>0.3</v>
      </c>
      <c r="J211" s="43">
        <v>0.3</v>
      </c>
      <c r="K211" s="54">
        <f t="shared" si="28"/>
        <v>1</v>
      </c>
      <c r="L211" s="55">
        <f t="shared" si="29"/>
        <v>0.09</v>
      </c>
      <c r="M211" s="55"/>
      <c r="T211" s="43"/>
    </row>
    <row r="212" spans="1:20">
      <c r="A212"/>
      <c r="B212" s="53" t="s">
        <v>11</v>
      </c>
      <c r="C212" s="53">
        <v>6</v>
      </c>
      <c r="D212" s="43" t="s">
        <v>24</v>
      </c>
      <c r="G212" s="22" t="s">
        <v>22</v>
      </c>
      <c r="H212" s="55">
        <v>1</v>
      </c>
      <c r="I212" s="43">
        <v>0.25</v>
      </c>
      <c r="J212" s="43">
        <v>0.35</v>
      </c>
      <c r="K212" s="54">
        <f t="shared" si="28"/>
        <v>1</v>
      </c>
      <c r="L212" s="55">
        <f t="shared" si="29"/>
        <v>8.7499999999999994E-2</v>
      </c>
      <c r="M212" s="55"/>
      <c r="T212" s="43"/>
    </row>
    <row r="213" spans="1:20">
      <c r="A213"/>
      <c r="B213" s="53" t="s">
        <v>11</v>
      </c>
      <c r="C213" s="53">
        <v>7</v>
      </c>
      <c r="D213" s="43" t="s">
        <v>24</v>
      </c>
      <c r="G213" s="22" t="s">
        <v>22</v>
      </c>
      <c r="H213" s="55">
        <v>1</v>
      </c>
      <c r="I213" s="43">
        <v>0.25</v>
      </c>
      <c r="J213" s="43">
        <v>0.35</v>
      </c>
      <c r="K213" s="54">
        <f t="shared" si="28"/>
        <v>1</v>
      </c>
      <c r="L213" s="55">
        <f t="shared" si="29"/>
        <v>8.7499999999999994E-2</v>
      </c>
      <c r="M213" s="55"/>
      <c r="T213" s="43"/>
    </row>
    <row r="214" spans="1:20">
      <c r="A214"/>
      <c r="B214" s="53" t="s">
        <v>11</v>
      </c>
      <c r="C214" s="53">
        <v>8</v>
      </c>
      <c r="D214" s="43" t="s">
        <v>24</v>
      </c>
      <c r="G214" s="22" t="s">
        <v>22</v>
      </c>
      <c r="H214" s="55">
        <v>1</v>
      </c>
      <c r="I214" s="43">
        <v>0.25</v>
      </c>
      <c r="J214" s="43">
        <v>0.35</v>
      </c>
      <c r="K214" s="54">
        <f t="shared" si="28"/>
        <v>1</v>
      </c>
      <c r="L214" s="55">
        <f t="shared" si="29"/>
        <v>8.7499999999999994E-2</v>
      </c>
      <c r="M214" s="55"/>
      <c r="T214" s="43"/>
    </row>
    <row r="215" spans="1:20">
      <c r="A215" s="137" t="s">
        <v>41</v>
      </c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57">
        <f>SUM(L192:L214)</f>
        <v>2.4549999999999996</v>
      </c>
    </row>
    <row r="216" spans="1:20">
      <c r="A216" s="138" t="s">
        <v>101</v>
      </c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</row>
    <row r="217" spans="1:20">
      <c r="A217" s="22"/>
      <c r="D217" s="4"/>
      <c r="E217" s="4"/>
      <c r="F217" s="4"/>
      <c r="G217" s="22"/>
      <c r="H217" s="12">
        <v>3</v>
      </c>
      <c r="I217" s="12">
        <v>0.5</v>
      </c>
      <c r="J217" s="12">
        <v>0.5</v>
      </c>
      <c r="K217" s="12">
        <v>0.5</v>
      </c>
      <c r="L217" s="12">
        <f>K217*J217*I217*H217</f>
        <v>0.375</v>
      </c>
      <c r="M217" s="12"/>
    </row>
    <row r="218" spans="1:20" s="49" customFormat="1">
      <c r="A218" s="141" t="s">
        <v>41</v>
      </c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09">
        <f>L217</f>
        <v>0.375</v>
      </c>
    </row>
    <row r="219" spans="1:20" s="49" customFormat="1">
      <c r="A219" s="140" t="s">
        <v>55</v>
      </c>
      <c r="B219" s="140"/>
      <c r="C219" s="140"/>
      <c r="D219" s="140"/>
      <c r="E219" s="140"/>
      <c r="F219" s="140"/>
      <c r="G219" s="140"/>
      <c r="H219" s="140"/>
      <c r="I219" s="140"/>
      <c r="J219" s="140"/>
      <c r="K219" s="140"/>
      <c r="L219" s="140"/>
      <c r="M219" s="140"/>
      <c r="N219" s="49" t="str">
        <f t="shared" ref="N219:N220" si="30">IF(I219=12,G219*H219*J219,"")</f>
        <v/>
      </c>
      <c r="O219" s="49" t="str">
        <f t="shared" ref="O219:O220" si="31">IF(I219=14,G219*H219*J219,"")</f>
        <v/>
      </c>
      <c r="P219" s="49" t="str">
        <f t="shared" ref="P219" si="32">IF(I219=16,G219*H219*J219,"")</f>
        <v/>
      </c>
      <c r="S219" s="49" t="str">
        <f t="shared" ref="S219" si="33">IF(I219=32,G219*H219*J219,"")</f>
        <v/>
      </c>
      <c r="T219" s="49" t="s">
        <v>89</v>
      </c>
    </row>
    <row r="220" spans="1:20" s="49" customFormat="1">
      <c r="B220" s="107" t="s">
        <v>2</v>
      </c>
      <c r="C220" s="107" t="s">
        <v>3</v>
      </c>
      <c r="D220" s="107" t="s">
        <v>12</v>
      </c>
      <c r="E220" s="98"/>
      <c r="F220" s="98"/>
      <c r="G220" s="70"/>
      <c r="H220" s="70"/>
      <c r="I220" s="70"/>
      <c r="J220" s="70"/>
      <c r="K220" s="49" t="str">
        <f t="shared" ref="K220" si="34">IF(I220=6,G220*H220*J220,"")</f>
        <v/>
      </c>
      <c r="L220" s="49" t="str">
        <f t="shared" ref="L220" si="35">IF(I220=8,G220*H220*J220,"")</f>
        <v/>
      </c>
      <c r="M220" s="49" t="str">
        <f t="shared" ref="M220" si="36">IF(I220=10,G220*H220*J220,"")</f>
        <v/>
      </c>
      <c r="N220" s="49" t="str">
        <f t="shared" si="30"/>
        <v/>
      </c>
      <c r="O220" s="49" t="str">
        <f t="shared" si="31"/>
        <v/>
      </c>
      <c r="T220" s="49">
        <v>7</v>
      </c>
    </row>
    <row r="221" spans="1:20" s="49" customFormat="1">
      <c r="B221" s="66" t="s">
        <v>4</v>
      </c>
      <c r="C221" s="66">
        <v>1</v>
      </c>
      <c r="D221" s="98" t="s">
        <v>43</v>
      </c>
      <c r="E221" s="67"/>
      <c r="F221" s="67"/>
      <c r="G221" s="70" t="s">
        <v>22</v>
      </c>
      <c r="H221" s="70">
        <v>1</v>
      </c>
      <c r="I221" s="110">
        <v>0.3</v>
      </c>
      <c r="J221" s="110">
        <v>0.3</v>
      </c>
      <c r="K221" s="110">
        <v>6.8</v>
      </c>
      <c r="L221" s="120">
        <f>K221*J221*I221*H221</f>
        <v>0.61199999999999999</v>
      </c>
      <c r="M221" s="120"/>
      <c r="N221" s="120"/>
    </row>
    <row r="222" spans="1:20" s="49" customFormat="1">
      <c r="B222" s="66" t="s">
        <v>4</v>
      </c>
      <c r="C222" s="68">
        <v>2</v>
      </c>
      <c r="D222" s="98" t="s">
        <v>42</v>
      </c>
      <c r="E222" s="67"/>
      <c r="F222" s="67"/>
      <c r="G222" s="70" t="s">
        <v>22</v>
      </c>
      <c r="H222" s="70">
        <v>1</v>
      </c>
      <c r="I222" s="110">
        <v>0.4</v>
      </c>
      <c r="J222" s="110">
        <v>0.4</v>
      </c>
      <c r="K222" s="110">
        <v>6.8</v>
      </c>
      <c r="L222" s="120">
        <f t="shared" ref="L222:L243" si="37">K222*J222*I222*H222</f>
        <v>1.0880000000000001</v>
      </c>
      <c r="M222" s="120"/>
      <c r="N222" s="120"/>
    </row>
    <row r="223" spans="1:20" s="49" customFormat="1">
      <c r="B223" s="66" t="s">
        <v>4</v>
      </c>
      <c r="C223" s="68">
        <v>4</v>
      </c>
      <c r="D223" s="98" t="s">
        <v>42</v>
      </c>
      <c r="E223" s="67"/>
      <c r="F223" s="67"/>
      <c r="G223" s="70" t="s">
        <v>22</v>
      </c>
      <c r="H223" s="70">
        <v>1</v>
      </c>
      <c r="I223" s="110">
        <v>0.4</v>
      </c>
      <c r="J223" s="110">
        <v>0.4</v>
      </c>
      <c r="K223" s="110">
        <v>6.8</v>
      </c>
      <c r="L223" s="120">
        <f t="shared" si="37"/>
        <v>1.0880000000000001</v>
      </c>
      <c r="M223" s="120"/>
      <c r="N223" s="120"/>
    </row>
    <row r="224" spans="1:20" s="49" customFormat="1">
      <c r="B224" s="66" t="s">
        <v>4</v>
      </c>
      <c r="C224" s="66">
        <v>5</v>
      </c>
      <c r="D224" s="98" t="s">
        <v>43</v>
      </c>
      <c r="E224" s="67"/>
      <c r="F224" s="67"/>
      <c r="G224" s="70" t="s">
        <v>22</v>
      </c>
      <c r="H224" s="70">
        <v>1</v>
      </c>
      <c r="I224" s="110">
        <v>0.3</v>
      </c>
      <c r="J224" s="110">
        <v>0.3</v>
      </c>
      <c r="K224" s="110">
        <v>6.8</v>
      </c>
      <c r="L224" s="120">
        <f t="shared" si="37"/>
        <v>0.61199999999999999</v>
      </c>
      <c r="M224" s="120"/>
      <c r="N224" s="120"/>
    </row>
    <row r="225" spans="2:14" s="49" customFormat="1">
      <c r="B225" s="66" t="s">
        <v>4</v>
      </c>
      <c r="C225" s="68">
        <v>6</v>
      </c>
      <c r="D225" s="98" t="s">
        <v>24</v>
      </c>
      <c r="E225" s="67"/>
      <c r="F225" s="67"/>
      <c r="G225" s="70" t="s">
        <v>22</v>
      </c>
      <c r="H225" s="70">
        <v>1</v>
      </c>
      <c r="I225" s="110">
        <v>0.25</v>
      </c>
      <c r="J225" s="110">
        <v>0.35</v>
      </c>
      <c r="K225" s="110">
        <v>6.8</v>
      </c>
      <c r="L225" s="120">
        <f t="shared" si="37"/>
        <v>0.59499999999999997</v>
      </c>
      <c r="M225" s="120"/>
      <c r="N225" s="120"/>
    </row>
    <row r="226" spans="2:14" s="49" customFormat="1">
      <c r="B226" s="66" t="s">
        <v>4</v>
      </c>
      <c r="C226" s="68">
        <v>7</v>
      </c>
      <c r="D226" s="98" t="s">
        <v>24</v>
      </c>
      <c r="E226" s="67"/>
      <c r="F226" s="67"/>
      <c r="G226" s="70" t="s">
        <v>22</v>
      </c>
      <c r="H226" s="70">
        <v>1</v>
      </c>
      <c r="I226" s="110">
        <v>0.25</v>
      </c>
      <c r="J226" s="110">
        <v>0.35</v>
      </c>
      <c r="K226" s="110">
        <v>6.8</v>
      </c>
      <c r="L226" s="120">
        <f t="shared" si="37"/>
        <v>0.59499999999999997</v>
      </c>
      <c r="M226" s="120"/>
      <c r="N226" s="120"/>
    </row>
    <row r="227" spans="2:14" s="49" customFormat="1">
      <c r="B227" s="66" t="s">
        <v>4</v>
      </c>
      <c r="C227" s="68">
        <v>8</v>
      </c>
      <c r="D227" s="98" t="s">
        <v>24</v>
      </c>
      <c r="E227" s="67"/>
      <c r="F227" s="67"/>
      <c r="G227" s="70" t="s">
        <v>22</v>
      </c>
      <c r="H227" s="70">
        <v>1</v>
      </c>
      <c r="I227" s="110">
        <v>0.25</v>
      </c>
      <c r="J227" s="110">
        <v>0.35</v>
      </c>
      <c r="K227" s="110">
        <v>6.8</v>
      </c>
      <c r="L227" s="120">
        <f t="shared" si="37"/>
        <v>0.59499999999999997</v>
      </c>
      <c r="M227" s="120"/>
      <c r="N227" s="120"/>
    </row>
    <row r="228" spans="2:14" s="49" customFormat="1">
      <c r="B228" s="66" t="s">
        <v>6</v>
      </c>
      <c r="C228" s="66">
        <v>5</v>
      </c>
      <c r="D228" s="98" t="s">
        <v>44</v>
      </c>
      <c r="E228" s="67"/>
      <c r="F228" s="67"/>
      <c r="G228" s="70" t="s">
        <v>22</v>
      </c>
      <c r="H228" s="70">
        <v>1</v>
      </c>
      <c r="I228" s="110">
        <v>0.35</v>
      </c>
      <c r="J228" s="110">
        <v>0.35</v>
      </c>
      <c r="K228" s="110">
        <v>6.8</v>
      </c>
      <c r="L228" s="120">
        <f t="shared" si="37"/>
        <v>0.83299999999999996</v>
      </c>
      <c r="M228" s="120"/>
      <c r="N228" s="120"/>
    </row>
    <row r="229" spans="2:14" s="49" customFormat="1">
      <c r="B229" s="66" t="s">
        <v>7</v>
      </c>
      <c r="C229" s="66">
        <v>6</v>
      </c>
      <c r="D229" s="98" t="s">
        <v>24</v>
      </c>
      <c r="E229" s="67"/>
      <c r="F229" s="67"/>
      <c r="G229" s="70" t="s">
        <v>22</v>
      </c>
      <c r="H229" s="70">
        <v>1</v>
      </c>
      <c r="I229" s="110">
        <v>0.25</v>
      </c>
      <c r="J229" s="110">
        <v>0.35</v>
      </c>
      <c r="K229" s="110">
        <v>6.8</v>
      </c>
      <c r="L229" s="120">
        <f t="shared" si="37"/>
        <v>0.59499999999999997</v>
      </c>
      <c r="M229" s="120"/>
      <c r="N229" s="120"/>
    </row>
    <row r="230" spans="2:14" s="49" customFormat="1">
      <c r="B230" s="66" t="s">
        <v>7</v>
      </c>
      <c r="C230" s="66">
        <v>7</v>
      </c>
      <c r="D230" s="98" t="s">
        <v>24</v>
      </c>
      <c r="E230" s="67"/>
      <c r="F230" s="67"/>
      <c r="G230" s="70" t="s">
        <v>22</v>
      </c>
      <c r="H230" s="70">
        <v>1</v>
      </c>
      <c r="I230" s="110">
        <v>0.25</v>
      </c>
      <c r="J230" s="110">
        <v>0.35</v>
      </c>
      <c r="K230" s="110">
        <v>6.8</v>
      </c>
      <c r="L230" s="120">
        <f t="shared" si="37"/>
        <v>0.59499999999999997</v>
      </c>
      <c r="M230" s="120"/>
      <c r="N230" s="120"/>
    </row>
    <row r="231" spans="2:14" s="49" customFormat="1">
      <c r="B231" s="66" t="s">
        <v>7</v>
      </c>
      <c r="C231" s="66">
        <v>8</v>
      </c>
      <c r="D231" s="98" t="s">
        <v>24</v>
      </c>
      <c r="E231" s="67"/>
      <c r="F231" s="67"/>
      <c r="G231" s="70" t="s">
        <v>22</v>
      </c>
      <c r="H231" s="70">
        <v>1</v>
      </c>
      <c r="I231" s="110">
        <v>0.25</v>
      </c>
      <c r="J231" s="110">
        <v>0.35</v>
      </c>
      <c r="K231" s="110">
        <v>6.8</v>
      </c>
      <c r="L231" s="120">
        <f t="shared" si="37"/>
        <v>0.59499999999999997</v>
      </c>
      <c r="M231" s="120"/>
      <c r="N231" s="120"/>
    </row>
    <row r="232" spans="2:14" s="49" customFormat="1">
      <c r="B232" s="66" t="s">
        <v>8</v>
      </c>
      <c r="C232" s="66">
        <v>1</v>
      </c>
      <c r="D232" s="98" t="s">
        <v>42</v>
      </c>
      <c r="E232" s="67"/>
      <c r="F232" s="67"/>
      <c r="G232" s="70" t="s">
        <v>22</v>
      </c>
      <c r="H232" s="70">
        <v>1</v>
      </c>
      <c r="I232" s="110">
        <v>0.4</v>
      </c>
      <c r="J232" s="110">
        <v>0.4</v>
      </c>
      <c r="K232" s="110">
        <v>6.8</v>
      </c>
      <c r="L232" s="120">
        <f t="shared" si="37"/>
        <v>1.0880000000000001</v>
      </c>
      <c r="M232" s="120"/>
      <c r="N232" s="120"/>
    </row>
    <row r="233" spans="2:14" s="49" customFormat="1">
      <c r="B233" s="66" t="s">
        <v>10</v>
      </c>
      <c r="C233" s="66">
        <v>5</v>
      </c>
      <c r="D233" s="98" t="s">
        <v>44</v>
      </c>
      <c r="E233" s="67"/>
      <c r="F233" s="67"/>
      <c r="G233" s="70" t="s">
        <v>22</v>
      </c>
      <c r="H233" s="70">
        <v>1</v>
      </c>
      <c r="I233" s="110">
        <v>0.35</v>
      </c>
      <c r="J233" s="110">
        <v>0.35</v>
      </c>
      <c r="K233" s="110">
        <v>6.8</v>
      </c>
      <c r="L233" s="120">
        <f t="shared" si="37"/>
        <v>0.83299999999999996</v>
      </c>
      <c r="M233" s="120"/>
      <c r="N233" s="120"/>
    </row>
    <row r="234" spans="2:14" s="49" customFormat="1">
      <c r="B234" s="66" t="s">
        <v>9</v>
      </c>
      <c r="C234" s="66">
        <v>6</v>
      </c>
      <c r="D234" s="98" t="s">
        <v>24</v>
      </c>
      <c r="E234" s="67"/>
      <c r="F234" s="67"/>
      <c r="G234" s="70" t="s">
        <v>22</v>
      </c>
      <c r="H234" s="70">
        <v>1</v>
      </c>
      <c r="I234" s="110">
        <v>0.25</v>
      </c>
      <c r="J234" s="110">
        <v>0.35</v>
      </c>
      <c r="K234" s="110">
        <v>6.8</v>
      </c>
      <c r="L234" s="120">
        <f t="shared" si="37"/>
        <v>0.59499999999999997</v>
      </c>
      <c r="M234" s="120"/>
      <c r="N234" s="120"/>
    </row>
    <row r="235" spans="2:14" s="49" customFormat="1">
      <c r="B235" s="66" t="s">
        <v>9</v>
      </c>
      <c r="C235" s="66">
        <v>7</v>
      </c>
      <c r="D235" s="98" t="s">
        <v>24</v>
      </c>
      <c r="E235" s="67"/>
      <c r="F235" s="67"/>
      <c r="G235" s="70" t="s">
        <v>22</v>
      </c>
      <c r="H235" s="70">
        <v>1</v>
      </c>
      <c r="I235" s="110">
        <v>0.25</v>
      </c>
      <c r="J235" s="110">
        <v>0.35</v>
      </c>
      <c r="K235" s="110">
        <v>6.8</v>
      </c>
      <c r="L235" s="120">
        <f t="shared" si="37"/>
        <v>0.59499999999999997</v>
      </c>
      <c r="M235" s="120"/>
      <c r="N235" s="120"/>
    </row>
    <row r="236" spans="2:14" s="49" customFormat="1">
      <c r="B236" s="66" t="s">
        <v>9</v>
      </c>
      <c r="C236" s="66">
        <v>8</v>
      </c>
      <c r="D236" s="98" t="s">
        <v>24</v>
      </c>
      <c r="E236" s="67"/>
      <c r="F236" s="67"/>
      <c r="G236" s="70" t="s">
        <v>22</v>
      </c>
      <c r="H236" s="70">
        <v>1</v>
      </c>
      <c r="I236" s="110">
        <v>0.25</v>
      </c>
      <c r="J236" s="110">
        <v>0.35</v>
      </c>
      <c r="K236" s="110">
        <v>6.8</v>
      </c>
      <c r="L236" s="120">
        <f t="shared" si="37"/>
        <v>0.59499999999999997</v>
      </c>
      <c r="M236" s="120"/>
      <c r="N236" s="120"/>
    </row>
    <row r="237" spans="2:14" s="49" customFormat="1">
      <c r="B237" s="66" t="s">
        <v>11</v>
      </c>
      <c r="C237" s="66">
        <v>1</v>
      </c>
      <c r="D237" s="98" t="s">
        <v>43</v>
      </c>
      <c r="E237" s="67"/>
      <c r="F237" s="67"/>
      <c r="G237" s="70" t="s">
        <v>22</v>
      </c>
      <c r="H237" s="70">
        <v>1</v>
      </c>
      <c r="I237" s="110">
        <v>0.3</v>
      </c>
      <c r="J237" s="110">
        <v>0.3</v>
      </c>
      <c r="K237" s="110">
        <v>6.8</v>
      </c>
      <c r="L237" s="120">
        <f t="shared" si="37"/>
        <v>0.61199999999999999</v>
      </c>
      <c r="M237" s="120"/>
      <c r="N237" s="120"/>
    </row>
    <row r="238" spans="2:14" s="49" customFormat="1">
      <c r="B238" s="66" t="s">
        <v>11</v>
      </c>
      <c r="C238" s="66">
        <v>2</v>
      </c>
      <c r="D238" s="98" t="s">
        <v>42</v>
      </c>
      <c r="E238" s="67"/>
      <c r="F238" s="67"/>
      <c r="G238" s="70" t="s">
        <v>22</v>
      </c>
      <c r="H238" s="70">
        <v>1</v>
      </c>
      <c r="I238" s="110">
        <v>0.4</v>
      </c>
      <c r="J238" s="110">
        <v>0.4</v>
      </c>
      <c r="K238" s="110">
        <v>6.8</v>
      </c>
      <c r="L238" s="120">
        <f t="shared" si="37"/>
        <v>1.0880000000000001</v>
      </c>
      <c r="M238" s="120"/>
      <c r="N238" s="120"/>
    </row>
    <row r="239" spans="2:14" s="49" customFormat="1">
      <c r="B239" s="66" t="s">
        <v>11</v>
      </c>
      <c r="C239" s="66">
        <v>3</v>
      </c>
      <c r="D239" s="98" t="s">
        <v>42</v>
      </c>
      <c r="E239" s="67"/>
      <c r="F239" s="67"/>
      <c r="G239" s="70" t="s">
        <v>22</v>
      </c>
      <c r="H239" s="70">
        <v>1</v>
      </c>
      <c r="I239" s="110">
        <v>0.4</v>
      </c>
      <c r="J239" s="110">
        <v>0.4</v>
      </c>
      <c r="K239" s="110">
        <v>6.8</v>
      </c>
      <c r="L239" s="120">
        <f t="shared" si="37"/>
        <v>1.0880000000000001</v>
      </c>
      <c r="M239" s="120"/>
      <c r="N239" s="120"/>
    </row>
    <row r="240" spans="2:14" s="49" customFormat="1">
      <c r="B240" s="66" t="s">
        <v>11</v>
      </c>
      <c r="C240" s="66">
        <v>5</v>
      </c>
      <c r="D240" s="98" t="s">
        <v>43</v>
      </c>
      <c r="E240" s="67"/>
      <c r="F240" s="67"/>
      <c r="G240" s="70" t="s">
        <v>22</v>
      </c>
      <c r="H240" s="70">
        <v>1</v>
      </c>
      <c r="I240" s="110">
        <v>0.3</v>
      </c>
      <c r="J240" s="110">
        <v>0.3</v>
      </c>
      <c r="K240" s="110">
        <v>6.8</v>
      </c>
      <c r="L240" s="120">
        <f t="shared" si="37"/>
        <v>0.61199999999999999</v>
      </c>
      <c r="M240" s="120"/>
      <c r="N240" s="120"/>
    </row>
    <row r="241" spans="1:14" s="49" customFormat="1">
      <c r="B241" s="66" t="s">
        <v>11</v>
      </c>
      <c r="C241" s="66">
        <v>6</v>
      </c>
      <c r="D241" s="98" t="s">
        <v>24</v>
      </c>
      <c r="E241" s="67"/>
      <c r="F241" s="67"/>
      <c r="G241" s="70" t="s">
        <v>22</v>
      </c>
      <c r="H241" s="70">
        <v>1</v>
      </c>
      <c r="I241" s="110">
        <v>0.25</v>
      </c>
      <c r="J241" s="110">
        <v>0.35</v>
      </c>
      <c r="K241" s="110">
        <v>6.8</v>
      </c>
      <c r="L241" s="120">
        <f t="shared" si="37"/>
        <v>0.59499999999999997</v>
      </c>
      <c r="M241" s="120"/>
      <c r="N241" s="120"/>
    </row>
    <row r="242" spans="1:14" s="49" customFormat="1">
      <c r="B242" s="66" t="s">
        <v>11</v>
      </c>
      <c r="C242" s="66">
        <v>7</v>
      </c>
      <c r="D242" s="98" t="s">
        <v>24</v>
      </c>
      <c r="E242" s="67"/>
      <c r="F242" s="67"/>
      <c r="G242" s="70" t="s">
        <v>22</v>
      </c>
      <c r="H242" s="70">
        <v>1</v>
      </c>
      <c r="I242" s="110">
        <v>0.25</v>
      </c>
      <c r="J242" s="110">
        <v>0.35</v>
      </c>
      <c r="K242" s="110">
        <v>6.8</v>
      </c>
      <c r="L242" s="120">
        <f t="shared" si="37"/>
        <v>0.59499999999999997</v>
      </c>
      <c r="M242" s="120"/>
      <c r="N242" s="120"/>
    </row>
    <row r="243" spans="1:14" s="49" customFormat="1">
      <c r="B243" s="66" t="s">
        <v>11</v>
      </c>
      <c r="C243" s="66">
        <v>8</v>
      </c>
      <c r="D243" s="98" t="s">
        <v>24</v>
      </c>
      <c r="E243" s="67"/>
      <c r="F243" s="67"/>
      <c r="G243" s="70" t="s">
        <v>22</v>
      </c>
      <c r="H243" s="70">
        <v>1</v>
      </c>
      <c r="I243" s="110">
        <v>0.25</v>
      </c>
      <c r="J243" s="110">
        <v>0.35</v>
      </c>
      <c r="K243" s="110">
        <v>6.8</v>
      </c>
      <c r="L243" s="120">
        <f t="shared" si="37"/>
        <v>0.59499999999999997</v>
      </c>
      <c r="M243" s="120"/>
      <c r="N243" s="120"/>
    </row>
    <row r="244" spans="1:14" s="49" customFormat="1">
      <c r="A244" s="141" t="s">
        <v>41</v>
      </c>
      <c r="B244" s="141"/>
      <c r="C244" s="141"/>
      <c r="D244" s="141"/>
      <c r="E244" s="141"/>
      <c r="F244" s="141"/>
      <c r="G244" s="141"/>
      <c r="H244" s="141"/>
      <c r="I244" s="141"/>
      <c r="J244" s="141"/>
      <c r="K244" s="141"/>
      <c r="L244" s="141"/>
      <c r="M244" s="109">
        <f>SUM(L221:L243)</f>
        <v>16.693999999999999</v>
      </c>
    </row>
    <row r="245" spans="1:14" s="49" customFormat="1">
      <c r="A245" s="140" t="s">
        <v>124</v>
      </c>
      <c r="B245" s="140"/>
      <c r="C245" s="140"/>
      <c r="D245" s="140"/>
      <c r="E245" s="140"/>
      <c r="F245" s="140"/>
      <c r="G245" s="140"/>
      <c r="H245" s="140"/>
      <c r="I245" s="140"/>
      <c r="J245" s="140"/>
      <c r="K245" s="140"/>
      <c r="L245" s="140"/>
      <c r="M245" s="140"/>
    </row>
    <row r="246" spans="1:14" s="70" customFormat="1">
      <c r="A246" s="139" t="s">
        <v>125</v>
      </c>
      <c r="B246" s="139"/>
      <c r="C246" s="139"/>
      <c r="D246" s="139"/>
      <c r="E246" s="139"/>
      <c r="F246" s="139"/>
    </row>
    <row r="247" spans="1:14" s="49" customFormat="1">
      <c r="A247" s="107" t="s">
        <v>126</v>
      </c>
      <c r="B247" s="107" t="s">
        <v>2</v>
      </c>
      <c r="C247" s="107" t="s">
        <v>3</v>
      </c>
    </row>
    <row r="248" spans="1:14" s="49" customFormat="1">
      <c r="A248" s="83" t="s">
        <v>127</v>
      </c>
      <c r="B248" s="111" t="s">
        <v>4</v>
      </c>
      <c r="C248" s="112" t="s">
        <v>71</v>
      </c>
      <c r="G248" s="49" t="s">
        <v>22</v>
      </c>
      <c r="H248" s="49">
        <v>1</v>
      </c>
      <c r="I248" s="49">
        <v>2.48</v>
      </c>
      <c r="J248" s="49">
        <v>0.2</v>
      </c>
      <c r="K248" s="49">
        <v>0.2</v>
      </c>
      <c r="L248" s="49">
        <f>K248*J248*I248*H248</f>
        <v>9.9200000000000024E-2</v>
      </c>
    </row>
    <row r="249" spans="1:14" s="49" customFormat="1" ht="15" customHeight="1">
      <c r="A249" s="83" t="s">
        <v>127</v>
      </c>
      <c r="B249" s="111" t="s">
        <v>4</v>
      </c>
      <c r="C249" s="112" t="s">
        <v>117</v>
      </c>
      <c r="G249" s="49" t="s">
        <v>22</v>
      </c>
      <c r="H249" s="49">
        <v>1</v>
      </c>
      <c r="I249" s="49">
        <v>7.25</v>
      </c>
      <c r="J249" s="49">
        <v>0.2</v>
      </c>
      <c r="K249" s="49">
        <v>0.2</v>
      </c>
      <c r="L249" s="49">
        <f t="shared" ref="L249:L277" si="38">K249*J249*I249*H249</f>
        <v>0.29000000000000004</v>
      </c>
    </row>
    <row r="250" spans="1:14" s="49" customFormat="1" ht="15" customHeight="1">
      <c r="A250" s="83" t="s">
        <v>127</v>
      </c>
      <c r="B250" s="111" t="s">
        <v>4</v>
      </c>
      <c r="C250" s="112" t="s">
        <v>69</v>
      </c>
      <c r="G250" s="49" t="s">
        <v>22</v>
      </c>
      <c r="H250" s="49">
        <v>1</v>
      </c>
      <c r="I250" s="49">
        <v>2.38</v>
      </c>
      <c r="J250" s="49">
        <v>0.2</v>
      </c>
      <c r="K250" s="49">
        <v>0.2</v>
      </c>
      <c r="L250" s="49">
        <f t="shared" si="38"/>
        <v>9.5200000000000021E-2</v>
      </c>
    </row>
    <row r="251" spans="1:14" s="49" customFormat="1">
      <c r="A251" s="83" t="s">
        <v>127</v>
      </c>
      <c r="B251" s="111" t="s">
        <v>25</v>
      </c>
      <c r="C251" s="112" t="s">
        <v>80</v>
      </c>
      <c r="G251" s="49" t="s">
        <v>22</v>
      </c>
      <c r="H251" s="49">
        <v>1</v>
      </c>
      <c r="I251" s="49">
        <f>3.82+0.4+0.82</f>
        <v>5.04</v>
      </c>
      <c r="J251" s="49">
        <v>0.2</v>
      </c>
      <c r="K251" s="49">
        <v>0.2</v>
      </c>
      <c r="L251" s="49">
        <f t="shared" si="38"/>
        <v>0.20160000000000003</v>
      </c>
    </row>
    <row r="252" spans="1:14" s="49" customFormat="1" ht="15" customHeight="1">
      <c r="A252" s="83" t="s">
        <v>127</v>
      </c>
      <c r="B252" s="111" t="s">
        <v>114</v>
      </c>
      <c r="C252" s="112" t="s">
        <v>80</v>
      </c>
      <c r="G252" s="49" t="s">
        <v>22</v>
      </c>
      <c r="H252" s="49">
        <v>1</v>
      </c>
      <c r="I252" s="49">
        <f>1.08+0.15+3.82</f>
        <v>5.05</v>
      </c>
      <c r="J252" s="49">
        <v>0.2</v>
      </c>
      <c r="K252" s="49">
        <v>0.2</v>
      </c>
      <c r="L252" s="49">
        <f t="shared" si="38"/>
        <v>0.20200000000000004</v>
      </c>
    </row>
    <row r="253" spans="1:14" s="49" customFormat="1" ht="15" customHeight="1">
      <c r="A253" s="83" t="s">
        <v>127</v>
      </c>
      <c r="B253" s="111" t="s">
        <v>11</v>
      </c>
      <c r="C253" s="112" t="s">
        <v>71</v>
      </c>
      <c r="G253" s="49" t="s">
        <v>22</v>
      </c>
      <c r="H253" s="49">
        <v>1</v>
      </c>
      <c r="I253" s="49">
        <v>2.48</v>
      </c>
      <c r="J253" s="49">
        <v>0.2</v>
      </c>
      <c r="K253" s="49">
        <v>0.2</v>
      </c>
      <c r="L253" s="49">
        <f t="shared" si="38"/>
        <v>9.9200000000000024E-2</v>
      </c>
    </row>
    <row r="254" spans="1:14" s="49" customFormat="1">
      <c r="A254" s="83" t="s">
        <v>127</v>
      </c>
      <c r="B254" s="111" t="s">
        <v>11</v>
      </c>
      <c r="C254" s="112" t="s">
        <v>117</v>
      </c>
      <c r="G254" s="49" t="s">
        <v>22</v>
      </c>
      <c r="H254" s="49">
        <v>1</v>
      </c>
      <c r="I254" s="49">
        <v>7.25</v>
      </c>
      <c r="J254" s="49">
        <v>0.2</v>
      </c>
      <c r="K254" s="49">
        <v>0.2</v>
      </c>
      <c r="L254" s="49">
        <f t="shared" si="38"/>
        <v>0.29000000000000004</v>
      </c>
    </row>
    <row r="255" spans="1:14" s="49" customFormat="1" ht="15" customHeight="1">
      <c r="A255" s="83" t="s">
        <v>128</v>
      </c>
      <c r="B255" s="111" t="s">
        <v>4</v>
      </c>
      <c r="C255" s="112" t="s">
        <v>70</v>
      </c>
      <c r="G255" s="49" t="s">
        <v>22</v>
      </c>
      <c r="H255" s="49">
        <v>1</v>
      </c>
      <c r="I255" s="49">
        <v>4.78</v>
      </c>
      <c r="J255" s="49">
        <v>0.2</v>
      </c>
      <c r="K255" s="49">
        <v>0.35</v>
      </c>
      <c r="L255" s="49">
        <f t="shared" si="38"/>
        <v>0.33460000000000001</v>
      </c>
    </row>
    <row r="256" spans="1:14" s="49" customFormat="1" ht="15" customHeight="1">
      <c r="A256" s="83" t="s">
        <v>131</v>
      </c>
      <c r="B256" s="111" t="s">
        <v>4</v>
      </c>
      <c r="C256" s="112" t="s">
        <v>110</v>
      </c>
      <c r="G256" s="49" t="s">
        <v>22</v>
      </c>
      <c r="H256" s="49">
        <v>1</v>
      </c>
      <c r="I256" s="49">
        <v>2.65</v>
      </c>
      <c r="J256" s="49">
        <v>0.2</v>
      </c>
      <c r="K256" s="49">
        <v>0.3</v>
      </c>
      <c r="L256" s="49">
        <f t="shared" si="38"/>
        <v>0.159</v>
      </c>
    </row>
    <row r="257" spans="1:12" s="49" customFormat="1">
      <c r="A257" s="83" t="s">
        <v>128</v>
      </c>
      <c r="B257" s="111" t="s">
        <v>4</v>
      </c>
      <c r="C257" s="112" t="s">
        <v>111</v>
      </c>
      <c r="G257" s="49" t="s">
        <v>22</v>
      </c>
      <c r="H257" s="49">
        <v>1</v>
      </c>
      <c r="I257" s="49">
        <v>4.5999999999999996</v>
      </c>
      <c r="J257" s="49">
        <v>0.2</v>
      </c>
      <c r="K257" s="49">
        <v>0.35</v>
      </c>
      <c r="L257" s="49">
        <f t="shared" si="38"/>
        <v>0.32199999999999995</v>
      </c>
    </row>
    <row r="258" spans="1:12" s="49" customFormat="1" ht="15" customHeight="1">
      <c r="A258" s="83" t="s">
        <v>128</v>
      </c>
      <c r="B258" s="111" t="s">
        <v>11</v>
      </c>
      <c r="C258" s="112" t="s">
        <v>70</v>
      </c>
      <c r="G258" s="49" t="s">
        <v>22</v>
      </c>
      <c r="H258" s="49">
        <v>1</v>
      </c>
      <c r="I258" s="49">
        <v>4.78</v>
      </c>
      <c r="J258" s="49">
        <v>0.2</v>
      </c>
      <c r="K258" s="49">
        <v>0.35</v>
      </c>
      <c r="L258" s="49">
        <f t="shared" si="38"/>
        <v>0.33460000000000001</v>
      </c>
    </row>
    <row r="259" spans="1:12" s="49" customFormat="1" ht="15" customHeight="1">
      <c r="A259" s="83" t="s">
        <v>131</v>
      </c>
      <c r="B259" s="111" t="s">
        <v>11</v>
      </c>
      <c r="C259" s="112" t="s">
        <v>110</v>
      </c>
      <c r="G259" s="49" t="s">
        <v>22</v>
      </c>
      <c r="H259" s="49">
        <v>1</v>
      </c>
      <c r="I259" s="49">
        <v>2.65</v>
      </c>
      <c r="J259" s="49">
        <v>0.2</v>
      </c>
      <c r="K259" s="49">
        <v>0.3</v>
      </c>
      <c r="L259" s="49">
        <f t="shared" si="38"/>
        <v>0.159</v>
      </c>
    </row>
    <row r="260" spans="1:12" s="49" customFormat="1">
      <c r="A260" s="83" t="s">
        <v>128</v>
      </c>
      <c r="B260" s="111" t="s">
        <v>11</v>
      </c>
      <c r="C260" s="112" t="s">
        <v>111</v>
      </c>
      <c r="G260" s="49" t="s">
        <v>22</v>
      </c>
      <c r="H260" s="49">
        <v>1</v>
      </c>
      <c r="I260" s="49">
        <v>4.5999999999999996</v>
      </c>
      <c r="J260" s="49">
        <v>0.2</v>
      </c>
      <c r="K260" s="49">
        <v>0.35</v>
      </c>
      <c r="L260" s="49">
        <f t="shared" si="38"/>
        <v>0.32199999999999995</v>
      </c>
    </row>
    <row r="261" spans="1:12" s="49" customFormat="1" ht="15" customHeight="1">
      <c r="A261" s="83" t="s">
        <v>132</v>
      </c>
      <c r="B261" s="111" t="s">
        <v>133</v>
      </c>
      <c r="C261" s="112" t="s">
        <v>83</v>
      </c>
      <c r="G261" s="49" t="s">
        <v>22</v>
      </c>
      <c r="H261" s="49">
        <v>1</v>
      </c>
      <c r="I261" s="49">
        <v>3.82</v>
      </c>
      <c r="J261" s="49">
        <v>0.2</v>
      </c>
      <c r="K261" s="49">
        <v>0.45</v>
      </c>
      <c r="L261" s="49">
        <f t="shared" si="38"/>
        <v>0.34380000000000005</v>
      </c>
    </row>
    <row r="262" spans="1:12" s="49" customFormat="1" ht="15" customHeight="1">
      <c r="A262" s="83" t="s">
        <v>135</v>
      </c>
      <c r="B262" s="111" t="s">
        <v>136</v>
      </c>
      <c r="C262" s="112" t="s">
        <v>83</v>
      </c>
      <c r="G262" s="49" t="s">
        <v>22</v>
      </c>
      <c r="H262" s="49">
        <v>1</v>
      </c>
      <c r="I262" s="49">
        <f>0.4+0.82+1.08+0.15</f>
        <v>2.4499999999999997</v>
      </c>
      <c r="J262" s="49">
        <v>0.2</v>
      </c>
      <c r="K262" s="49">
        <v>0.4</v>
      </c>
      <c r="L262" s="49">
        <f t="shared" si="38"/>
        <v>0.19600000000000001</v>
      </c>
    </row>
    <row r="263" spans="1:12" s="49" customFormat="1">
      <c r="A263" s="83" t="s">
        <v>135</v>
      </c>
      <c r="B263" s="111" t="s">
        <v>85</v>
      </c>
      <c r="C263" s="112" t="s">
        <v>87</v>
      </c>
      <c r="G263" s="49" t="s">
        <v>22</v>
      </c>
      <c r="H263" s="49">
        <v>1</v>
      </c>
      <c r="I263" s="49">
        <f>3.82+0.4</f>
        <v>4.22</v>
      </c>
      <c r="J263" s="49">
        <v>0.2</v>
      </c>
      <c r="K263" s="49">
        <v>0.45</v>
      </c>
      <c r="L263" s="49">
        <f t="shared" si="38"/>
        <v>0.37980000000000003</v>
      </c>
    </row>
    <row r="264" spans="1:12" s="49" customFormat="1" ht="15" customHeight="1">
      <c r="A264" s="83" t="s">
        <v>131</v>
      </c>
      <c r="B264" s="111" t="s">
        <v>119</v>
      </c>
      <c r="C264" s="112" t="s">
        <v>87</v>
      </c>
      <c r="G264" s="49" t="s">
        <v>22</v>
      </c>
      <c r="H264" s="49">
        <v>1</v>
      </c>
      <c r="I264" s="49">
        <f>0.82+1.08</f>
        <v>1.9</v>
      </c>
      <c r="J264" s="49">
        <v>0.2</v>
      </c>
      <c r="K264" s="49">
        <v>0.3</v>
      </c>
      <c r="L264" s="49">
        <f t="shared" si="38"/>
        <v>0.11399999999999999</v>
      </c>
    </row>
    <row r="265" spans="1:12" s="49" customFormat="1" ht="15" customHeight="1">
      <c r="A265" s="83" t="s">
        <v>135</v>
      </c>
      <c r="B265" s="111" t="s">
        <v>115</v>
      </c>
      <c r="C265" s="112" t="s">
        <v>87</v>
      </c>
      <c r="G265" s="49" t="s">
        <v>22</v>
      </c>
      <c r="H265" s="49">
        <v>1</v>
      </c>
      <c r="I265" s="49">
        <f>0.15+3.82</f>
        <v>3.9699999999999998</v>
      </c>
      <c r="J265" s="49">
        <v>0.2</v>
      </c>
      <c r="K265" s="49">
        <v>0.4</v>
      </c>
      <c r="L265" s="49">
        <f t="shared" si="38"/>
        <v>0.31760000000000005</v>
      </c>
    </row>
    <row r="266" spans="1:12" s="49" customFormat="1">
      <c r="A266" s="83" t="s">
        <v>135</v>
      </c>
      <c r="B266" s="111" t="s">
        <v>85</v>
      </c>
      <c r="C266" s="112" t="s">
        <v>112</v>
      </c>
      <c r="G266" s="49" t="s">
        <v>22</v>
      </c>
      <c r="H266" s="49">
        <v>1</v>
      </c>
      <c r="I266" s="49">
        <f>3.82+0.4</f>
        <v>4.22</v>
      </c>
      <c r="J266" s="49">
        <v>0.2</v>
      </c>
      <c r="K266" s="49">
        <v>0.45</v>
      </c>
      <c r="L266" s="49">
        <f t="shared" si="38"/>
        <v>0.37980000000000003</v>
      </c>
    </row>
    <row r="267" spans="1:12" s="49" customFormat="1" ht="15" customHeight="1">
      <c r="A267" s="83" t="s">
        <v>131</v>
      </c>
      <c r="B267" s="111" t="s">
        <v>119</v>
      </c>
      <c r="C267" s="112" t="s">
        <v>112</v>
      </c>
      <c r="G267" s="49" t="s">
        <v>22</v>
      </c>
      <c r="H267" s="49">
        <v>1</v>
      </c>
      <c r="I267" s="49">
        <f>0.82+1.08</f>
        <v>1.9</v>
      </c>
      <c r="J267" s="49">
        <v>0.2</v>
      </c>
      <c r="K267" s="49">
        <v>0.3</v>
      </c>
      <c r="L267" s="49">
        <f t="shared" si="38"/>
        <v>0.11399999999999999</v>
      </c>
    </row>
    <row r="268" spans="1:12" s="49" customFormat="1" ht="15" customHeight="1">
      <c r="A268" s="83" t="s">
        <v>135</v>
      </c>
      <c r="B268" s="111" t="s">
        <v>115</v>
      </c>
      <c r="C268" s="112" t="s">
        <v>112</v>
      </c>
      <c r="G268" s="49" t="s">
        <v>22</v>
      </c>
      <c r="H268" s="49">
        <v>1</v>
      </c>
      <c r="I268" s="49">
        <f>0.15+3.82</f>
        <v>3.9699999999999998</v>
      </c>
      <c r="J268" s="49">
        <v>0.2</v>
      </c>
      <c r="K268" s="49">
        <v>0.4</v>
      </c>
      <c r="L268" s="49">
        <f t="shared" si="38"/>
        <v>0.31760000000000005</v>
      </c>
    </row>
    <row r="269" spans="1:12" s="49" customFormat="1">
      <c r="A269" s="83" t="s">
        <v>135</v>
      </c>
      <c r="B269" s="111" t="s">
        <v>85</v>
      </c>
      <c r="C269" s="112" t="s">
        <v>112</v>
      </c>
      <c r="G269" s="49" t="s">
        <v>22</v>
      </c>
      <c r="H269" s="49">
        <v>1</v>
      </c>
      <c r="I269" s="49">
        <f>3.82+0.4</f>
        <v>4.22</v>
      </c>
      <c r="J269" s="49">
        <v>0.2</v>
      </c>
      <c r="K269" s="49">
        <v>0.45</v>
      </c>
      <c r="L269" s="49">
        <f t="shared" si="38"/>
        <v>0.37980000000000003</v>
      </c>
    </row>
    <row r="270" spans="1:12" s="49" customFormat="1" ht="15" customHeight="1">
      <c r="A270" s="83" t="s">
        <v>131</v>
      </c>
      <c r="B270" s="111" t="s">
        <v>119</v>
      </c>
      <c r="C270" s="112" t="s">
        <v>112</v>
      </c>
      <c r="G270" s="49" t="s">
        <v>22</v>
      </c>
      <c r="H270" s="49">
        <v>1</v>
      </c>
      <c r="I270" s="49">
        <f>0.82+1.08</f>
        <v>1.9</v>
      </c>
      <c r="J270" s="49">
        <v>0.2</v>
      </c>
      <c r="K270" s="49">
        <v>0.3</v>
      </c>
      <c r="L270" s="49">
        <f t="shared" si="38"/>
        <v>0.11399999999999999</v>
      </c>
    </row>
    <row r="271" spans="1:12" s="49" customFormat="1" ht="15" customHeight="1">
      <c r="A271" s="83" t="s">
        <v>135</v>
      </c>
      <c r="B271" s="111" t="s">
        <v>115</v>
      </c>
      <c r="C271" s="112" t="s">
        <v>112</v>
      </c>
      <c r="G271" s="49" t="s">
        <v>22</v>
      </c>
      <c r="H271" s="49">
        <v>1</v>
      </c>
      <c r="I271" s="49">
        <f>0.15+3.82</f>
        <v>3.9699999999999998</v>
      </c>
      <c r="J271" s="49">
        <v>0.2</v>
      </c>
      <c r="K271" s="49">
        <v>0.4</v>
      </c>
      <c r="L271" s="49">
        <f t="shared" si="38"/>
        <v>0.31760000000000005</v>
      </c>
    </row>
    <row r="272" spans="1:12" s="49" customFormat="1" ht="15" customHeight="1">
      <c r="A272" s="83" t="s">
        <v>137</v>
      </c>
      <c r="B272" s="66" t="s">
        <v>7</v>
      </c>
      <c r="C272" s="69" t="s">
        <v>70</v>
      </c>
      <c r="G272" s="49" t="s">
        <v>22</v>
      </c>
      <c r="H272" s="49">
        <v>1</v>
      </c>
      <c r="I272" s="110">
        <v>4.78</v>
      </c>
      <c r="J272" s="110">
        <v>0.2</v>
      </c>
      <c r="K272" s="110">
        <v>0.2</v>
      </c>
      <c r="L272" s="49">
        <f t="shared" si="38"/>
        <v>0.19120000000000004</v>
      </c>
    </row>
    <row r="273" spans="1:13" s="49" customFormat="1">
      <c r="A273" s="83" t="s">
        <v>137</v>
      </c>
      <c r="B273" s="66" t="s">
        <v>9</v>
      </c>
      <c r="C273" s="69" t="s">
        <v>70</v>
      </c>
      <c r="G273" s="49" t="s">
        <v>22</v>
      </c>
      <c r="H273" s="49">
        <v>1</v>
      </c>
      <c r="I273" s="110">
        <v>4.78</v>
      </c>
      <c r="J273" s="110">
        <v>0.2</v>
      </c>
      <c r="K273" s="110">
        <v>0.2</v>
      </c>
      <c r="L273" s="49">
        <f t="shared" si="38"/>
        <v>0.19120000000000004</v>
      </c>
    </row>
    <row r="274" spans="1:13" s="49" customFormat="1" ht="15" customHeight="1">
      <c r="A274" s="83" t="s">
        <v>137</v>
      </c>
      <c r="B274" s="66" t="s">
        <v>7</v>
      </c>
      <c r="C274" s="69" t="s">
        <v>110</v>
      </c>
      <c r="G274" s="49" t="s">
        <v>22</v>
      </c>
      <c r="H274" s="49">
        <v>1</v>
      </c>
      <c r="I274" s="110">
        <v>2.65</v>
      </c>
      <c r="J274" s="110">
        <v>0.2</v>
      </c>
      <c r="K274" s="110">
        <v>0.2</v>
      </c>
      <c r="L274" s="49">
        <f t="shared" si="38"/>
        <v>0.10600000000000001</v>
      </c>
    </row>
    <row r="275" spans="1:13" s="49" customFormat="1" ht="15" customHeight="1">
      <c r="A275" s="83" t="s">
        <v>137</v>
      </c>
      <c r="B275" s="66" t="s">
        <v>9</v>
      </c>
      <c r="C275" s="69" t="s">
        <v>110</v>
      </c>
      <c r="G275" s="49" t="s">
        <v>22</v>
      </c>
      <c r="H275" s="49">
        <v>1</v>
      </c>
      <c r="I275" s="110">
        <v>2.65</v>
      </c>
      <c r="J275" s="110">
        <v>0.2</v>
      </c>
      <c r="K275" s="110">
        <v>0.2</v>
      </c>
      <c r="L275" s="49">
        <f t="shared" si="38"/>
        <v>0.10600000000000001</v>
      </c>
    </row>
    <row r="276" spans="1:13" s="49" customFormat="1" ht="15" customHeight="1">
      <c r="A276" s="83" t="s">
        <v>137</v>
      </c>
      <c r="B276" s="66" t="s">
        <v>7</v>
      </c>
      <c r="C276" s="69" t="s">
        <v>111</v>
      </c>
      <c r="G276" s="49" t="s">
        <v>22</v>
      </c>
      <c r="H276" s="49">
        <v>1</v>
      </c>
      <c r="I276" s="110">
        <v>4.5999999999999996</v>
      </c>
      <c r="J276" s="110">
        <v>0.2</v>
      </c>
      <c r="K276" s="110">
        <v>0.2</v>
      </c>
      <c r="L276" s="49">
        <f t="shared" si="38"/>
        <v>0.18400000000000002</v>
      </c>
    </row>
    <row r="277" spans="1:13" s="49" customFormat="1" ht="15" customHeight="1">
      <c r="A277" s="83" t="s">
        <v>137</v>
      </c>
      <c r="B277" s="66" t="s">
        <v>9</v>
      </c>
      <c r="C277" s="69" t="s">
        <v>111</v>
      </c>
      <c r="G277" s="49" t="s">
        <v>22</v>
      </c>
      <c r="H277" s="49">
        <v>1</v>
      </c>
      <c r="I277" s="110">
        <v>4.5999999999999996</v>
      </c>
      <c r="J277" s="110">
        <v>0.2</v>
      </c>
      <c r="K277" s="110">
        <v>0.2</v>
      </c>
      <c r="L277" s="49">
        <f t="shared" si="38"/>
        <v>0.18400000000000002</v>
      </c>
    </row>
    <row r="278" spans="1:13" s="49" customFormat="1">
      <c r="A278" s="141" t="s">
        <v>41</v>
      </c>
      <c r="B278" s="141"/>
      <c r="C278" s="141"/>
      <c r="D278" s="141"/>
      <c r="E278" s="141"/>
      <c r="F278" s="141"/>
      <c r="G278" s="141"/>
      <c r="H278" s="141"/>
      <c r="I278" s="141"/>
      <c r="J278" s="141"/>
      <c r="K278" s="141"/>
      <c r="L278" s="141"/>
      <c r="M278" s="109">
        <f>SUM(L248:L277)</f>
        <v>6.8448000000000002</v>
      </c>
    </row>
    <row r="279" spans="1:13" s="70" customFormat="1" ht="15" customHeight="1">
      <c r="A279" s="139" t="s">
        <v>139</v>
      </c>
      <c r="B279" s="139"/>
      <c r="C279" s="139"/>
      <c r="D279" s="139"/>
      <c r="E279" s="139"/>
      <c r="F279" s="139"/>
    </row>
    <row r="280" spans="1:13" s="49" customFormat="1">
      <c r="A280" s="107" t="s">
        <v>126</v>
      </c>
      <c r="B280" s="107" t="s">
        <v>2</v>
      </c>
      <c r="C280" s="107" t="s">
        <v>3</v>
      </c>
      <c r="D280" s="98"/>
      <c r="E280" s="98"/>
      <c r="F280" s="98"/>
      <c r="G280" s="70"/>
      <c r="H280" s="70"/>
    </row>
    <row r="281" spans="1:13" s="49" customFormat="1" ht="15" customHeight="1">
      <c r="A281" s="83" t="s">
        <v>140</v>
      </c>
      <c r="B281" s="111" t="s">
        <v>25</v>
      </c>
      <c r="C281" s="112" t="s">
        <v>80</v>
      </c>
      <c r="H281" s="49">
        <v>1</v>
      </c>
      <c r="I281" s="121">
        <f>3.82+0.4+0.82</f>
        <v>5.04</v>
      </c>
      <c r="J281" s="121">
        <v>0.2</v>
      </c>
      <c r="K281" s="121">
        <v>0.5</v>
      </c>
      <c r="L281" s="49">
        <f>K281*J281*I281*H281</f>
        <v>0.504</v>
      </c>
    </row>
    <row r="282" spans="1:13" s="49" customFormat="1" ht="15" customHeight="1">
      <c r="A282" s="83" t="s">
        <v>140</v>
      </c>
      <c r="B282" s="111" t="s">
        <v>114</v>
      </c>
      <c r="C282" s="112" t="s">
        <v>80</v>
      </c>
      <c r="H282" s="49">
        <v>1</v>
      </c>
      <c r="I282" s="121">
        <f>1.08+0.15+3.82</f>
        <v>5.05</v>
      </c>
      <c r="J282" s="121">
        <v>0.2</v>
      </c>
      <c r="K282" s="121">
        <v>0.5</v>
      </c>
      <c r="L282" s="49">
        <f t="shared" ref="L282:L316" si="39">K282*J282*I282*H282</f>
        <v>0.505</v>
      </c>
    </row>
    <row r="283" spans="1:13" s="49" customFormat="1" ht="15" customHeight="1">
      <c r="A283" s="83" t="s">
        <v>131</v>
      </c>
      <c r="B283" s="66" t="s">
        <v>4</v>
      </c>
      <c r="C283" s="69" t="s">
        <v>71</v>
      </c>
      <c r="G283" s="70"/>
      <c r="H283" s="49">
        <v>1</v>
      </c>
      <c r="I283" s="121">
        <f>1.08+0.15+3.82</f>
        <v>5.05</v>
      </c>
      <c r="J283" s="121">
        <v>0.2</v>
      </c>
      <c r="K283" s="121">
        <v>0.5</v>
      </c>
      <c r="L283" s="49">
        <f t="shared" si="39"/>
        <v>0.505</v>
      </c>
    </row>
    <row r="284" spans="1:13" s="49" customFormat="1" ht="15" customHeight="1">
      <c r="A284" s="83" t="s">
        <v>131</v>
      </c>
      <c r="B284" s="111" t="s">
        <v>11</v>
      </c>
      <c r="C284" s="112" t="s">
        <v>71</v>
      </c>
      <c r="G284" s="70"/>
      <c r="H284" s="49">
        <v>1</v>
      </c>
      <c r="I284" s="84">
        <v>2.48</v>
      </c>
      <c r="J284" s="84">
        <v>0.2</v>
      </c>
      <c r="K284" s="84">
        <v>0.3</v>
      </c>
      <c r="L284" s="49">
        <f t="shared" si="39"/>
        <v>0.14879999999999999</v>
      </c>
    </row>
    <row r="285" spans="1:13" s="49" customFormat="1" ht="15" customHeight="1">
      <c r="A285" s="83" t="s">
        <v>131</v>
      </c>
      <c r="B285" s="111" t="s">
        <v>11</v>
      </c>
      <c r="C285" s="112" t="s">
        <v>72</v>
      </c>
      <c r="G285" s="70"/>
      <c r="H285" s="49">
        <v>1</v>
      </c>
      <c r="I285" s="84">
        <f>7.25/2</f>
        <v>3.625</v>
      </c>
      <c r="J285" s="84">
        <v>0.2</v>
      </c>
      <c r="K285" s="84">
        <v>0.3</v>
      </c>
      <c r="L285" s="49">
        <f t="shared" si="39"/>
        <v>0.2175</v>
      </c>
    </row>
    <row r="286" spans="1:13" s="49" customFormat="1" ht="15" customHeight="1">
      <c r="A286" s="83" t="s">
        <v>141</v>
      </c>
      <c r="B286" s="66" t="s">
        <v>4</v>
      </c>
      <c r="C286" s="69" t="s">
        <v>117</v>
      </c>
      <c r="G286" s="70"/>
      <c r="H286" s="49">
        <v>1</v>
      </c>
      <c r="I286" s="84">
        <v>7.25</v>
      </c>
      <c r="J286" s="84">
        <v>0.4</v>
      </c>
      <c r="K286" s="84">
        <v>0.9</v>
      </c>
      <c r="L286" s="49">
        <f t="shared" si="39"/>
        <v>2.6100000000000003</v>
      </c>
    </row>
    <row r="287" spans="1:13" s="49" customFormat="1" ht="15" customHeight="1">
      <c r="A287" s="83" t="s">
        <v>142</v>
      </c>
      <c r="B287" s="66" t="s">
        <v>121</v>
      </c>
      <c r="C287" s="66">
        <v>3</v>
      </c>
      <c r="G287" s="70"/>
      <c r="H287" s="49">
        <v>1</v>
      </c>
      <c r="I287" s="84">
        <f>3.82+0.4+0.82+1.08+0.15+3.82</f>
        <v>10.09</v>
      </c>
      <c r="J287" s="84">
        <v>0.3</v>
      </c>
      <c r="K287" s="84">
        <v>0.9</v>
      </c>
      <c r="L287" s="49">
        <f t="shared" si="39"/>
        <v>2.7242999999999999</v>
      </c>
    </row>
    <row r="288" spans="1:13" s="49" customFormat="1" ht="15" customHeight="1">
      <c r="A288" s="49" t="s">
        <v>143</v>
      </c>
      <c r="B288" s="66"/>
      <c r="C288" s="66"/>
      <c r="G288" s="70"/>
      <c r="H288" s="49">
        <v>1</v>
      </c>
      <c r="I288" s="84">
        <f>I287</f>
        <v>10.09</v>
      </c>
      <c r="J288" s="84">
        <v>0.3</v>
      </c>
      <c r="K288" s="84">
        <v>0.8</v>
      </c>
      <c r="L288" s="49">
        <f t="shared" si="39"/>
        <v>2.4215999999999998</v>
      </c>
    </row>
    <row r="289" spans="1:12" s="49" customFormat="1" ht="15" customHeight="1">
      <c r="A289" s="83" t="s">
        <v>132</v>
      </c>
      <c r="B289" s="111" t="s">
        <v>11</v>
      </c>
      <c r="C289" s="112" t="s">
        <v>144</v>
      </c>
      <c r="H289" s="49">
        <v>1</v>
      </c>
      <c r="I289" s="121">
        <f>7.25/2+2.38</f>
        <v>6.0049999999999999</v>
      </c>
      <c r="J289" s="121">
        <v>0.2</v>
      </c>
      <c r="K289" s="121">
        <v>0.45</v>
      </c>
      <c r="L289" s="49">
        <f t="shared" si="39"/>
        <v>0.5404500000000001</v>
      </c>
    </row>
    <row r="290" spans="1:12" s="49" customFormat="1" ht="15" customHeight="1">
      <c r="A290" s="83" t="s">
        <v>131</v>
      </c>
      <c r="B290" s="66" t="s">
        <v>4</v>
      </c>
      <c r="C290" s="69" t="s">
        <v>69</v>
      </c>
      <c r="G290" s="70"/>
      <c r="H290" s="49">
        <v>1</v>
      </c>
      <c r="I290" s="84">
        <v>2.38</v>
      </c>
      <c r="J290" s="84">
        <v>0.2</v>
      </c>
      <c r="K290" s="84">
        <v>0.3</v>
      </c>
      <c r="L290" s="49">
        <f t="shared" si="39"/>
        <v>0.14279999999999998</v>
      </c>
    </row>
    <row r="291" spans="1:12" s="49" customFormat="1" ht="15" customHeight="1">
      <c r="A291" s="83" t="s">
        <v>128</v>
      </c>
      <c r="B291" s="66" t="s">
        <v>4</v>
      </c>
      <c r="C291" s="69" t="s">
        <v>70</v>
      </c>
      <c r="G291" s="70"/>
      <c r="H291" s="49">
        <v>1</v>
      </c>
      <c r="I291" s="84">
        <v>4.78</v>
      </c>
      <c r="J291" s="84">
        <v>0.2</v>
      </c>
      <c r="K291" s="84">
        <v>0.35</v>
      </c>
      <c r="L291" s="49">
        <f t="shared" si="39"/>
        <v>0.33460000000000001</v>
      </c>
    </row>
    <row r="292" spans="1:12" s="49" customFormat="1" ht="15" customHeight="1">
      <c r="A292" s="83" t="s">
        <v>131</v>
      </c>
      <c r="B292" s="66" t="s">
        <v>4</v>
      </c>
      <c r="C292" s="69" t="s">
        <v>110</v>
      </c>
      <c r="G292" s="70"/>
      <c r="H292" s="49">
        <v>1</v>
      </c>
      <c r="I292" s="84">
        <v>0.65</v>
      </c>
      <c r="J292" s="84">
        <v>0.2</v>
      </c>
      <c r="K292" s="84">
        <v>0.3</v>
      </c>
      <c r="L292" s="49">
        <f t="shared" si="39"/>
        <v>3.9E-2</v>
      </c>
    </row>
    <row r="293" spans="1:12" s="49" customFormat="1" ht="15" customHeight="1">
      <c r="A293" s="83" t="s">
        <v>128</v>
      </c>
      <c r="B293" s="66" t="s">
        <v>4</v>
      </c>
      <c r="C293" s="69" t="s">
        <v>111</v>
      </c>
      <c r="G293" s="70"/>
      <c r="H293" s="49">
        <v>1</v>
      </c>
      <c r="I293" s="84">
        <v>4.5999999999999996</v>
      </c>
      <c r="J293" s="84">
        <v>0.2</v>
      </c>
      <c r="K293" s="84">
        <v>0.35</v>
      </c>
      <c r="L293" s="49">
        <f t="shared" si="39"/>
        <v>0.32199999999999995</v>
      </c>
    </row>
    <row r="294" spans="1:12" s="49" customFormat="1" ht="15" customHeight="1">
      <c r="A294" s="83" t="s">
        <v>128</v>
      </c>
      <c r="B294" s="66" t="s">
        <v>11</v>
      </c>
      <c r="C294" s="69" t="s">
        <v>70</v>
      </c>
      <c r="G294" s="70"/>
      <c r="H294" s="49">
        <v>1</v>
      </c>
      <c r="I294" s="84">
        <v>4.78</v>
      </c>
      <c r="J294" s="84">
        <v>0.2</v>
      </c>
      <c r="K294" s="84">
        <v>0.35</v>
      </c>
      <c r="L294" s="49">
        <f t="shared" si="39"/>
        <v>0.33460000000000001</v>
      </c>
    </row>
    <row r="295" spans="1:12" s="49" customFormat="1" ht="15" customHeight="1">
      <c r="A295" s="83" t="s">
        <v>131</v>
      </c>
      <c r="B295" s="66" t="s">
        <v>11</v>
      </c>
      <c r="C295" s="69" t="s">
        <v>110</v>
      </c>
      <c r="G295" s="70"/>
      <c r="H295" s="49">
        <v>1</v>
      </c>
      <c r="I295" s="84">
        <v>0.65</v>
      </c>
      <c r="J295" s="84">
        <v>0.2</v>
      </c>
      <c r="K295" s="84">
        <v>0.3</v>
      </c>
      <c r="L295" s="49">
        <f t="shared" si="39"/>
        <v>3.9E-2</v>
      </c>
    </row>
    <row r="296" spans="1:12" s="49" customFormat="1" ht="15" customHeight="1">
      <c r="A296" s="83" t="s">
        <v>128</v>
      </c>
      <c r="B296" s="66" t="s">
        <v>11</v>
      </c>
      <c r="C296" s="69" t="s">
        <v>111</v>
      </c>
      <c r="G296" s="70"/>
      <c r="H296" s="49">
        <v>1</v>
      </c>
      <c r="I296" s="84">
        <v>4.5999999999999996</v>
      </c>
      <c r="J296" s="84">
        <v>0.2</v>
      </c>
      <c r="K296" s="84">
        <v>0.35</v>
      </c>
      <c r="L296" s="49">
        <f t="shared" si="39"/>
        <v>0.32199999999999995</v>
      </c>
    </row>
    <row r="297" spans="1:12" s="49" customFormat="1" ht="15" customHeight="1">
      <c r="A297" s="83" t="s">
        <v>132</v>
      </c>
      <c r="B297" s="111" t="s">
        <v>133</v>
      </c>
      <c r="C297" s="112" t="s">
        <v>83</v>
      </c>
      <c r="H297" s="49">
        <v>1</v>
      </c>
      <c r="I297" s="121">
        <v>3.82</v>
      </c>
      <c r="J297" s="121">
        <v>0.2</v>
      </c>
      <c r="K297" s="121">
        <v>0.45</v>
      </c>
      <c r="L297" s="49">
        <f t="shared" si="39"/>
        <v>0.34380000000000005</v>
      </c>
    </row>
    <row r="298" spans="1:12" s="49" customFormat="1" ht="15" customHeight="1">
      <c r="A298" s="83" t="s">
        <v>135</v>
      </c>
      <c r="B298" s="111" t="s">
        <v>136</v>
      </c>
      <c r="C298" s="112" t="s">
        <v>83</v>
      </c>
      <c r="H298" s="49">
        <v>1</v>
      </c>
      <c r="I298" s="121">
        <f>0.4+0.82+1.08+0.15</f>
        <v>2.4499999999999997</v>
      </c>
      <c r="J298" s="121">
        <v>0.2</v>
      </c>
      <c r="K298" s="121">
        <v>0.4</v>
      </c>
      <c r="L298" s="49">
        <f t="shared" si="39"/>
        <v>0.19600000000000001</v>
      </c>
    </row>
    <row r="299" spans="1:12" s="49" customFormat="1">
      <c r="A299" s="83" t="s">
        <v>132</v>
      </c>
      <c r="B299" s="111" t="s">
        <v>145</v>
      </c>
      <c r="C299" s="112" t="s">
        <v>83</v>
      </c>
      <c r="H299" s="49">
        <v>1</v>
      </c>
      <c r="I299" s="121">
        <v>3.82</v>
      </c>
      <c r="J299" s="121">
        <v>0.2</v>
      </c>
      <c r="K299" s="121">
        <v>0.45</v>
      </c>
      <c r="L299" s="49">
        <f t="shared" si="39"/>
        <v>0.34380000000000005</v>
      </c>
    </row>
    <row r="300" spans="1:12" s="49" customFormat="1">
      <c r="A300" s="83" t="s">
        <v>132</v>
      </c>
      <c r="B300" s="111" t="s">
        <v>133</v>
      </c>
      <c r="C300" s="112" t="s">
        <v>87</v>
      </c>
      <c r="H300" s="49">
        <v>1</v>
      </c>
      <c r="I300" s="121">
        <v>3.82</v>
      </c>
      <c r="J300" s="121">
        <v>0.2</v>
      </c>
      <c r="K300" s="121">
        <v>0.45</v>
      </c>
      <c r="L300" s="49">
        <f t="shared" si="39"/>
        <v>0.34380000000000005</v>
      </c>
    </row>
    <row r="301" spans="1:12" s="49" customFormat="1">
      <c r="A301" s="83" t="s">
        <v>135</v>
      </c>
      <c r="B301" s="111" t="s">
        <v>146</v>
      </c>
      <c r="C301" s="112" t="s">
        <v>87</v>
      </c>
      <c r="H301" s="49">
        <v>1</v>
      </c>
      <c r="I301" s="121">
        <f>0.4+0.82+1.08+0.15</f>
        <v>2.4499999999999997</v>
      </c>
      <c r="J301" s="121">
        <v>0.2</v>
      </c>
      <c r="K301" s="121">
        <v>0.4</v>
      </c>
      <c r="L301" s="49">
        <f t="shared" si="39"/>
        <v>0.19600000000000001</v>
      </c>
    </row>
    <row r="302" spans="1:12" s="49" customFormat="1">
      <c r="A302" s="83" t="s">
        <v>132</v>
      </c>
      <c r="B302" s="111" t="s">
        <v>115</v>
      </c>
      <c r="C302" s="112" t="s">
        <v>87</v>
      </c>
      <c r="H302" s="49">
        <v>1</v>
      </c>
      <c r="I302" s="121">
        <v>3.82</v>
      </c>
      <c r="J302" s="121">
        <v>0.2</v>
      </c>
      <c r="K302" s="121">
        <v>0.45</v>
      </c>
      <c r="L302" s="49">
        <f t="shared" si="39"/>
        <v>0.34380000000000005</v>
      </c>
    </row>
    <row r="303" spans="1:12" s="49" customFormat="1">
      <c r="A303" s="83" t="s">
        <v>132</v>
      </c>
      <c r="B303" s="111" t="s">
        <v>133</v>
      </c>
      <c r="C303" s="112" t="s">
        <v>112</v>
      </c>
      <c r="H303" s="49">
        <v>1</v>
      </c>
      <c r="I303" s="121">
        <v>3.82</v>
      </c>
      <c r="J303" s="121">
        <v>0.2</v>
      </c>
      <c r="K303" s="121">
        <v>0.45</v>
      </c>
      <c r="L303" s="49">
        <f t="shared" si="39"/>
        <v>0.34380000000000005</v>
      </c>
    </row>
    <row r="304" spans="1:12" s="49" customFormat="1">
      <c r="A304" s="83" t="s">
        <v>135</v>
      </c>
      <c r="B304" s="111" t="s">
        <v>146</v>
      </c>
      <c r="C304" s="112" t="s">
        <v>112</v>
      </c>
      <c r="H304" s="49">
        <v>1</v>
      </c>
      <c r="I304" s="121">
        <f>0.4+0.82+1.08+0.15</f>
        <v>2.4499999999999997</v>
      </c>
      <c r="J304" s="121">
        <v>0.2</v>
      </c>
      <c r="K304" s="121">
        <v>0.4</v>
      </c>
      <c r="L304" s="49">
        <f t="shared" si="39"/>
        <v>0.19600000000000001</v>
      </c>
    </row>
    <row r="305" spans="1:13" s="49" customFormat="1">
      <c r="A305" s="83" t="s">
        <v>132</v>
      </c>
      <c r="B305" s="111" t="s">
        <v>115</v>
      </c>
      <c r="C305" s="112" t="s">
        <v>112</v>
      </c>
      <c r="H305" s="49">
        <v>1</v>
      </c>
      <c r="I305" s="121">
        <v>3.82</v>
      </c>
      <c r="J305" s="121">
        <v>0.2</v>
      </c>
      <c r="K305" s="121">
        <v>0.45</v>
      </c>
      <c r="L305" s="49">
        <f t="shared" si="39"/>
        <v>0.34380000000000005</v>
      </c>
    </row>
    <row r="306" spans="1:13" s="49" customFormat="1">
      <c r="A306" s="83" t="s">
        <v>132</v>
      </c>
      <c r="B306" s="111" t="s">
        <v>133</v>
      </c>
      <c r="C306" s="112" t="s">
        <v>118</v>
      </c>
      <c r="H306" s="49">
        <v>1</v>
      </c>
      <c r="I306" s="121">
        <v>3.82</v>
      </c>
      <c r="J306" s="121">
        <v>0.2</v>
      </c>
      <c r="K306" s="121">
        <v>0.45</v>
      </c>
      <c r="L306" s="49">
        <f t="shared" si="39"/>
        <v>0.34380000000000005</v>
      </c>
    </row>
    <row r="307" spans="1:13" s="49" customFormat="1">
      <c r="A307" s="83" t="s">
        <v>135</v>
      </c>
      <c r="B307" s="111" t="s">
        <v>146</v>
      </c>
      <c r="C307" s="112" t="s">
        <v>118</v>
      </c>
      <c r="H307" s="49">
        <v>1</v>
      </c>
      <c r="I307" s="121">
        <f>0.4+0.82+1.08+0.15</f>
        <v>2.4499999999999997</v>
      </c>
      <c r="J307" s="121">
        <v>0.2</v>
      </c>
      <c r="K307" s="121">
        <v>0.4</v>
      </c>
      <c r="L307" s="49">
        <f t="shared" si="39"/>
        <v>0.19600000000000001</v>
      </c>
    </row>
    <row r="308" spans="1:13" s="49" customFormat="1">
      <c r="A308" s="83" t="s">
        <v>132</v>
      </c>
      <c r="B308" s="111" t="s">
        <v>115</v>
      </c>
      <c r="C308" s="112" t="s">
        <v>118</v>
      </c>
      <c r="H308" s="49">
        <v>1</v>
      </c>
      <c r="I308" s="121">
        <v>3.82</v>
      </c>
      <c r="J308" s="121">
        <v>0.2</v>
      </c>
      <c r="K308" s="121">
        <v>0.45</v>
      </c>
      <c r="L308" s="49">
        <f t="shared" si="39"/>
        <v>0.34380000000000005</v>
      </c>
    </row>
    <row r="309" spans="1:13" s="49" customFormat="1">
      <c r="A309" s="83" t="s">
        <v>137</v>
      </c>
      <c r="B309" s="66" t="s">
        <v>8</v>
      </c>
      <c r="C309" s="69" t="s">
        <v>147</v>
      </c>
      <c r="G309" s="70"/>
      <c r="H309" s="49">
        <v>1</v>
      </c>
      <c r="I309" s="84">
        <f>2.48+7.25/2</f>
        <v>6.1050000000000004</v>
      </c>
      <c r="J309" s="84">
        <v>0.2</v>
      </c>
      <c r="K309" s="84">
        <v>0.2</v>
      </c>
      <c r="L309" s="49">
        <f t="shared" si="39"/>
        <v>0.24420000000000006</v>
      </c>
    </row>
    <row r="310" spans="1:13" s="49" customFormat="1">
      <c r="A310" s="83" t="s">
        <v>137</v>
      </c>
      <c r="B310" s="66" t="s">
        <v>8</v>
      </c>
      <c r="C310" s="69" t="s">
        <v>144</v>
      </c>
      <c r="G310" s="70"/>
      <c r="H310" s="49">
        <v>1</v>
      </c>
      <c r="I310" s="84">
        <f>7.25/2+2.38</f>
        <v>6.0049999999999999</v>
      </c>
      <c r="J310" s="84">
        <v>0.2</v>
      </c>
      <c r="K310" s="84">
        <v>0.2</v>
      </c>
      <c r="L310" s="49">
        <f t="shared" si="39"/>
        <v>0.24020000000000005</v>
      </c>
    </row>
    <row r="311" spans="1:13" s="49" customFormat="1">
      <c r="A311" s="83" t="s">
        <v>137</v>
      </c>
      <c r="B311" s="66" t="s">
        <v>7</v>
      </c>
      <c r="C311" s="69" t="s">
        <v>70</v>
      </c>
      <c r="G311" s="70"/>
      <c r="H311" s="49">
        <v>1</v>
      </c>
      <c r="I311" s="84">
        <v>4.78</v>
      </c>
      <c r="J311" s="84">
        <v>0.2</v>
      </c>
      <c r="K311" s="84">
        <v>0.2</v>
      </c>
      <c r="L311" s="49">
        <f t="shared" si="39"/>
        <v>0.19120000000000004</v>
      </c>
    </row>
    <row r="312" spans="1:13" s="49" customFormat="1">
      <c r="A312" s="83" t="s">
        <v>137</v>
      </c>
      <c r="B312" s="66" t="s">
        <v>9</v>
      </c>
      <c r="C312" s="69" t="s">
        <v>70</v>
      </c>
      <c r="G312" s="70"/>
      <c r="H312" s="49">
        <v>1</v>
      </c>
      <c r="I312" s="84">
        <v>4.78</v>
      </c>
      <c r="J312" s="84">
        <v>0.2</v>
      </c>
      <c r="K312" s="84">
        <v>0.2</v>
      </c>
      <c r="L312" s="49">
        <f t="shared" si="39"/>
        <v>0.19120000000000004</v>
      </c>
    </row>
    <row r="313" spans="1:13" s="49" customFormat="1">
      <c r="A313" s="83" t="s">
        <v>137</v>
      </c>
      <c r="B313" s="66" t="s">
        <v>7</v>
      </c>
      <c r="C313" s="69" t="s">
        <v>110</v>
      </c>
      <c r="G313" s="70"/>
      <c r="H313" s="49">
        <v>1</v>
      </c>
      <c r="I313" s="84">
        <v>2.65</v>
      </c>
      <c r="J313" s="84">
        <v>0.2</v>
      </c>
      <c r="K313" s="84">
        <v>0.2</v>
      </c>
      <c r="L313" s="49">
        <f t="shared" si="39"/>
        <v>0.10600000000000001</v>
      </c>
    </row>
    <row r="314" spans="1:13" s="49" customFormat="1">
      <c r="A314" s="83" t="s">
        <v>137</v>
      </c>
      <c r="B314" s="66" t="s">
        <v>9</v>
      </c>
      <c r="C314" s="69" t="s">
        <v>110</v>
      </c>
      <c r="G314" s="70"/>
      <c r="H314" s="49">
        <v>1</v>
      </c>
      <c r="I314" s="84">
        <v>2.65</v>
      </c>
      <c r="J314" s="84">
        <v>0.2</v>
      </c>
      <c r="K314" s="84">
        <v>0.2</v>
      </c>
      <c r="L314" s="49">
        <f t="shared" si="39"/>
        <v>0.10600000000000001</v>
      </c>
    </row>
    <row r="315" spans="1:13" s="49" customFormat="1">
      <c r="A315" s="83" t="s">
        <v>137</v>
      </c>
      <c r="B315" s="66" t="s">
        <v>7</v>
      </c>
      <c r="C315" s="69" t="s">
        <v>111</v>
      </c>
      <c r="G315" s="70"/>
      <c r="H315" s="49">
        <v>1</v>
      </c>
      <c r="I315" s="84">
        <v>4.5999999999999996</v>
      </c>
      <c r="J315" s="84">
        <v>0.2</v>
      </c>
      <c r="K315" s="84">
        <v>0.2</v>
      </c>
      <c r="L315" s="49">
        <f t="shared" si="39"/>
        <v>0.18400000000000002</v>
      </c>
    </row>
    <row r="316" spans="1:13" s="49" customFormat="1">
      <c r="A316" s="83" t="s">
        <v>137</v>
      </c>
      <c r="B316" s="66" t="s">
        <v>9</v>
      </c>
      <c r="C316" s="69" t="s">
        <v>111</v>
      </c>
      <c r="G316" s="70"/>
      <c r="H316" s="49">
        <v>1</v>
      </c>
      <c r="I316" s="84">
        <v>4.5999999999999996</v>
      </c>
      <c r="J316" s="84">
        <v>0.2</v>
      </c>
      <c r="K316" s="84">
        <v>0.2</v>
      </c>
      <c r="L316" s="49">
        <f t="shared" si="39"/>
        <v>0.18400000000000002</v>
      </c>
    </row>
    <row r="317" spans="1:13" s="49" customFormat="1">
      <c r="A317" s="141" t="s">
        <v>41</v>
      </c>
      <c r="B317" s="141"/>
      <c r="C317" s="141"/>
      <c r="D317" s="141"/>
      <c r="E317" s="141"/>
      <c r="F317" s="141"/>
      <c r="G317" s="141"/>
      <c r="H317" s="141"/>
      <c r="I317" s="141"/>
      <c r="J317" s="141"/>
      <c r="K317" s="141"/>
      <c r="L317" s="141"/>
      <c r="M317" s="109">
        <f>SUM(L281:L316)</f>
        <v>16.691849999999999</v>
      </c>
    </row>
    <row r="318" spans="1:13" s="49" customFormat="1" ht="35.25" customHeight="1">
      <c r="A318" s="113">
        <v>7</v>
      </c>
      <c r="B318" s="135" t="s">
        <v>104</v>
      </c>
      <c r="C318" s="135"/>
      <c r="D318" s="135"/>
      <c r="E318" s="135"/>
      <c r="F318" s="135"/>
      <c r="G318" s="135"/>
      <c r="H318" s="135"/>
      <c r="I318" s="135"/>
      <c r="J318" s="135"/>
      <c r="K318" s="135"/>
      <c r="L318" s="135"/>
      <c r="M318" s="135"/>
    </row>
    <row r="319" spans="1:13">
      <c r="A319" s="26"/>
      <c r="B319" s="25" t="s">
        <v>102</v>
      </c>
      <c r="C319" s="25"/>
      <c r="D319" s="25"/>
      <c r="E319" s="25"/>
      <c r="F319" s="25"/>
      <c r="G319" s="26"/>
      <c r="H319" s="27"/>
      <c r="I319" s="27"/>
      <c r="J319" s="27"/>
      <c r="K319" s="27"/>
      <c r="L319" s="27"/>
      <c r="M319" s="27"/>
    </row>
    <row r="320" spans="1:13" ht="15.6">
      <c r="A320" s="22"/>
      <c r="B320" s="2" t="s">
        <v>2</v>
      </c>
      <c r="C320" s="2" t="s">
        <v>3</v>
      </c>
      <c r="D320" s="103"/>
      <c r="E320" s="103"/>
      <c r="F320" s="103"/>
      <c r="G320" s="103"/>
      <c r="H320" s="103"/>
      <c r="I320" s="103"/>
      <c r="J320" s="103"/>
      <c r="K320" s="103"/>
      <c r="L320" s="103"/>
      <c r="M320" s="55"/>
    </row>
    <row r="321" spans="1:13" ht="15.6">
      <c r="A321" s="22"/>
      <c r="B321" s="119" t="s">
        <v>4</v>
      </c>
      <c r="C321" s="118" t="s">
        <v>53</v>
      </c>
      <c r="D321" s="103"/>
      <c r="E321" s="103"/>
      <c r="F321" s="103"/>
      <c r="G321" s="103" t="s">
        <v>22</v>
      </c>
      <c r="H321" s="58">
        <v>1</v>
      </c>
      <c r="I321" s="59">
        <v>25.4</v>
      </c>
      <c r="J321" s="59">
        <v>1.6</v>
      </c>
      <c r="K321" s="59">
        <f>$N$13</f>
        <v>1.48</v>
      </c>
      <c r="L321" s="59">
        <f>K321*J321*I321*H321</f>
        <v>60.147199999999991</v>
      </c>
      <c r="M321" s="55"/>
    </row>
    <row r="322" spans="1:13" ht="15.6">
      <c r="A322" s="22"/>
      <c r="B322" s="119" t="s">
        <v>10</v>
      </c>
      <c r="C322" s="118" t="s">
        <v>53</v>
      </c>
      <c r="D322" s="103"/>
      <c r="E322" s="103"/>
      <c r="F322" s="103"/>
      <c r="G322" s="103" t="s">
        <v>22</v>
      </c>
      <c r="H322" s="58">
        <v>1</v>
      </c>
      <c r="I322" s="59">
        <v>25.4</v>
      </c>
      <c r="J322" s="59">
        <v>1.6</v>
      </c>
      <c r="K322" s="59">
        <f>$N$13+0.3</f>
        <v>1.78</v>
      </c>
      <c r="L322" s="59">
        <f t="shared" ref="L322:L328" si="40">K322*J322*I322*H322</f>
        <v>72.339200000000005</v>
      </c>
      <c r="M322" s="55"/>
    </row>
    <row r="323" spans="1:13" ht="15.6">
      <c r="A323" s="22"/>
      <c r="B323" s="119" t="s">
        <v>90</v>
      </c>
      <c r="C323" s="118" t="s">
        <v>80</v>
      </c>
      <c r="D323" s="103"/>
      <c r="E323" s="103"/>
      <c r="F323" s="103"/>
      <c r="G323" s="103" t="s">
        <v>22</v>
      </c>
      <c r="H323" s="58">
        <v>1</v>
      </c>
      <c r="I323" s="59">
        <v>11.4</v>
      </c>
      <c r="J323" s="59">
        <v>1.6</v>
      </c>
      <c r="K323" s="59">
        <f>$N$13</f>
        <v>1.48</v>
      </c>
      <c r="L323" s="59">
        <f t="shared" si="40"/>
        <v>26.995200000000001</v>
      </c>
      <c r="M323" s="55"/>
    </row>
    <row r="324" spans="1:13" ht="15.6">
      <c r="A324" s="22"/>
      <c r="B324" s="119" t="s">
        <v>90</v>
      </c>
      <c r="C324" s="118" t="s">
        <v>87</v>
      </c>
      <c r="D324" s="103"/>
      <c r="E324" s="103"/>
      <c r="F324" s="103"/>
      <c r="G324" s="103" t="s">
        <v>22</v>
      </c>
      <c r="H324" s="58">
        <v>1</v>
      </c>
      <c r="I324" s="59">
        <v>11.4</v>
      </c>
      <c r="J324" s="59">
        <v>1.6</v>
      </c>
      <c r="K324" s="59">
        <f>$N$13</f>
        <v>1.48</v>
      </c>
      <c r="L324" s="59">
        <f t="shared" si="40"/>
        <v>26.995200000000001</v>
      </c>
      <c r="M324" s="55"/>
    </row>
    <row r="325" spans="1:13" ht="15.6">
      <c r="A325" s="22"/>
      <c r="B325" s="119" t="s">
        <v>81</v>
      </c>
      <c r="C325" s="118" t="s">
        <v>91</v>
      </c>
      <c r="D325" s="103"/>
      <c r="E325" s="103"/>
      <c r="F325" s="103"/>
      <c r="G325" s="103" t="s">
        <v>22</v>
      </c>
      <c r="H325" s="58">
        <v>1</v>
      </c>
      <c r="I325" s="59">
        <v>2.75</v>
      </c>
      <c r="J325" s="59">
        <v>1.6</v>
      </c>
      <c r="K325" s="59">
        <f>$N$13+0.4</f>
        <v>1.88</v>
      </c>
      <c r="L325" s="59">
        <f t="shared" si="40"/>
        <v>8.2720000000000002</v>
      </c>
      <c r="M325" s="55"/>
    </row>
    <row r="326" spans="1:13" ht="15.6">
      <c r="A326" s="22"/>
      <c r="B326" s="119" t="s">
        <v>81</v>
      </c>
      <c r="C326" s="118" t="s">
        <v>82</v>
      </c>
      <c r="D326" s="103"/>
      <c r="E326" s="103"/>
      <c r="F326" s="103"/>
      <c r="G326" s="103" t="s">
        <v>22</v>
      </c>
      <c r="H326" s="58">
        <v>1</v>
      </c>
      <c r="I326" s="59">
        <v>2.75</v>
      </c>
      <c r="J326" s="59">
        <v>1.6</v>
      </c>
      <c r="K326" s="59">
        <f>$N$13</f>
        <v>1.48</v>
      </c>
      <c r="L326" s="59">
        <f t="shared" si="40"/>
        <v>6.5119999999999996</v>
      </c>
      <c r="M326" s="55"/>
    </row>
    <row r="327" spans="1:13" ht="15.6">
      <c r="A327" s="22"/>
      <c r="B327" s="119" t="s">
        <v>81</v>
      </c>
      <c r="C327" s="118" t="s">
        <v>79</v>
      </c>
      <c r="D327" s="56"/>
      <c r="E327" s="56"/>
      <c r="F327" s="56"/>
      <c r="G327" s="86" t="s">
        <v>22</v>
      </c>
      <c r="H327" s="58">
        <v>1</v>
      </c>
      <c r="I327" s="59">
        <v>2.75</v>
      </c>
      <c r="J327" s="59">
        <v>1.6</v>
      </c>
      <c r="K327" s="59">
        <f>$N$13</f>
        <v>1.48</v>
      </c>
      <c r="L327" s="59">
        <f t="shared" si="40"/>
        <v>6.5119999999999996</v>
      </c>
      <c r="M327" s="12"/>
    </row>
    <row r="328" spans="1:13" ht="15.6">
      <c r="A328" s="22"/>
      <c r="B328" s="119" t="s">
        <v>81</v>
      </c>
      <c r="C328" s="118" t="s">
        <v>83</v>
      </c>
      <c r="D328" s="56"/>
      <c r="E328" s="56"/>
      <c r="F328" s="56"/>
      <c r="G328" s="86" t="s">
        <v>22</v>
      </c>
      <c r="H328" s="58">
        <v>1</v>
      </c>
      <c r="I328" s="59">
        <v>2.75</v>
      </c>
      <c r="J328" s="59">
        <v>1.6</v>
      </c>
      <c r="K328" s="59">
        <f>$N$13</f>
        <v>1.48</v>
      </c>
      <c r="L328" s="59">
        <f t="shared" si="40"/>
        <v>6.5119999999999996</v>
      </c>
      <c r="M328" s="12"/>
    </row>
    <row r="329" spans="1:13">
      <c r="A329" s="26"/>
      <c r="B329" s="25" t="s">
        <v>103</v>
      </c>
      <c r="C329" s="25"/>
      <c r="D329" s="25"/>
      <c r="E329" s="25"/>
      <c r="F329" s="25"/>
      <c r="G329" s="26"/>
      <c r="H329" s="27"/>
      <c r="I329" s="27"/>
      <c r="J329" s="27"/>
      <c r="K329" s="27"/>
      <c r="L329" s="27"/>
      <c r="M329" s="27"/>
    </row>
    <row r="330" spans="1:13" s="45" customFormat="1">
      <c r="A330" s="63"/>
      <c r="B330" s="2" t="s">
        <v>2</v>
      </c>
      <c r="C330" s="2" t="s">
        <v>3</v>
      </c>
      <c r="D330" s="63"/>
      <c r="F330" s="64"/>
      <c r="G330" s="96"/>
      <c r="H330" s="64"/>
      <c r="I330" s="64"/>
      <c r="J330" s="64"/>
      <c r="K330" s="64"/>
      <c r="L330" s="64"/>
      <c r="M330" s="64"/>
    </row>
    <row r="331" spans="1:13" s="70" customFormat="1">
      <c r="A331" s="88" t="s">
        <v>106</v>
      </c>
      <c r="B331" s="89" t="s">
        <v>4</v>
      </c>
      <c r="C331" s="89">
        <v>1</v>
      </c>
      <c r="D331" s="70">
        <v>1</v>
      </c>
      <c r="E331" s="70">
        <v>1</v>
      </c>
      <c r="F331" s="74">
        <v>0.25</v>
      </c>
      <c r="G331" s="98" t="s">
        <v>22</v>
      </c>
      <c r="H331" s="70">
        <v>-1</v>
      </c>
      <c r="I331" s="70">
        <f>D331</f>
        <v>1</v>
      </c>
      <c r="J331" s="70">
        <f>E331</f>
        <v>1</v>
      </c>
      <c r="K331" s="70">
        <v>0.1</v>
      </c>
      <c r="L331" s="70">
        <f>H331*I331*J331*K331</f>
        <v>-0.1</v>
      </c>
    </row>
    <row r="332" spans="1:13" s="70" customFormat="1">
      <c r="A332" s="88" t="s">
        <v>105</v>
      </c>
      <c r="B332" s="89" t="s">
        <v>4</v>
      </c>
      <c r="C332" s="73">
        <v>2</v>
      </c>
      <c r="D332" s="70">
        <v>1.5</v>
      </c>
      <c r="E332" s="70">
        <v>1.5</v>
      </c>
      <c r="F332" s="74">
        <v>0.4</v>
      </c>
      <c r="G332" s="98" t="s">
        <v>22</v>
      </c>
      <c r="H332" s="70">
        <v>-1</v>
      </c>
      <c r="I332" s="70">
        <f t="shared" ref="I332:I337" si="41">D332</f>
        <v>1.5</v>
      </c>
      <c r="J332" s="70">
        <f t="shared" ref="J332:J337" si="42">E332</f>
        <v>1.5</v>
      </c>
      <c r="K332" s="70">
        <v>0.1</v>
      </c>
      <c r="L332" s="70">
        <f t="shared" ref="L332:L337" si="43">H332*I332*J332*K332</f>
        <v>-0.22500000000000001</v>
      </c>
      <c r="M332" s="70" t="str">
        <f t="shared" ref="M332:M337" si="44">IF(I332=10,G332*H332*J332,"")</f>
        <v/>
      </c>
    </row>
    <row r="333" spans="1:13" s="70" customFormat="1">
      <c r="A333" s="88" t="s">
        <v>107</v>
      </c>
      <c r="B333" s="89" t="s">
        <v>4</v>
      </c>
      <c r="C333" s="89">
        <v>4</v>
      </c>
      <c r="D333" s="70">
        <v>1.5</v>
      </c>
      <c r="E333" s="97">
        <v>1.5</v>
      </c>
      <c r="F333" s="73">
        <v>0.4</v>
      </c>
      <c r="G333" s="98" t="s">
        <v>22</v>
      </c>
      <c r="H333" s="70">
        <v>-1</v>
      </c>
      <c r="I333" s="70">
        <f t="shared" si="41"/>
        <v>1.5</v>
      </c>
      <c r="J333" s="70">
        <f t="shared" si="42"/>
        <v>1.5</v>
      </c>
      <c r="K333" s="70">
        <v>0.1</v>
      </c>
      <c r="L333" s="70">
        <f t="shared" si="43"/>
        <v>-0.22500000000000001</v>
      </c>
      <c r="M333" s="70" t="str">
        <f t="shared" si="44"/>
        <v/>
      </c>
    </row>
    <row r="334" spans="1:13" s="70" customFormat="1">
      <c r="A334" s="88" t="s">
        <v>21</v>
      </c>
      <c r="B334" s="89" t="s">
        <v>4</v>
      </c>
      <c r="C334" s="73">
        <v>5</v>
      </c>
      <c r="D334" s="70">
        <v>1.1000000000000001</v>
      </c>
      <c r="E334" s="70">
        <v>1.1000000000000001</v>
      </c>
      <c r="F334" s="73">
        <v>0.25</v>
      </c>
      <c r="G334" s="98" t="s">
        <v>22</v>
      </c>
      <c r="H334" s="70">
        <v>-1</v>
      </c>
      <c r="I334" s="70">
        <f t="shared" si="41"/>
        <v>1.1000000000000001</v>
      </c>
      <c r="J334" s="70">
        <f t="shared" si="42"/>
        <v>1.1000000000000001</v>
      </c>
      <c r="K334" s="70">
        <v>0.1</v>
      </c>
      <c r="L334" s="70">
        <f t="shared" si="43"/>
        <v>-0.12100000000000002</v>
      </c>
      <c r="M334" s="70" t="str">
        <f t="shared" si="44"/>
        <v/>
      </c>
    </row>
    <row r="335" spans="1:13" s="70" customFormat="1">
      <c r="A335" s="88" t="s">
        <v>109</v>
      </c>
      <c r="B335" s="89" t="s">
        <v>4</v>
      </c>
      <c r="C335" s="73">
        <v>6</v>
      </c>
      <c r="D335" s="70">
        <v>1.2</v>
      </c>
      <c r="E335" s="70">
        <v>1.2</v>
      </c>
      <c r="F335" s="73">
        <v>0.3</v>
      </c>
      <c r="G335" s="98" t="s">
        <v>22</v>
      </c>
      <c r="H335" s="70">
        <v>-1</v>
      </c>
      <c r="I335" s="70">
        <f t="shared" si="41"/>
        <v>1.2</v>
      </c>
      <c r="J335" s="70">
        <f t="shared" si="42"/>
        <v>1.2</v>
      </c>
      <c r="K335" s="70">
        <v>0.1</v>
      </c>
      <c r="L335" s="70">
        <f t="shared" si="43"/>
        <v>-0.14399999999999999</v>
      </c>
      <c r="M335" s="70" t="str">
        <f t="shared" si="44"/>
        <v/>
      </c>
    </row>
    <row r="336" spans="1:13" s="70" customFormat="1">
      <c r="A336" s="88" t="s">
        <v>109</v>
      </c>
      <c r="B336" s="89" t="s">
        <v>4</v>
      </c>
      <c r="C336" s="89">
        <v>7</v>
      </c>
      <c r="D336" s="90">
        <v>1.2</v>
      </c>
      <c r="E336" s="90">
        <v>1.2</v>
      </c>
      <c r="F336" s="73">
        <v>0.3</v>
      </c>
      <c r="G336" s="98" t="s">
        <v>22</v>
      </c>
      <c r="H336" s="70">
        <v>-1</v>
      </c>
      <c r="I336" s="70">
        <f t="shared" si="41"/>
        <v>1.2</v>
      </c>
      <c r="J336" s="70">
        <f t="shared" si="42"/>
        <v>1.2</v>
      </c>
      <c r="K336" s="70">
        <v>0.1</v>
      </c>
      <c r="L336" s="70">
        <f t="shared" si="43"/>
        <v>-0.14399999999999999</v>
      </c>
      <c r="M336" s="70" t="str">
        <f t="shared" si="44"/>
        <v/>
      </c>
    </row>
    <row r="337" spans="1:19" s="70" customFormat="1">
      <c r="A337" s="88" t="s">
        <v>107</v>
      </c>
      <c r="B337" s="89" t="s">
        <v>8</v>
      </c>
      <c r="C337" s="89">
        <v>1</v>
      </c>
      <c r="D337" s="70">
        <v>1.5</v>
      </c>
      <c r="E337" s="70">
        <v>1.5</v>
      </c>
      <c r="F337" s="73">
        <v>0.4</v>
      </c>
      <c r="G337" s="98" t="s">
        <v>22</v>
      </c>
      <c r="H337" s="70">
        <v>-1</v>
      </c>
      <c r="I337" s="70">
        <f t="shared" si="41"/>
        <v>1.5</v>
      </c>
      <c r="J337" s="70">
        <f t="shared" si="42"/>
        <v>1.5</v>
      </c>
      <c r="K337" s="70">
        <v>0.1</v>
      </c>
      <c r="L337" s="70">
        <f t="shared" si="43"/>
        <v>-0.22500000000000001</v>
      </c>
      <c r="M337" s="70" t="str">
        <f t="shared" si="44"/>
        <v/>
      </c>
    </row>
    <row r="338" spans="1:19" s="70" customFormat="1">
      <c r="A338" s="2" t="s">
        <v>2</v>
      </c>
      <c r="B338" s="2" t="s">
        <v>3</v>
      </c>
      <c r="C338" s="2" t="s">
        <v>12</v>
      </c>
      <c r="D338" s="82"/>
      <c r="E338" s="73"/>
      <c r="F338" s="73"/>
      <c r="G338" s="98"/>
      <c r="K338" s="70" t="str">
        <f t="shared" ref="K338" si="45">IF(I338=6,G338*H338*J338,"")</f>
        <v/>
      </c>
      <c r="L338" s="70" t="str">
        <f t="shared" ref="L338" si="46">IF(I338=8,G338*H338*J338,"")</f>
        <v/>
      </c>
      <c r="M338" s="70" t="str">
        <f t="shared" ref="M338" si="47">IF(I338=10,G338*H338*J338,"")</f>
        <v/>
      </c>
      <c r="N338" s="70" t="str">
        <f t="shared" ref="N338" si="48">IF(I338=12,G338*H338*J338,"")</f>
        <v/>
      </c>
      <c r="O338" s="70" t="str">
        <f t="shared" ref="O338" si="49">IF(I338=14,G338*H338*J338,"")</f>
        <v/>
      </c>
      <c r="P338" s="70" t="str">
        <f t="shared" ref="P338" si="50">IF(I338=16,G338*H338*J338,"")</f>
        <v/>
      </c>
      <c r="Q338" s="70" t="str">
        <f t="shared" ref="Q338" si="51">IF(I338=20,G338*H338*J338,"")</f>
        <v/>
      </c>
      <c r="S338" s="70" t="str">
        <f t="shared" ref="S338" si="52">IF(I338=32,G338*H338*J338,"")</f>
        <v/>
      </c>
    </row>
    <row r="339" spans="1:19" s="70" customFormat="1">
      <c r="A339" s="71" t="s">
        <v>7</v>
      </c>
      <c r="B339" s="72" t="s">
        <v>70</v>
      </c>
      <c r="C339" s="89" t="s">
        <v>116</v>
      </c>
      <c r="D339" s="98"/>
      <c r="E339" s="98"/>
      <c r="F339" s="98"/>
      <c r="G339" s="98" t="s">
        <v>22</v>
      </c>
      <c r="H339" s="70">
        <v>-1</v>
      </c>
      <c r="I339" s="73">
        <v>4.8</v>
      </c>
      <c r="J339" s="73">
        <v>0.4</v>
      </c>
      <c r="K339" s="73">
        <v>0.1</v>
      </c>
      <c r="L339" s="70">
        <f>K339*J339*I339*H339</f>
        <v>-0.19200000000000003</v>
      </c>
    </row>
    <row r="340" spans="1:19" s="70" customFormat="1">
      <c r="A340" s="71" t="s">
        <v>7</v>
      </c>
      <c r="B340" s="72" t="s">
        <v>110</v>
      </c>
      <c r="C340" s="89" t="s">
        <v>116</v>
      </c>
      <c r="D340" s="98"/>
      <c r="E340" s="98"/>
      <c r="F340" s="98"/>
      <c r="G340" s="98" t="s">
        <v>22</v>
      </c>
      <c r="H340" s="70">
        <v>-1</v>
      </c>
      <c r="I340" s="73">
        <v>2.65</v>
      </c>
      <c r="J340" s="73">
        <v>0.4</v>
      </c>
      <c r="K340" s="73">
        <v>0.1</v>
      </c>
      <c r="L340" s="70">
        <f t="shared" ref="L340:L357" si="53">K340*J340*I340*H340</f>
        <v>-0.10600000000000001</v>
      </c>
    </row>
    <row r="341" spans="1:19" s="70" customFormat="1">
      <c r="A341" s="71" t="s">
        <v>7</v>
      </c>
      <c r="B341" s="72" t="s">
        <v>111</v>
      </c>
      <c r="C341" s="89" t="s">
        <v>116</v>
      </c>
      <c r="D341" s="98"/>
      <c r="E341" s="98"/>
      <c r="F341" s="98"/>
      <c r="G341" s="98" t="s">
        <v>22</v>
      </c>
      <c r="H341" s="70">
        <v>-1</v>
      </c>
      <c r="I341" s="73">
        <v>4.5999999999999996</v>
      </c>
      <c r="J341" s="73">
        <v>0.4</v>
      </c>
      <c r="K341" s="73">
        <v>0.1</v>
      </c>
      <c r="L341" s="70">
        <f t="shared" si="53"/>
        <v>-0.18400000000000002</v>
      </c>
    </row>
    <row r="342" spans="1:19" s="70" customFormat="1">
      <c r="A342" s="71" t="s">
        <v>8</v>
      </c>
      <c r="B342" s="72" t="s">
        <v>71</v>
      </c>
      <c r="C342" s="89" t="s">
        <v>14</v>
      </c>
      <c r="D342" s="98"/>
      <c r="E342" s="98"/>
      <c r="F342" s="98"/>
      <c r="G342" s="98" t="s">
        <v>22</v>
      </c>
      <c r="H342" s="70">
        <v>-1</v>
      </c>
      <c r="I342" s="73">
        <v>2.48</v>
      </c>
      <c r="J342" s="73">
        <v>0.4</v>
      </c>
      <c r="K342" s="73">
        <v>0.1</v>
      </c>
      <c r="L342" s="70">
        <f t="shared" si="53"/>
        <v>-9.9200000000000024E-2</v>
      </c>
    </row>
    <row r="343" spans="1:19" s="70" customFormat="1">
      <c r="A343" s="71" t="s">
        <v>8</v>
      </c>
      <c r="B343" s="72" t="s">
        <v>72</v>
      </c>
      <c r="C343" s="89" t="s">
        <v>14</v>
      </c>
      <c r="D343" s="98"/>
      <c r="E343" s="98"/>
      <c r="F343" s="98"/>
      <c r="G343" s="98" t="s">
        <v>22</v>
      </c>
      <c r="H343" s="70">
        <v>-1</v>
      </c>
      <c r="I343" s="73">
        <v>3.7</v>
      </c>
      <c r="J343" s="73">
        <v>0.4</v>
      </c>
      <c r="K343" s="73">
        <v>0.1</v>
      </c>
      <c r="L343" s="70">
        <f t="shared" si="53"/>
        <v>-0.14800000000000005</v>
      </c>
    </row>
    <row r="344" spans="1:19" s="70" customFormat="1">
      <c r="A344" s="71" t="s">
        <v>8</v>
      </c>
      <c r="B344" s="72" t="s">
        <v>73</v>
      </c>
      <c r="C344" s="89" t="s">
        <v>14</v>
      </c>
      <c r="D344" s="98"/>
      <c r="E344" s="98"/>
      <c r="F344" s="98"/>
      <c r="G344" s="98" t="s">
        <v>22</v>
      </c>
      <c r="H344" s="70">
        <v>-1</v>
      </c>
      <c r="I344" s="73">
        <v>3.7</v>
      </c>
      <c r="J344" s="73">
        <v>0.4</v>
      </c>
      <c r="K344" s="73">
        <v>0.1</v>
      </c>
      <c r="L344" s="70">
        <f t="shared" si="53"/>
        <v>-0.14800000000000005</v>
      </c>
    </row>
    <row r="345" spans="1:19" s="70" customFormat="1">
      <c r="A345" s="71" t="s">
        <v>8</v>
      </c>
      <c r="B345" s="72" t="s">
        <v>69</v>
      </c>
      <c r="C345" s="89" t="s">
        <v>14</v>
      </c>
      <c r="D345" s="98"/>
      <c r="E345" s="98"/>
      <c r="F345" s="98"/>
      <c r="G345" s="98" t="s">
        <v>22</v>
      </c>
      <c r="H345" s="70">
        <v>-1</v>
      </c>
      <c r="I345" s="73">
        <v>2.38</v>
      </c>
      <c r="J345" s="73">
        <v>0.4</v>
      </c>
      <c r="K345" s="73">
        <v>0.1</v>
      </c>
      <c r="L345" s="70">
        <f t="shared" si="53"/>
        <v>-9.5200000000000021E-2</v>
      </c>
    </row>
    <row r="346" spans="1:19" s="70" customFormat="1">
      <c r="A346" s="71" t="s">
        <v>9</v>
      </c>
      <c r="B346" s="72" t="s">
        <v>70</v>
      </c>
      <c r="C346" s="89" t="s">
        <v>116</v>
      </c>
      <c r="D346" s="98"/>
      <c r="E346" s="98"/>
      <c r="F346" s="98"/>
      <c r="G346" s="98" t="s">
        <v>22</v>
      </c>
      <c r="H346" s="70">
        <v>-1</v>
      </c>
      <c r="I346" s="73">
        <v>4.78</v>
      </c>
      <c r="J346" s="73">
        <v>0.4</v>
      </c>
      <c r="K346" s="73">
        <v>0.1</v>
      </c>
      <c r="L346" s="70">
        <f t="shared" si="53"/>
        <v>-0.19120000000000004</v>
      </c>
    </row>
    <row r="347" spans="1:19" s="70" customFormat="1">
      <c r="A347" s="71" t="s">
        <v>9</v>
      </c>
      <c r="B347" s="72" t="s">
        <v>110</v>
      </c>
      <c r="C347" s="89" t="s">
        <v>116</v>
      </c>
      <c r="D347" s="98"/>
      <c r="E347" s="98"/>
      <c r="F347" s="98"/>
      <c r="G347" s="98" t="s">
        <v>22</v>
      </c>
      <c r="H347" s="70">
        <v>-1</v>
      </c>
      <c r="I347" s="73">
        <v>2.65</v>
      </c>
      <c r="J347" s="73">
        <v>0.4</v>
      </c>
      <c r="K347" s="73">
        <v>0.1</v>
      </c>
      <c r="L347" s="70">
        <f t="shared" si="53"/>
        <v>-0.10600000000000001</v>
      </c>
    </row>
    <row r="348" spans="1:19" s="70" customFormat="1">
      <c r="A348" s="71" t="s">
        <v>25</v>
      </c>
      <c r="B348" s="72" t="s">
        <v>91</v>
      </c>
      <c r="C348" s="89" t="s">
        <v>14</v>
      </c>
      <c r="G348" s="98" t="s">
        <v>22</v>
      </c>
      <c r="H348" s="70">
        <v>-1</v>
      </c>
      <c r="I348" s="73">
        <f>3.82+0.4+0.82</f>
        <v>5.04</v>
      </c>
      <c r="J348" s="73">
        <v>0.4</v>
      </c>
      <c r="K348" s="73">
        <v>0.1</v>
      </c>
      <c r="L348" s="70">
        <f t="shared" si="53"/>
        <v>-0.20160000000000003</v>
      </c>
    </row>
    <row r="349" spans="1:19" s="70" customFormat="1">
      <c r="A349" s="89" t="s">
        <v>25</v>
      </c>
      <c r="B349" s="72" t="s">
        <v>79</v>
      </c>
      <c r="C349" s="89" t="s">
        <v>14</v>
      </c>
      <c r="D349" s="98"/>
      <c r="E349" s="98"/>
      <c r="F349" s="98"/>
      <c r="G349" s="98" t="s">
        <v>22</v>
      </c>
      <c r="H349" s="70">
        <v>-1</v>
      </c>
      <c r="I349" s="73">
        <v>5.04</v>
      </c>
      <c r="J349" s="73">
        <v>0.4</v>
      </c>
      <c r="K349" s="73">
        <v>0.1</v>
      </c>
      <c r="L349" s="70">
        <f t="shared" si="53"/>
        <v>-0.20160000000000003</v>
      </c>
    </row>
    <row r="350" spans="1:19" s="70" customFormat="1">
      <c r="A350" s="71" t="s">
        <v>113</v>
      </c>
      <c r="B350" s="72" t="s">
        <v>83</v>
      </c>
      <c r="C350" s="89" t="s">
        <v>116</v>
      </c>
      <c r="D350" s="98"/>
      <c r="E350" s="98"/>
      <c r="F350" s="98"/>
      <c r="G350" s="98" t="s">
        <v>22</v>
      </c>
      <c r="H350" s="70">
        <v>-1</v>
      </c>
      <c r="I350" s="73">
        <f>3.82+0.4+0.82+1.08</f>
        <v>6.12</v>
      </c>
      <c r="J350" s="73">
        <v>0.4</v>
      </c>
      <c r="K350" s="73">
        <v>0.1</v>
      </c>
      <c r="L350" s="70">
        <f t="shared" si="53"/>
        <v>-0.24480000000000005</v>
      </c>
    </row>
    <row r="351" spans="1:19" s="70" customFormat="1">
      <c r="A351" s="71" t="s">
        <v>113</v>
      </c>
      <c r="B351" s="72" t="s">
        <v>87</v>
      </c>
      <c r="C351" s="89" t="s">
        <v>116</v>
      </c>
      <c r="G351" s="98" t="s">
        <v>22</v>
      </c>
      <c r="H351" s="70">
        <v>-1</v>
      </c>
      <c r="I351" s="73">
        <v>6.12</v>
      </c>
      <c r="J351" s="73">
        <v>0.4</v>
      </c>
      <c r="K351" s="73">
        <v>0.1</v>
      </c>
      <c r="L351" s="70">
        <f t="shared" si="53"/>
        <v>-0.24480000000000005</v>
      </c>
    </row>
    <row r="352" spans="1:19" s="70" customFormat="1">
      <c r="A352" s="89" t="s">
        <v>113</v>
      </c>
      <c r="B352" s="72" t="s">
        <v>112</v>
      </c>
      <c r="C352" s="89" t="s">
        <v>116</v>
      </c>
      <c r="D352" s="98"/>
      <c r="E352" s="98"/>
      <c r="F352" s="98"/>
      <c r="G352" s="98" t="s">
        <v>22</v>
      </c>
      <c r="H352" s="70">
        <v>-1</v>
      </c>
      <c r="I352" s="73">
        <v>6.12</v>
      </c>
      <c r="J352" s="73">
        <v>0.4</v>
      </c>
      <c r="K352" s="73">
        <v>0.1</v>
      </c>
      <c r="L352" s="70">
        <f t="shared" si="53"/>
        <v>-0.24480000000000005</v>
      </c>
    </row>
    <row r="353" spans="1:12" s="70" customFormat="1">
      <c r="A353" s="71" t="s">
        <v>114</v>
      </c>
      <c r="B353" s="72" t="s">
        <v>91</v>
      </c>
      <c r="C353" s="89" t="s">
        <v>14</v>
      </c>
      <c r="D353" s="98"/>
      <c r="E353" s="98"/>
      <c r="F353" s="98"/>
      <c r="G353" s="98" t="s">
        <v>22</v>
      </c>
      <c r="H353" s="70">
        <v>-1</v>
      </c>
      <c r="I353" s="73">
        <f>1.8+0.15+3.82</f>
        <v>5.77</v>
      </c>
      <c r="J353" s="73">
        <v>0.4</v>
      </c>
      <c r="K353" s="73">
        <v>0.1</v>
      </c>
      <c r="L353" s="70">
        <f t="shared" si="53"/>
        <v>-0.23080000000000003</v>
      </c>
    </row>
    <row r="354" spans="1:12" s="70" customFormat="1">
      <c r="A354" s="71" t="s">
        <v>114</v>
      </c>
      <c r="B354" s="72" t="s">
        <v>82</v>
      </c>
      <c r="C354" s="89" t="s">
        <v>14</v>
      </c>
      <c r="D354" s="98"/>
      <c r="E354" s="98"/>
      <c r="F354" s="98"/>
      <c r="G354" s="98" t="s">
        <v>22</v>
      </c>
      <c r="H354" s="70">
        <v>-1</v>
      </c>
      <c r="I354" s="73">
        <v>5.77</v>
      </c>
      <c r="J354" s="73">
        <v>0.4</v>
      </c>
      <c r="K354" s="73">
        <v>0.1</v>
      </c>
      <c r="L354" s="70">
        <f t="shared" si="53"/>
        <v>-0.23080000000000003</v>
      </c>
    </row>
    <row r="355" spans="1:12" s="70" customFormat="1">
      <c r="A355" s="71" t="s">
        <v>115</v>
      </c>
      <c r="B355" s="72" t="s">
        <v>83</v>
      </c>
      <c r="C355" s="89" t="s">
        <v>116</v>
      </c>
      <c r="D355" s="98"/>
      <c r="E355" s="98"/>
      <c r="F355" s="98"/>
      <c r="G355" s="98" t="s">
        <v>22</v>
      </c>
      <c r="H355" s="70">
        <v>-1</v>
      </c>
      <c r="I355" s="73">
        <f>3.82+0.15</f>
        <v>3.9699999999999998</v>
      </c>
      <c r="J355" s="73">
        <v>0.4</v>
      </c>
      <c r="K355" s="73">
        <v>0.1</v>
      </c>
      <c r="L355" s="70">
        <f t="shared" si="53"/>
        <v>-0.15880000000000002</v>
      </c>
    </row>
    <row r="356" spans="1:12" s="70" customFormat="1">
      <c r="A356" s="71" t="s">
        <v>115</v>
      </c>
      <c r="B356" s="72" t="s">
        <v>87</v>
      </c>
      <c r="C356" s="89" t="s">
        <v>116</v>
      </c>
      <c r="D356" s="98"/>
      <c r="E356" s="98"/>
      <c r="F356" s="98"/>
      <c r="G356" s="98" t="s">
        <v>22</v>
      </c>
      <c r="H356" s="70">
        <v>-1</v>
      </c>
      <c r="I356" s="73">
        <f>0.15+3.82</f>
        <v>3.9699999999999998</v>
      </c>
      <c r="J356" s="73">
        <v>0.4</v>
      </c>
      <c r="K356" s="73">
        <v>0.1</v>
      </c>
      <c r="L356" s="70">
        <f t="shared" si="53"/>
        <v>-0.15880000000000002</v>
      </c>
    </row>
    <row r="357" spans="1:12" s="70" customFormat="1">
      <c r="A357" s="71" t="s">
        <v>115</v>
      </c>
      <c r="B357" s="72" t="s">
        <v>112</v>
      </c>
      <c r="C357" s="89" t="s">
        <v>116</v>
      </c>
      <c r="D357" s="98"/>
      <c r="E357" s="98"/>
      <c r="F357" s="98"/>
      <c r="G357" s="98" t="s">
        <v>22</v>
      </c>
      <c r="H357" s="70">
        <v>-1</v>
      </c>
      <c r="I357" s="73">
        <f>0.15+3.82</f>
        <v>3.9699999999999998</v>
      </c>
      <c r="J357" s="73">
        <v>0.4</v>
      </c>
      <c r="K357" s="73">
        <v>0.1</v>
      </c>
      <c r="L357" s="70">
        <f t="shared" si="53"/>
        <v>-0.15880000000000002</v>
      </c>
    </row>
    <row r="358" spans="1:12" s="70" customFormat="1">
      <c r="A358" s="2" t="s">
        <v>2</v>
      </c>
      <c r="B358" s="2" t="s">
        <v>3</v>
      </c>
      <c r="C358" s="2" t="s">
        <v>12</v>
      </c>
      <c r="D358" s="63"/>
      <c r="E358" s="73"/>
      <c r="F358" s="73"/>
      <c r="G358" s="98"/>
    </row>
    <row r="359" spans="1:12" s="70" customFormat="1">
      <c r="A359" s="72" t="s">
        <v>4</v>
      </c>
      <c r="B359" s="72" t="s">
        <v>71</v>
      </c>
      <c r="C359" s="73" t="s">
        <v>84</v>
      </c>
      <c r="D359" s="98"/>
      <c r="E359" s="98"/>
      <c r="F359" s="98"/>
      <c r="G359" s="98" t="s">
        <v>22</v>
      </c>
      <c r="H359" s="70">
        <v>-1</v>
      </c>
      <c r="I359" s="73">
        <v>2.48</v>
      </c>
      <c r="J359" s="73">
        <v>0.5</v>
      </c>
      <c r="K359" s="73">
        <v>0.1</v>
      </c>
      <c r="L359" s="70">
        <f t="shared" ref="L359:L364" si="54">K359*J359*I359*H359</f>
        <v>-0.124</v>
      </c>
    </row>
    <row r="360" spans="1:12" s="70" customFormat="1">
      <c r="A360" s="72" t="s">
        <v>4</v>
      </c>
      <c r="B360" s="72" t="s">
        <v>117</v>
      </c>
      <c r="C360" s="73" t="s">
        <v>84</v>
      </c>
      <c r="D360" s="98"/>
      <c r="E360" s="98"/>
      <c r="F360" s="98"/>
      <c r="G360" s="98" t="s">
        <v>22</v>
      </c>
      <c r="H360" s="70">
        <v>-1</v>
      </c>
      <c r="I360" s="73">
        <v>7.25</v>
      </c>
      <c r="J360" s="73">
        <v>0.5</v>
      </c>
      <c r="K360" s="73">
        <v>0.1</v>
      </c>
      <c r="L360" s="70">
        <f t="shared" si="54"/>
        <v>-0.36250000000000004</v>
      </c>
    </row>
    <row r="361" spans="1:12" s="70" customFormat="1">
      <c r="A361" s="72" t="s">
        <v>4</v>
      </c>
      <c r="B361" s="72" t="s">
        <v>69</v>
      </c>
      <c r="C361" s="73" t="s">
        <v>84</v>
      </c>
      <c r="D361" s="98"/>
      <c r="E361" s="98"/>
      <c r="F361" s="98"/>
      <c r="G361" s="98" t="s">
        <v>22</v>
      </c>
      <c r="H361" s="70">
        <v>-1</v>
      </c>
      <c r="I361" s="73">
        <v>2.38</v>
      </c>
      <c r="J361" s="73">
        <v>0.5</v>
      </c>
      <c r="K361" s="73">
        <v>0.1</v>
      </c>
      <c r="L361" s="70">
        <f t="shared" si="54"/>
        <v>-0.11899999999999999</v>
      </c>
    </row>
    <row r="362" spans="1:12" s="70" customFormat="1">
      <c r="A362" s="72" t="s">
        <v>4</v>
      </c>
      <c r="B362" s="72" t="s">
        <v>70</v>
      </c>
      <c r="C362" s="73" t="s">
        <v>84</v>
      </c>
      <c r="D362" s="98"/>
      <c r="E362" s="98"/>
      <c r="F362" s="98"/>
      <c r="G362" s="98" t="s">
        <v>22</v>
      </c>
      <c r="H362" s="70">
        <v>-1</v>
      </c>
      <c r="I362" s="73">
        <v>4.78</v>
      </c>
      <c r="J362" s="73">
        <v>0.5</v>
      </c>
      <c r="K362" s="73">
        <v>0.1</v>
      </c>
      <c r="L362" s="70">
        <f t="shared" si="54"/>
        <v>-0.23900000000000002</v>
      </c>
    </row>
    <row r="363" spans="1:12" s="70" customFormat="1">
      <c r="A363" s="72" t="s">
        <v>4</v>
      </c>
      <c r="B363" s="72" t="s">
        <v>110</v>
      </c>
      <c r="C363" s="73" t="s">
        <v>84</v>
      </c>
      <c r="D363" s="98"/>
      <c r="E363" s="98"/>
      <c r="F363" s="98"/>
      <c r="G363" s="98" t="s">
        <v>22</v>
      </c>
      <c r="H363" s="70">
        <v>-1</v>
      </c>
      <c r="I363" s="73">
        <v>2.65</v>
      </c>
      <c r="J363" s="73">
        <v>0.5</v>
      </c>
      <c r="K363" s="73">
        <v>0.1</v>
      </c>
      <c r="L363" s="70">
        <f t="shared" si="54"/>
        <v>-0.13250000000000001</v>
      </c>
    </row>
    <row r="364" spans="1:12" s="70" customFormat="1">
      <c r="A364" s="72" t="s">
        <v>4</v>
      </c>
      <c r="B364" s="72" t="s">
        <v>111</v>
      </c>
      <c r="C364" s="73" t="s">
        <v>84</v>
      </c>
      <c r="D364" s="98"/>
      <c r="E364" s="98"/>
      <c r="F364" s="98"/>
      <c r="G364" s="98" t="s">
        <v>22</v>
      </c>
      <c r="H364" s="70">
        <v>-1</v>
      </c>
      <c r="I364" s="73">
        <v>4.5999999999999996</v>
      </c>
      <c r="J364" s="73">
        <v>0.5</v>
      </c>
      <c r="K364" s="73">
        <v>0.1</v>
      </c>
      <c r="L364" s="70">
        <f t="shared" si="54"/>
        <v>-0.22999999999999998</v>
      </c>
    </row>
    <row r="365" spans="1:12" s="70" customFormat="1">
      <c r="A365" s="72" t="s">
        <v>11</v>
      </c>
      <c r="B365" s="72" t="s">
        <v>71</v>
      </c>
      <c r="C365" s="73" t="s">
        <v>84</v>
      </c>
      <c r="D365" s="98"/>
      <c r="E365" s="98"/>
      <c r="F365" s="98"/>
      <c r="G365" s="98" t="s">
        <v>22</v>
      </c>
      <c r="H365" s="70">
        <v>-1</v>
      </c>
      <c r="I365" s="73">
        <v>2.48</v>
      </c>
      <c r="J365" s="73">
        <v>0.5</v>
      </c>
      <c r="K365" s="73">
        <v>0.1</v>
      </c>
      <c r="L365" s="70">
        <f>K365*J365*I365*H365</f>
        <v>-0.124</v>
      </c>
    </row>
    <row r="366" spans="1:12" s="70" customFormat="1">
      <c r="A366" s="89" t="s">
        <v>11</v>
      </c>
      <c r="B366" s="72" t="s">
        <v>117</v>
      </c>
      <c r="C366" s="73" t="s">
        <v>84</v>
      </c>
      <c r="D366" s="98"/>
      <c r="E366" s="98"/>
      <c r="F366" s="98"/>
      <c r="G366" s="98" t="s">
        <v>22</v>
      </c>
      <c r="H366" s="70">
        <v>-1</v>
      </c>
      <c r="I366" s="73">
        <v>7.25</v>
      </c>
      <c r="J366" s="73">
        <v>0.5</v>
      </c>
      <c r="K366" s="73">
        <v>0.1</v>
      </c>
      <c r="L366" s="70">
        <f t="shared" ref="L366:L375" si="55">K366*J366*I366*H366</f>
        <v>-0.36250000000000004</v>
      </c>
    </row>
    <row r="367" spans="1:12" s="70" customFormat="1">
      <c r="A367" s="89" t="s">
        <v>11</v>
      </c>
      <c r="B367" s="72" t="s">
        <v>69</v>
      </c>
      <c r="C367" s="73" t="s">
        <v>84</v>
      </c>
      <c r="D367" s="98"/>
      <c r="E367" s="98"/>
      <c r="F367" s="98"/>
      <c r="G367" s="98" t="s">
        <v>22</v>
      </c>
      <c r="H367" s="70">
        <v>-1</v>
      </c>
      <c r="I367" s="73">
        <v>2.38</v>
      </c>
      <c r="J367" s="73">
        <v>0.5</v>
      </c>
      <c r="K367" s="73">
        <v>0.1</v>
      </c>
      <c r="L367" s="70">
        <f t="shared" si="55"/>
        <v>-0.11899999999999999</v>
      </c>
    </row>
    <row r="368" spans="1:12" s="70" customFormat="1">
      <c r="A368" s="89" t="s">
        <v>11</v>
      </c>
      <c r="B368" s="72" t="s">
        <v>70</v>
      </c>
      <c r="C368" s="73" t="s">
        <v>84</v>
      </c>
      <c r="D368" s="98"/>
      <c r="E368" s="98"/>
      <c r="F368" s="98"/>
      <c r="G368" s="98" t="s">
        <v>22</v>
      </c>
      <c r="H368" s="70">
        <v>-1</v>
      </c>
      <c r="I368" s="73">
        <v>4.78</v>
      </c>
      <c r="J368" s="73">
        <v>0.5</v>
      </c>
      <c r="K368" s="73">
        <v>0.1</v>
      </c>
      <c r="L368" s="70">
        <f t="shared" si="55"/>
        <v>-0.23900000000000002</v>
      </c>
    </row>
    <row r="369" spans="1:18" s="70" customFormat="1">
      <c r="A369" s="89" t="s">
        <v>11</v>
      </c>
      <c r="B369" s="72" t="s">
        <v>110</v>
      </c>
      <c r="C369" s="73" t="s">
        <v>84</v>
      </c>
      <c r="D369" s="98"/>
      <c r="E369" s="98"/>
      <c r="F369" s="98"/>
      <c r="G369" s="98" t="s">
        <v>22</v>
      </c>
      <c r="H369" s="70">
        <v>-1</v>
      </c>
      <c r="I369" s="73">
        <v>2.65</v>
      </c>
      <c r="J369" s="73">
        <v>0.5</v>
      </c>
      <c r="K369" s="73">
        <v>0.1</v>
      </c>
      <c r="L369" s="70">
        <f t="shared" si="55"/>
        <v>-0.13250000000000001</v>
      </c>
    </row>
    <row r="370" spans="1:18" s="70" customFormat="1">
      <c r="A370" s="89" t="s">
        <v>11</v>
      </c>
      <c r="B370" s="72" t="s">
        <v>111</v>
      </c>
      <c r="C370" s="73" t="s">
        <v>84</v>
      </c>
      <c r="D370" s="98"/>
      <c r="E370" s="98"/>
      <c r="F370" s="98"/>
      <c r="G370" s="98" t="s">
        <v>22</v>
      </c>
      <c r="H370" s="70">
        <v>-1</v>
      </c>
      <c r="I370" s="73">
        <v>4.5999999999999996</v>
      </c>
      <c r="J370" s="73">
        <v>0.5</v>
      </c>
      <c r="K370" s="73">
        <v>0.1</v>
      </c>
      <c r="L370" s="70">
        <f t="shared" si="55"/>
        <v>-0.22999999999999998</v>
      </c>
    </row>
    <row r="371" spans="1:18" s="70" customFormat="1">
      <c r="A371" s="89" t="s">
        <v>25</v>
      </c>
      <c r="B371" s="72" t="s">
        <v>80</v>
      </c>
      <c r="C371" s="73" t="s">
        <v>84</v>
      </c>
      <c r="D371" s="98"/>
      <c r="E371" s="98"/>
      <c r="F371" s="98"/>
      <c r="G371" s="98" t="s">
        <v>22</v>
      </c>
      <c r="H371" s="70">
        <v>-1</v>
      </c>
      <c r="I371" s="73">
        <f>3.82+0.4+0.82</f>
        <v>5.04</v>
      </c>
      <c r="J371" s="73">
        <v>0.5</v>
      </c>
      <c r="K371" s="73">
        <v>0.1</v>
      </c>
      <c r="L371" s="70">
        <f t="shared" si="55"/>
        <v>-0.252</v>
      </c>
    </row>
    <row r="372" spans="1:18" s="70" customFormat="1">
      <c r="A372" s="72" t="s">
        <v>114</v>
      </c>
      <c r="B372" s="72" t="s">
        <v>80</v>
      </c>
      <c r="C372" s="73" t="s">
        <v>84</v>
      </c>
      <c r="D372" s="98"/>
      <c r="E372" s="98"/>
      <c r="F372" s="98"/>
      <c r="G372" s="98" t="s">
        <v>22</v>
      </c>
      <c r="H372" s="70">
        <v>-1</v>
      </c>
      <c r="I372" s="73">
        <f>1.08+0.15+3.82</f>
        <v>5.05</v>
      </c>
      <c r="J372" s="73">
        <v>0.5</v>
      </c>
      <c r="K372" s="73">
        <v>0.1</v>
      </c>
      <c r="L372" s="70">
        <f t="shared" si="55"/>
        <v>-0.2525</v>
      </c>
    </row>
    <row r="373" spans="1:18" s="70" customFormat="1">
      <c r="A373" s="72" t="s">
        <v>85</v>
      </c>
      <c r="B373" s="72" t="s">
        <v>118</v>
      </c>
      <c r="C373" s="73" t="s">
        <v>84</v>
      </c>
      <c r="D373" s="98"/>
      <c r="E373" s="98"/>
      <c r="F373" s="98"/>
      <c r="G373" s="98" t="s">
        <v>22</v>
      </c>
      <c r="H373" s="70">
        <v>-1</v>
      </c>
      <c r="I373" s="73">
        <f>3.82+0.4</f>
        <v>4.22</v>
      </c>
      <c r="J373" s="73">
        <v>0.5</v>
      </c>
      <c r="K373" s="73">
        <v>0.1</v>
      </c>
      <c r="L373" s="70">
        <f t="shared" si="55"/>
        <v>-0.21099999999999999</v>
      </c>
    </row>
    <row r="374" spans="1:18" s="70" customFormat="1">
      <c r="A374" s="89" t="s">
        <v>119</v>
      </c>
      <c r="B374" s="72" t="s">
        <v>118</v>
      </c>
      <c r="C374" s="73" t="s">
        <v>84</v>
      </c>
      <c r="D374" s="98"/>
      <c r="E374" s="98"/>
      <c r="F374" s="98"/>
      <c r="G374" s="98" t="s">
        <v>22</v>
      </c>
      <c r="H374" s="70">
        <v>-1</v>
      </c>
      <c r="I374" s="73">
        <f>0.82+1.08</f>
        <v>1.9</v>
      </c>
      <c r="J374" s="73">
        <v>0.5</v>
      </c>
      <c r="K374" s="73">
        <v>0.1</v>
      </c>
      <c r="L374" s="70">
        <f t="shared" si="55"/>
        <v>-9.5000000000000001E-2</v>
      </c>
    </row>
    <row r="375" spans="1:18" s="70" customFormat="1">
      <c r="A375" s="89" t="s">
        <v>115</v>
      </c>
      <c r="B375" s="72" t="s">
        <v>118</v>
      </c>
      <c r="C375" s="73" t="s">
        <v>84</v>
      </c>
      <c r="D375" s="98"/>
      <c r="E375" s="98"/>
      <c r="F375" s="98"/>
      <c r="G375" s="98" t="s">
        <v>22</v>
      </c>
      <c r="H375" s="70">
        <v>-1</v>
      </c>
      <c r="I375" s="73">
        <f>0.15+3.82</f>
        <v>3.9699999999999998</v>
      </c>
      <c r="J375" s="73">
        <v>0.5</v>
      </c>
      <c r="K375" s="73">
        <v>0.1</v>
      </c>
      <c r="L375" s="70">
        <f t="shared" si="55"/>
        <v>-0.19850000000000001</v>
      </c>
    </row>
    <row r="376" spans="1:18" ht="13.8" customHeight="1">
      <c r="A376" s="19"/>
      <c r="B376" s="2" t="s">
        <v>2</v>
      </c>
      <c r="C376" s="2" t="s">
        <v>3</v>
      </c>
      <c r="D376" s="86"/>
      <c r="E376" s="86"/>
      <c r="F376" s="86"/>
      <c r="G376" s="86"/>
      <c r="H376" s="70"/>
      <c r="I376" s="59"/>
      <c r="J376" s="59"/>
      <c r="K376" s="59"/>
      <c r="L376" s="59"/>
      <c r="M376" s="59"/>
    </row>
    <row r="377" spans="1:18" s="49" customFormat="1">
      <c r="A377" s="83" t="s">
        <v>109</v>
      </c>
      <c r="B377" s="66" t="s">
        <v>4</v>
      </c>
      <c r="C377" s="66">
        <v>8</v>
      </c>
      <c r="F377" s="68"/>
      <c r="G377" s="67" t="s">
        <v>22</v>
      </c>
      <c r="H377" s="70">
        <v>-1</v>
      </c>
      <c r="I377" s="49">
        <v>1.2</v>
      </c>
      <c r="J377" s="49">
        <v>1.2</v>
      </c>
      <c r="K377" s="49">
        <v>0.5</v>
      </c>
      <c r="L377" s="87">
        <f t="shared" ref="L377:L392" si="56">K377*J377*I377*H377</f>
        <v>-0.72</v>
      </c>
      <c r="R377" s="68"/>
    </row>
    <row r="378" spans="1:18" s="49" customFormat="1">
      <c r="A378" s="83" t="s">
        <v>108</v>
      </c>
      <c r="B378" s="66" t="s">
        <v>6</v>
      </c>
      <c r="C378" s="66">
        <v>5</v>
      </c>
      <c r="D378" s="87"/>
      <c r="E378" s="87"/>
      <c r="F378" s="68"/>
      <c r="G378" s="67" t="s">
        <v>22</v>
      </c>
      <c r="H378" s="70">
        <v>-1</v>
      </c>
      <c r="I378" s="87">
        <v>1.5</v>
      </c>
      <c r="J378" s="87">
        <v>1.5</v>
      </c>
      <c r="K378" s="49">
        <v>0.5</v>
      </c>
      <c r="L378" s="87">
        <f t="shared" si="56"/>
        <v>-1.125</v>
      </c>
      <c r="R378" s="73"/>
    </row>
    <row r="379" spans="1:18">
      <c r="A379" s="88" t="s">
        <v>107</v>
      </c>
      <c r="B379" s="89" t="s">
        <v>7</v>
      </c>
      <c r="C379" s="89">
        <v>6</v>
      </c>
      <c r="D379" s="90"/>
      <c r="E379" s="90"/>
      <c r="F379" s="73"/>
      <c r="G379" s="98" t="s">
        <v>22</v>
      </c>
      <c r="H379" s="70">
        <v>-1</v>
      </c>
      <c r="I379" s="90">
        <v>1.5</v>
      </c>
      <c r="J379" s="90">
        <v>1.5</v>
      </c>
      <c r="K379" s="70">
        <v>0.5</v>
      </c>
      <c r="L379" s="87">
        <f t="shared" si="56"/>
        <v>-1.125</v>
      </c>
      <c r="M379" s="55"/>
      <c r="R379" s="73"/>
    </row>
    <row r="380" spans="1:18">
      <c r="A380" s="88" t="s">
        <v>107</v>
      </c>
      <c r="B380" s="89" t="s">
        <v>7</v>
      </c>
      <c r="C380" s="89">
        <v>7</v>
      </c>
      <c r="D380" s="90"/>
      <c r="E380" s="90"/>
      <c r="F380" s="73"/>
      <c r="G380" s="98" t="s">
        <v>22</v>
      </c>
      <c r="H380" s="70">
        <v>-1</v>
      </c>
      <c r="I380" s="90">
        <v>1.5</v>
      </c>
      <c r="J380" s="90">
        <v>1.5</v>
      </c>
      <c r="K380" s="70">
        <v>0.5</v>
      </c>
      <c r="L380" s="87">
        <f t="shared" si="56"/>
        <v>-1.125</v>
      </c>
      <c r="M380" s="55"/>
      <c r="R380" s="73"/>
    </row>
    <row r="381" spans="1:18">
      <c r="A381" s="88" t="s">
        <v>109</v>
      </c>
      <c r="B381" s="89" t="s">
        <v>7</v>
      </c>
      <c r="C381" s="89">
        <v>8</v>
      </c>
      <c r="D381" s="90"/>
      <c r="E381" s="90"/>
      <c r="F381" s="73"/>
      <c r="G381" s="98" t="s">
        <v>22</v>
      </c>
      <c r="H381" s="70">
        <v>-1</v>
      </c>
      <c r="I381" s="90">
        <v>1.2</v>
      </c>
      <c r="J381" s="90">
        <v>1.2</v>
      </c>
      <c r="K381" s="70">
        <v>0.5</v>
      </c>
      <c r="L381" s="87">
        <f t="shared" si="56"/>
        <v>-0.72</v>
      </c>
      <c r="M381" s="55"/>
      <c r="R381" s="73"/>
    </row>
    <row r="382" spans="1:18">
      <c r="A382" s="88" t="s">
        <v>108</v>
      </c>
      <c r="B382" s="89" t="s">
        <v>9</v>
      </c>
      <c r="C382" s="89">
        <v>5</v>
      </c>
      <c r="D382" s="90"/>
      <c r="E382" s="90"/>
      <c r="F382" s="73"/>
      <c r="G382" s="98" t="s">
        <v>22</v>
      </c>
      <c r="H382" s="70">
        <v>-1</v>
      </c>
      <c r="I382" s="90">
        <v>1.5</v>
      </c>
      <c r="J382" s="90">
        <v>1.3</v>
      </c>
      <c r="K382" s="70">
        <v>0.5</v>
      </c>
      <c r="L382" s="87">
        <f t="shared" si="56"/>
        <v>-0.97500000000000009</v>
      </c>
      <c r="M382" s="55"/>
      <c r="R382" s="73"/>
    </row>
    <row r="383" spans="1:18">
      <c r="A383" s="88" t="s">
        <v>107</v>
      </c>
      <c r="B383" s="89" t="s">
        <v>9</v>
      </c>
      <c r="C383" s="89">
        <v>6</v>
      </c>
      <c r="D383" s="90"/>
      <c r="E383" s="90"/>
      <c r="F383" s="73"/>
      <c r="G383" s="98" t="s">
        <v>22</v>
      </c>
      <c r="H383" s="70">
        <v>-1</v>
      </c>
      <c r="I383" s="90">
        <v>1.5</v>
      </c>
      <c r="J383" s="90">
        <v>1.5</v>
      </c>
      <c r="K383" s="70">
        <v>0.5</v>
      </c>
      <c r="L383" s="87">
        <f t="shared" si="56"/>
        <v>-1.125</v>
      </c>
      <c r="M383" s="55"/>
      <c r="R383" s="73"/>
    </row>
    <row r="384" spans="1:18">
      <c r="A384" s="88" t="s">
        <v>107</v>
      </c>
      <c r="B384" s="89" t="s">
        <v>9</v>
      </c>
      <c r="C384" s="89">
        <v>7</v>
      </c>
      <c r="D384" s="90"/>
      <c r="E384" s="90"/>
      <c r="F384" s="73"/>
      <c r="G384" s="98" t="s">
        <v>22</v>
      </c>
      <c r="H384" s="70">
        <v>-1</v>
      </c>
      <c r="I384" s="90">
        <v>1.5</v>
      </c>
      <c r="J384" s="90">
        <v>1.5</v>
      </c>
      <c r="K384" s="70">
        <v>0.5</v>
      </c>
      <c r="L384" s="87">
        <f t="shared" si="56"/>
        <v>-1.125</v>
      </c>
      <c r="M384" s="55"/>
      <c r="R384" s="73"/>
    </row>
    <row r="385" spans="1:18">
      <c r="A385" s="88" t="s">
        <v>109</v>
      </c>
      <c r="B385" s="89" t="s">
        <v>9</v>
      </c>
      <c r="C385" s="89">
        <v>8</v>
      </c>
      <c r="D385" s="90"/>
      <c r="E385" s="90"/>
      <c r="F385" s="73"/>
      <c r="G385" s="98" t="s">
        <v>22</v>
      </c>
      <c r="H385" s="70">
        <v>-1</v>
      </c>
      <c r="I385" s="90">
        <v>1.2</v>
      </c>
      <c r="J385" s="90">
        <v>1.2</v>
      </c>
      <c r="K385" s="70">
        <v>0.5</v>
      </c>
      <c r="L385" s="87">
        <f t="shared" si="56"/>
        <v>-0.72</v>
      </c>
      <c r="M385" s="55"/>
      <c r="R385" s="73"/>
    </row>
    <row r="386" spans="1:18">
      <c r="A386" s="88" t="s">
        <v>20</v>
      </c>
      <c r="B386" s="89" t="s">
        <v>11</v>
      </c>
      <c r="C386" s="89">
        <v>1</v>
      </c>
      <c r="D386" s="70"/>
      <c r="E386" s="70"/>
      <c r="F386" s="73"/>
      <c r="G386" s="98" t="s">
        <v>22</v>
      </c>
      <c r="H386" s="70">
        <v>-1</v>
      </c>
      <c r="I386" s="70">
        <v>1</v>
      </c>
      <c r="J386" s="70">
        <v>1</v>
      </c>
      <c r="K386" s="70">
        <v>0.5</v>
      </c>
      <c r="L386" s="87">
        <f t="shared" si="56"/>
        <v>-0.5</v>
      </c>
      <c r="M386" s="55"/>
      <c r="R386" s="73"/>
    </row>
    <row r="387" spans="1:18">
      <c r="A387" s="88" t="s">
        <v>107</v>
      </c>
      <c r="B387" s="89" t="s">
        <v>11</v>
      </c>
      <c r="C387" s="89">
        <v>2</v>
      </c>
      <c r="D387" s="70"/>
      <c r="E387" s="70"/>
      <c r="F387" s="73"/>
      <c r="G387" s="98" t="s">
        <v>22</v>
      </c>
      <c r="H387" s="70">
        <v>-1</v>
      </c>
      <c r="I387" s="70">
        <v>1.5</v>
      </c>
      <c r="J387" s="70">
        <v>1.5</v>
      </c>
      <c r="K387" s="70">
        <v>0.5</v>
      </c>
      <c r="L387" s="87">
        <f t="shared" si="56"/>
        <v>-1.125</v>
      </c>
      <c r="M387" s="55"/>
      <c r="R387" s="73"/>
    </row>
    <row r="388" spans="1:18">
      <c r="A388" s="88" t="s">
        <v>107</v>
      </c>
      <c r="B388" s="89" t="s">
        <v>11</v>
      </c>
      <c r="C388" s="89">
        <v>3</v>
      </c>
      <c r="D388" s="70"/>
      <c r="E388" s="70"/>
      <c r="F388" s="73"/>
      <c r="G388" s="98" t="s">
        <v>22</v>
      </c>
      <c r="H388" s="70">
        <v>-1</v>
      </c>
      <c r="I388" s="70">
        <v>1.5</v>
      </c>
      <c r="J388" s="70">
        <v>1.5</v>
      </c>
      <c r="K388" s="70">
        <v>0.5</v>
      </c>
      <c r="L388" s="87">
        <f t="shared" si="56"/>
        <v>-1.125</v>
      </c>
      <c r="M388" s="55"/>
      <c r="R388" s="73"/>
    </row>
    <row r="389" spans="1:18">
      <c r="A389" s="88" t="s">
        <v>108</v>
      </c>
      <c r="B389" s="89" t="s">
        <v>11</v>
      </c>
      <c r="C389" s="89">
        <v>5</v>
      </c>
      <c r="D389" s="70"/>
      <c r="E389" s="70"/>
      <c r="F389" s="73"/>
      <c r="G389" s="98" t="s">
        <v>22</v>
      </c>
      <c r="H389" s="70">
        <v>-1</v>
      </c>
      <c r="I389" s="70">
        <v>1.5</v>
      </c>
      <c r="J389" s="70">
        <v>1.5</v>
      </c>
      <c r="K389" s="70">
        <v>0.5</v>
      </c>
      <c r="L389" s="87">
        <f t="shared" si="56"/>
        <v>-1.125</v>
      </c>
      <c r="M389" s="55"/>
      <c r="R389" s="73"/>
    </row>
    <row r="390" spans="1:18">
      <c r="A390" s="88" t="s">
        <v>109</v>
      </c>
      <c r="B390" s="89" t="s">
        <v>11</v>
      </c>
      <c r="C390" s="89">
        <v>6</v>
      </c>
      <c r="D390" s="70"/>
      <c r="E390" s="70"/>
      <c r="F390" s="73"/>
      <c r="G390" s="98" t="s">
        <v>22</v>
      </c>
      <c r="H390" s="70">
        <v>-1</v>
      </c>
      <c r="I390" s="70">
        <v>1.2</v>
      </c>
      <c r="J390" s="70">
        <v>1.2</v>
      </c>
      <c r="K390" s="70">
        <v>0.5</v>
      </c>
      <c r="L390" s="87">
        <f t="shared" si="56"/>
        <v>-0.72</v>
      </c>
      <c r="M390" s="55"/>
      <c r="R390" s="73"/>
    </row>
    <row r="391" spans="1:18" s="49" customFormat="1">
      <c r="A391" s="88" t="s">
        <v>109</v>
      </c>
      <c r="B391" s="89" t="s">
        <v>11</v>
      </c>
      <c r="C391" s="89">
        <v>7</v>
      </c>
      <c r="D391" s="70"/>
      <c r="E391" s="70"/>
      <c r="F391" s="73"/>
      <c r="G391" s="98" t="s">
        <v>22</v>
      </c>
      <c r="H391" s="70">
        <v>-1</v>
      </c>
      <c r="I391" s="70">
        <v>1.2</v>
      </c>
      <c r="J391" s="70">
        <v>1.2</v>
      </c>
      <c r="K391" s="70">
        <v>0.5</v>
      </c>
      <c r="L391" s="87">
        <f t="shared" si="56"/>
        <v>-0.72</v>
      </c>
      <c r="M391" s="49" t="s">
        <v>95</v>
      </c>
      <c r="R391" s="73"/>
    </row>
    <row r="392" spans="1:18" s="49" customFormat="1">
      <c r="A392" s="88" t="s">
        <v>109</v>
      </c>
      <c r="B392" s="89" t="s">
        <v>11</v>
      </c>
      <c r="C392" s="89">
        <v>8</v>
      </c>
      <c r="D392" s="70"/>
      <c r="E392" s="70"/>
      <c r="F392" s="73"/>
      <c r="G392" s="98" t="s">
        <v>22</v>
      </c>
      <c r="H392" s="70">
        <v>-1</v>
      </c>
      <c r="I392" s="70">
        <v>1.2</v>
      </c>
      <c r="J392" s="70">
        <v>1.2</v>
      </c>
      <c r="K392" s="70">
        <v>0.5</v>
      </c>
      <c r="L392" s="87">
        <f t="shared" si="56"/>
        <v>-0.72</v>
      </c>
      <c r="M392" s="49" t="s">
        <v>95</v>
      </c>
    </row>
    <row r="393" spans="1:18" s="49" customFormat="1">
      <c r="B393" s="2" t="s">
        <v>2</v>
      </c>
      <c r="C393" s="2" t="s">
        <v>3</v>
      </c>
      <c r="G393" s="67"/>
      <c r="H393" s="70"/>
      <c r="L393" s="49" t="s">
        <v>95</v>
      </c>
      <c r="M393" s="49" t="s">
        <v>95</v>
      </c>
    </row>
    <row r="394" spans="1:18" s="49" customFormat="1">
      <c r="B394" s="69" t="s">
        <v>4</v>
      </c>
      <c r="C394" s="69" t="s">
        <v>71</v>
      </c>
      <c r="E394" s="67"/>
      <c r="F394" s="67"/>
      <c r="G394" s="67" t="s">
        <v>22</v>
      </c>
      <c r="H394" s="70">
        <v>-1</v>
      </c>
      <c r="I394" s="68">
        <v>2.48</v>
      </c>
      <c r="J394" s="68">
        <v>0.4</v>
      </c>
      <c r="K394" s="68">
        <f>$N$13-0.1</f>
        <v>1.38</v>
      </c>
      <c r="L394" s="49">
        <f t="shared" ref="L394:L399" si="57">K394*J394*I394*H394</f>
        <v>-1.3689599999999997</v>
      </c>
    </row>
    <row r="395" spans="1:18" s="49" customFormat="1">
      <c r="B395" s="69" t="s">
        <v>4</v>
      </c>
      <c r="C395" s="69" t="s">
        <v>117</v>
      </c>
      <c r="E395" s="67"/>
      <c r="F395" s="67"/>
      <c r="G395" s="67" t="s">
        <v>22</v>
      </c>
      <c r="H395" s="70">
        <v>-1</v>
      </c>
      <c r="I395" s="68">
        <v>7.25</v>
      </c>
      <c r="J395" s="68">
        <v>0.4</v>
      </c>
      <c r="K395" s="68">
        <f t="shared" ref="K395:K410" si="58">$N$13-0.1</f>
        <v>1.38</v>
      </c>
      <c r="L395" s="49">
        <f t="shared" si="57"/>
        <v>-4.0019999999999998</v>
      </c>
    </row>
    <row r="396" spans="1:18" s="49" customFormat="1">
      <c r="B396" s="69" t="s">
        <v>4</v>
      </c>
      <c r="C396" s="69" t="s">
        <v>69</v>
      </c>
      <c r="E396" s="67"/>
      <c r="F396" s="67"/>
      <c r="G396" s="67" t="s">
        <v>22</v>
      </c>
      <c r="H396" s="70">
        <v>-1</v>
      </c>
      <c r="I396" s="68">
        <v>2.38</v>
      </c>
      <c r="J396" s="68">
        <v>0.4</v>
      </c>
      <c r="K396" s="68">
        <f t="shared" si="58"/>
        <v>1.38</v>
      </c>
      <c r="L396" s="49">
        <f t="shared" si="57"/>
        <v>-1.3137599999999998</v>
      </c>
    </row>
    <row r="397" spans="1:18" s="49" customFormat="1">
      <c r="B397" s="69" t="s">
        <v>4</v>
      </c>
      <c r="C397" s="69" t="s">
        <v>70</v>
      </c>
      <c r="E397" s="67"/>
      <c r="F397" s="67"/>
      <c r="G397" s="67" t="s">
        <v>22</v>
      </c>
      <c r="H397" s="70">
        <v>-1</v>
      </c>
      <c r="I397" s="68">
        <v>4.78</v>
      </c>
      <c r="J397" s="68">
        <v>0.4</v>
      </c>
      <c r="K397" s="68">
        <f t="shared" si="58"/>
        <v>1.38</v>
      </c>
      <c r="L397" s="49">
        <f t="shared" si="57"/>
        <v>-2.63856</v>
      </c>
    </row>
    <row r="398" spans="1:18" s="49" customFormat="1">
      <c r="B398" s="69" t="s">
        <v>4</v>
      </c>
      <c r="C398" s="69" t="s">
        <v>110</v>
      </c>
      <c r="E398" s="67"/>
      <c r="F398" s="67"/>
      <c r="G398" s="67" t="s">
        <v>22</v>
      </c>
      <c r="H398" s="70">
        <v>-1</v>
      </c>
      <c r="I398" s="68">
        <v>2.65</v>
      </c>
      <c r="J398" s="68">
        <v>0.4</v>
      </c>
      <c r="K398" s="68">
        <f t="shared" si="58"/>
        <v>1.38</v>
      </c>
      <c r="L398" s="49">
        <f t="shared" si="57"/>
        <v>-1.4627999999999999</v>
      </c>
    </row>
    <row r="399" spans="1:18" s="49" customFormat="1">
      <c r="B399" s="69" t="s">
        <v>4</v>
      </c>
      <c r="C399" s="69" t="s">
        <v>111</v>
      </c>
      <c r="E399" s="67"/>
      <c r="F399" s="67"/>
      <c r="G399" s="67" t="s">
        <v>22</v>
      </c>
      <c r="H399" s="70">
        <v>-1</v>
      </c>
      <c r="I399" s="68">
        <v>4.5999999999999996</v>
      </c>
      <c r="J399" s="68">
        <v>0.4</v>
      </c>
      <c r="K399" s="68">
        <f t="shared" si="58"/>
        <v>1.38</v>
      </c>
      <c r="L399" s="49">
        <f t="shared" si="57"/>
        <v>-2.5391999999999997</v>
      </c>
    </row>
    <row r="400" spans="1:18" s="49" customFormat="1">
      <c r="B400" s="69" t="s">
        <v>11</v>
      </c>
      <c r="C400" s="69" t="s">
        <v>71</v>
      </c>
      <c r="E400" s="67"/>
      <c r="F400" s="67"/>
      <c r="G400" s="67" t="s">
        <v>22</v>
      </c>
      <c r="H400" s="70">
        <v>-1</v>
      </c>
      <c r="I400" s="68">
        <v>2.48</v>
      </c>
      <c r="J400" s="68">
        <v>0.4</v>
      </c>
      <c r="K400" s="68">
        <f t="shared" si="58"/>
        <v>1.38</v>
      </c>
      <c r="L400" s="49">
        <f>K400*J400*I400*H400</f>
        <v>-1.3689599999999997</v>
      </c>
    </row>
    <row r="401" spans="1:23" s="49" customFormat="1">
      <c r="B401" s="66" t="s">
        <v>11</v>
      </c>
      <c r="C401" s="69" t="s">
        <v>117</v>
      </c>
      <c r="E401" s="67"/>
      <c r="F401" s="67"/>
      <c r="G401" s="67" t="s">
        <v>22</v>
      </c>
      <c r="H401" s="70">
        <v>-1</v>
      </c>
      <c r="I401" s="68">
        <v>7.25</v>
      </c>
      <c r="J401" s="68">
        <v>0.4</v>
      </c>
      <c r="K401" s="68">
        <f t="shared" si="58"/>
        <v>1.38</v>
      </c>
      <c r="L401" s="49">
        <f t="shared" ref="L401:L410" si="59">K401*J401*I401*H401</f>
        <v>-4.0019999999999998</v>
      </c>
    </row>
    <row r="402" spans="1:23" s="49" customFormat="1">
      <c r="B402" s="66" t="s">
        <v>11</v>
      </c>
      <c r="C402" s="69" t="s">
        <v>69</v>
      </c>
      <c r="E402" s="67"/>
      <c r="F402" s="67"/>
      <c r="G402" s="67" t="s">
        <v>22</v>
      </c>
      <c r="H402" s="70">
        <v>-1</v>
      </c>
      <c r="I402" s="68">
        <v>2.38</v>
      </c>
      <c r="J402" s="68">
        <v>0.4</v>
      </c>
      <c r="K402" s="68">
        <f t="shared" si="58"/>
        <v>1.38</v>
      </c>
      <c r="L402" s="49">
        <f t="shared" si="59"/>
        <v>-1.3137599999999998</v>
      </c>
    </row>
    <row r="403" spans="1:23" s="49" customFormat="1">
      <c r="B403" s="66" t="s">
        <v>11</v>
      </c>
      <c r="C403" s="69" t="s">
        <v>70</v>
      </c>
      <c r="E403" s="67"/>
      <c r="F403" s="67"/>
      <c r="G403" s="67" t="s">
        <v>22</v>
      </c>
      <c r="H403" s="70">
        <v>-1</v>
      </c>
      <c r="I403" s="68">
        <v>4.78</v>
      </c>
      <c r="J403" s="68">
        <v>0.4</v>
      </c>
      <c r="K403" s="68">
        <f t="shared" si="58"/>
        <v>1.38</v>
      </c>
      <c r="L403" s="49">
        <f t="shared" si="59"/>
        <v>-2.63856</v>
      </c>
    </row>
    <row r="404" spans="1:23" s="49" customFormat="1">
      <c r="B404" s="66" t="s">
        <v>11</v>
      </c>
      <c r="C404" s="69" t="s">
        <v>110</v>
      </c>
      <c r="E404" s="67"/>
      <c r="F404" s="67"/>
      <c r="G404" s="67" t="s">
        <v>22</v>
      </c>
      <c r="H404" s="70">
        <v>-1</v>
      </c>
      <c r="I404" s="68">
        <v>2.65</v>
      </c>
      <c r="J404" s="68">
        <v>0.4</v>
      </c>
      <c r="K404" s="68">
        <f t="shared" si="58"/>
        <v>1.38</v>
      </c>
      <c r="L404" s="49">
        <f t="shared" si="59"/>
        <v>-1.4627999999999999</v>
      </c>
    </row>
    <row r="405" spans="1:23" s="49" customFormat="1">
      <c r="B405" s="66" t="s">
        <v>11</v>
      </c>
      <c r="C405" s="69" t="s">
        <v>111</v>
      </c>
      <c r="E405" s="67"/>
      <c r="F405" s="67"/>
      <c r="G405" s="67" t="s">
        <v>22</v>
      </c>
      <c r="H405" s="70">
        <v>-1</v>
      </c>
      <c r="I405" s="68">
        <v>4.5999999999999996</v>
      </c>
      <c r="J405" s="68">
        <v>0.4</v>
      </c>
      <c r="K405" s="68">
        <f t="shared" si="58"/>
        <v>1.38</v>
      </c>
      <c r="L405" s="49">
        <f t="shared" si="59"/>
        <v>-2.5391999999999997</v>
      </c>
    </row>
    <row r="406" spans="1:23" s="49" customFormat="1">
      <c r="B406" s="66" t="s">
        <v>25</v>
      </c>
      <c r="C406" s="69" t="s">
        <v>80</v>
      </c>
      <c r="E406" s="67"/>
      <c r="F406" s="67"/>
      <c r="G406" s="67" t="s">
        <v>22</v>
      </c>
      <c r="H406" s="70">
        <v>-1</v>
      </c>
      <c r="I406" s="68">
        <f>3.82+0.4+0.82</f>
        <v>5.04</v>
      </c>
      <c r="J406" s="68">
        <v>0.4</v>
      </c>
      <c r="K406" s="68">
        <f t="shared" si="58"/>
        <v>1.38</v>
      </c>
      <c r="L406" s="49">
        <f t="shared" si="59"/>
        <v>-2.7820799999999997</v>
      </c>
    </row>
    <row r="407" spans="1:23" s="49" customFormat="1">
      <c r="B407" s="69" t="s">
        <v>114</v>
      </c>
      <c r="C407" s="69" t="s">
        <v>80</v>
      </c>
      <c r="E407" s="67"/>
      <c r="F407" s="67"/>
      <c r="G407" s="67" t="s">
        <v>22</v>
      </c>
      <c r="H407" s="70">
        <v>-1</v>
      </c>
      <c r="I407" s="68">
        <f>1.08+0.15+3.82</f>
        <v>5.05</v>
      </c>
      <c r="J407" s="68">
        <v>0.4</v>
      </c>
      <c r="K407" s="68">
        <f t="shared" si="58"/>
        <v>1.38</v>
      </c>
      <c r="L407" s="49">
        <f t="shared" si="59"/>
        <v>-2.7875999999999994</v>
      </c>
    </row>
    <row r="408" spans="1:23" s="49" customFormat="1">
      <c r="B408" s="69" t="s">
        <v>85</v>
      </c>
      <c r="C408" s="69" t="s">
        <v>118</v>
      </c>
      <c r="E408" s="67"/>
      <c r="F408" s="67"/>
      <c r="G408" s="67" t="s">
        <v>22</v>
      </c>
      <c r="H408" s="70">
        <v>-1</v>
      </c>
      <c r="I408" s="68">
        <f>3.82+0.4</f>
        <v>4.22</v>
      </c>
      <c r="J408" s="68">
        <v>0.4</v>
      </c>
      <c r="K408" s="68">
        <f t="shared" si="58"/>
        <v>1.38</v>
      </c>
      <c r="L408" s="49">
        <f t="shared" si="59"/>
        <v>-2.3294399999999995</v>
      </c>
    </row>
    <row r="409" spans="1:23" s="49" customFormat="1">
      <c r="B409" s="66" t="s">
        <v>119</v>
      </c>
      <c r="C409" s="69" t="s">
        <v>118</v>
      </c>
      <c r="E409" s="67"/>
      <c r="F409" s="67"/>
      <c r="G409" s="67" t="s">
        <v>22</v>
      </c>
      <c r="H409" s="70">
        <v>-1</v>
      </c>
      <c r="I409" s="68">
        <f>0.82+1.08</f>
        <v>1.9</v>
      </c>
      <c r="J409" s="68">
        <v>0.4</v>
      </c>
      <c r="K409" s="68">
        <f t="shared" si="58"/>
        <v>1.38</v>
      </c>
      <c r="L409" s="49">
        <f t="shared" si="59"/>
        <v>-1.0487999999999997</v>
      </c>
    </row>
    <row r="410" spans="1:23" s="49" customFormat="1">
      <c r="B410" s="66" t="s">
        <v>115</v>
      </c>
      <c r="C410" s="69" t="s">
        <v>118</v>
      </c>
      <c r="E410" s="67"/>
      <c r="F410" s="67"/>
      <c r="G410" s="67" t="s">
        <v>22</v>
      </c>
      <c r="H410" s="70">
        <v>-1</v>
      </c>
      <c r="I410" s="68">
        <f>0.15+3.82</f>
        <v>3.9699999999999998</v>
      </c>
      <c r="J410" s="68">
        <v>0.4</v>
      </c>
      <c r="K410" s="68">
        <f t="shared" si="58"/>
        <v>1.38</v>
      </c>
      <c r="L410" s="49">
        <f t="shared" si="59"/>
        <v>-2.1914399999999996</v>
      </c>
    </row>
    <row r="411" spans="1:23" ht="15.6" customHeight="1">
      <c r="A411" s="75"/>
      <c r="B411" s="2" t="s">
        <v>2</v>
      </c>
      <c r="C411" s="2" t="s">
        <v>3</v>
      </c>
      <c r="D411" s="76"/>
      <c r="E411" s="76"/>
      <c r="F411" s="76"/>
      <c r="G411" s="101"/>
      <c r="H411" s="70"/>
      <c r="I411" s="78"/>
      <c r="J411" s="78"/>
      <c r="K411" s="78"/>
      <c r="L411" s="78"/>
      <c r="M411" s="78"/>
      <c r="N411" s="77"/>
      <c r="O411" s="77"/>
      <c r="W411" s="77"/>
    </row>
    <row r="412" spans="1:23" ht="15.6" customHeight="1">
      <c r="A412" s="75"/>
      <c r="B412" s="117" t="s">
        <v>90</v>
      </c>
      <c r="C412" s="118" t="s">
        <v>53</v>
      </c>
      <c r="D412" s="76"/>
      <c r="E412" s="76"/>
      <c r="F412" s="76"/>
      <c r="G412" s="76" t="s">
        <v>99</v>
      </c>
      <c r="H412" s="70">
        <v>-1</v>
      </c>
      <c r="I412" s="79">
        <v>24.44</v>
      </c>
      <c r="J412" s="81">
        <f>3.82+0.4+0.82+1.08+0.15+3.82+0.15+0.15</f>
        <v>10.39</v>
      </c>
      <c r="K412" s="81">
        <v>0.13</v>
      </c>
      <c r="L412" s="78">
        <f>J412*I412*H412*K412</f>
        <v>-33.011108000000007</v>
      </c>
      <c r="M412" s="76"/>
      <c r="N412" s="77"/>
      <c r="O412" s="77"/>
      <c r="W412" s="77"/>
    </row>
    <row r="413" spans="1:23" s="45" customFormat="1">
      <c r="A413"/>
      <c r="B413" s="2" t="s">
        <v>2</v>
      </c>
      <c r="C413" s="2" t="s">
        <v>3</v>
      </c>
      <c r="D413"/>
      <c r="E413"/>
      <c r="F413" s="55"/>
      <c r="G413" s="96"/>
      <c r="H413" s="70"/>
      <c r="I413" s="64"/>
      <c r="J413" s="64"/>
      <c r="K413" s="64"/>
      <c r="L413" s="64"/>
      <c r="M413" s="64"/>
      <c r="P413"/>
    </row>
    <row r="414" spans="1:23" s="49" customFormat="1">
      <c r="A414" s="50" t="s">
        <v>106</v>
      </c>
      <c r="B414" s="53" t="s">
        <v>4</v>
      </c>
      <c r="C414" s="53">
        <v>1</v>
      </c>
      <c r="G414" s="67" t="s">
        <v>22</v>
      </c>
      <c r="H414" s="70">
        <v>-1</v>
      </c>
      <c r="I414">
        <v>1</v>
      </c>
      <c r="J414">
        <v>1</v>
      </c>
      <c r="K414" s="54">
        <v>0.25</v>
      </c>
      <c r="L414" s="87">
        <f>K414*J414*I414*H414</f>
        <v>-0.25</v>
      </c>
      <c r="P414"/>
    </row>
    <row r="415" spans="1:23" s="49" customFormat="1">
      <c r="A415" s="50" t="s">
        <v>105</v>
      </c>
      <c r="B415" s="53" t="s">
        <v>4</v>
      </c>
      <c r="C415" s="55">
        <v>2</v>
      </c>
      <c r="G415" s="67" t="s">
        <v>22</v>
      </c>
      <c r="H415" s="70">
        <v>-1</v>
      </c>
      <c r="I415">
        <v>1.5</v>
      </c>
      <c r="J415">
        <v>1.5</v>
      </c>
      <c r="K415" s="54">
        <v>0.4</v>
      </c>
      <c r="L415" s="87">
        <f t="shared" ref="L415:L436" si="60">K415*J415*I415*H415</f>
        <v>-0.90000000000000013</v>
      </c>
      <c r="P415"/>
    </row>
    <row r="416" spans="1:23">
      <c r="A416" s="50" t="s">
        <v>107</v>
      </c>
      <c r="B416" s="53" t="s">
        <v>4</v>
      </c>
      <c r="C416" s="53">
        <v>4</v>
      </c>
      <c r="D416" s="49"/>
      <c r="E416" s="49"/>
      <c r="G416" s="98" t="s">
        <v>22</v>
      </c>
      <c r="H416" s="70">
        <v>-1</v>
      </c>
      <c r="I416">
        <v>1.5</v>
      </c>
      <c r="J416" s="24">
        <v>1.5</v>
      </c>
      <c r="K416" s="55">
        <v>0.4</v>
      </c>
      <c r="L416" s="87">
        <f t="shared" si="60"/>
        <v>-0.90000000000000013</v>
      </c>
      <c r="M416" s="55"/>
    </row>
    <row r="417" spans="1:16">
      <c r="A417" s="50" t="s">
        <v>21</v>
      </c>
      <c r="B417" s="53" t="s">
        <v>4</v>
      </c>
      <c r="C417" s="55">
        <v>5</v>
      </c>
      <c r="D417" s="49"/>
      <c r="E417" s="49"/>
      <c r="G417" s="98" t="s">
        <v>22</v>
      </c>
      <c r="H417" s="70">
        <v>-1</v>
      </c>
      <c r="I417">
        <v>1.1000000000000001</v>
      </c>
      <c r="J417">
        <v>1.1000000000000001</v>
      </c>
      <c r="K417" s="55">
        <v>0.25</v>
      </c>
      <c r="L417" s="87">
        <f t="shared" si="60"/>
        <v>-0.30250000000000005</v>
      </c>
      <c r="M417" s="55"/>
    </row>
    <row r="418" spans="1:16">
      <c r="A418" t="s">
        <v>109</v>
      </c>
      <c r="B418" s="53" t="s">
        <v>4</v>
      </c>
      <c r="C418" s="55">
        <v>6</v>
      </c>
      <c r="D418" s="49"/>
      <c r="E418" s="49"/>
      <c r="G418" s="98" t="s">
        <v>22</v>
      </c>
      <c r="H418" s="70">
        <v>-1</v>
      </c>
      <c r="I418">
        <v>1.2</v>
      </c>
      <c r="J418">
        <v>1.2</v>
      </c>
      <c r="K418" s="55">
        <v>0.3</v>
      </c>
      <c r="L418" s="87">
        <f t="shared" si="60"/>
        <v>-0.432</v>
      </c>
      <c r="M418" s="55"/>
    </row>
    <row r="419" spans="1:16">
      <c r="A419" s="50" t="s">
        <v>109</v>
      </c>
      <c r="B419" s="53" t="s">
        <v>4</v>
      </c>
      <c r="C419" s="53">
        <v>7</v>
      </c>
      <c r="D419" s="49"/>
      <c r="E419" s="49"/>
      <c r="G419" s="98" t="s">
        <v>22</v>
      </c>
      <c r="H419" s="70">
        <v>-1</v>
      </c>
      <c r="I419" s="42">
        <v>1.2</v>
      </c>
      <c r="J419" s="42">
        <v>1.2</v>
      </c>
      <c r="K419" s="55">
        <v>0.3</v>
      </c>
      <c r="L419" s="87">
        <f t="shared" si="60"/>
        <v>-0.432</v>
      </c>
      <c r="M419" s="55"/>
      <c r="P419" s="49"/>
    </row>
    <row r="420" spans="1:16">
      <c r="A420" s="50" t="s">
        <v>109</v>
      </c>
      <c r="B420" s="53" t="s">
        <v>4</v>
      </c>
      <c r="C420" s="53">
        <v>8</v>
      </c>
      <c r="D420" s="49"/>
      <c r="E420" s="49"/>
      <c r="G420" s="98" t="s">
        <v>22</v>
      </c>
      <c r="H420" s="70">
        <v>-1</v>
      </c>
      <c r="I420">
        <v>1.2</v>
      </c>
      <c r="J420">
        <v>1.2</v>
      </c>
      <c r="K420" s="55">
        <v>0.3</v>
      </c>
      <c r="L420" s="87">
        <f t="shared" si="60"/>
        <v>-0.432</v>
      </c>
      <c r="M420" s="55"/>
      <c r="P420" s="49"/>
    </row>
    <row r="421" spans="1:16">
      <c r="A421" s="50" t="s">
        <v>108</v>
      </c>
      <c r="B421" s="53" t="s">
        <v>6</v>
      </c>
      <c r="C421" s="53">
        <v>5</v>
      </c>
      <c r="D421" s="49"/>
      <c r="E421" s="49"/>
      <c r="G421" s="98" t="s">
        <v>22</v>
      </c>
      <c r="H421" s="70">
        <v>-1</v>
      </c>
      <c r="I421" s="42">
        <v>1.5</v>
      </c>
      <c r="J421" s="42">
        <v>1.5</v>
      </c>
      <c r="K421" s="55">
        <v>0.4</v>
      </c>
      <c r="L421" s="87">
        <f t="shared" si="60"/>
        <v>-0.90000000000000013</v>
      </c>
      <c r="M421" s="55"/>
      <c r="P421" s="70"/>
    </row>
    <row r="422" spans="1:16">
      <c r="A422" s="50" t="s">
        <v>107</v>
      </c>
      <c r="B422" s="53" t="s">
        <v>7</v>
      </c>
      <c r="C422" s="53">
        <v>6</v>
      </c>
      <c r="D422" s="49"/>
      <c r="E422" s="49"/>
      <c r="G422" s="98" t="s">
        <v>22</v>
      </c>
      <c r="H422" s="70">
        <v>-1</v>
      </c>
      <c r="I422" s="42">
        <v>1.5</v>
      </c>
      <c r="J422" s="42">
        <v>1.5</v>
      </c>
      <c r="K422" s="55">
        <v>0.4</v>
      </c>
      <c r="L422" s="87">
        <f t="shared" si="60"/>
        <v>-0.90000000000000013</v>
      </c>
      <c r="M422" s="55"/>
      <c r="P422" s="70"/>
    </row>
    <row r="423" spans="1:16">
      <c r="A423" s="50" t="s">
        <v>107</v>
      </c>
      <c r="B423" s="53" t="s">
        <v>7</v>
      </c>
      <c r="C423" s="53">
        <v>7</v>
      </c>
      <c r="D423" s="49"/>
      <c r="E423" s="49"/>
      <c r="G423" s="98" t="s">
        <v>22</v>
      </c>
      <c r="H423" s="70">
        <v>-1</v>
      </c>
      <c r="I423" s="42">
        <v>1.5</v>
      </c>
      <c r="J423" s="42">
        <v>1.5</v>
      </c>
      <c r="K423" s="55">
        <v>0.4</v>
      </c>
      <c r="L423" s="87">
        <f t="shared" si="60"/>
        <v>-0.90000000000000013</v>
      </c>
      <c r="M423" s="55"/>
      <c r="P423" s="70"/>
    </row>
    <row r="424" spans="1:16">
      <c r="A424" s="50" t="s">
        <v>109</v>
      </c>
      <c r="B424" s="53" t="s">
        <v>7</v>
      </c>
      <c r="C424" s="53">
        <v>8</v>
      </c>
      <c r="D424" s="49"/>
      <c r="E424" s="49"/>
      <c r="G424" s="98" t="s">
        <v>22</v>
      </c>
      <c r="H424" s="70">
        <v>-1</v>
      </c>
      <c r="I424" s="42">
        <v>1.2</v>
      </c>
      <c r="J424" s="42">
        <v>1.2</v>
      </c>
      <c r="K424" s="55">
        <v>0.3</v>
      </c>
      <c r="L424" s="87">
        <f t="shared" si="60"/>
        <v>-0.432</v>
      </c>
      <c r="M424" s="55"/>
      <c r="P424" s="70"/>
    </row>
    <row r="425" spans="1:16">
      <c r="A425" s="50" t="s">
        <v>107</v>
      </c>
      <c r="B425" s="53" t="s">
        <v>8</v>
      </c>
      <c r="C425" s="53">
        <v>1</v>
      </c>
      <c r="D425" s="49"/>
      <c r="E425" s="49"/>
      <c r="G425" s="98" t="s">
        <v>22</v>
      </c>
      <c r="H425" s="70">
        <v>-1</v>
      </c>
      <c r="I425">
        <v>1.5</v>
      </c>
      <c r="J425">
        <v>1.5</v>
      </c>
      <c r="K425" s="55">
        <v>0.4</v>
      </c>
      <c r="L425" s="87">
        <f t="shared" si="60"/>
        <v>-0.90000000000000013</v>
      </c>
      <c r="M425" s="55"/>
      <c r="P425" s="70"/>
    </row>
    <row r="426" spans="1:16">
      <c r="A426" s="50" t="s">
        <v>108</v>
      </c>
      <c r="B426" s="53" t="s">
        <v>10</v>
      </c>
      <c r="C426" s="53">
        <v>5</v>
      </c>
      <c r="D426" s="49"/>
      <c r="E426" s="49"/>
      <c r="G426" s="98" t="s">
        <v>22</v>
      </c>
      <c r="H426" s="70">
        <v>-1</v>
      </c>
      <c r="I426" s="42">
        <v>1.5</v>
      </c>
      <c r="J426" s="42">
        <v>1.3</v>
      </c>
      <c r="K426" s="55">
        <v>0.4</v>
      </c>
      <c r="L426" s="87">
        <f t="shared" si="60"/>
        <v>-0.78</v>
      </c>
      <c r="M426" s="55"/>
      <c r="P426" s="70"/>
    </row>
    <row r="427" spans="1:16">
      <c r="A427" s="50" t="s">
        <v>107</v>
      </c>
      <c r="B427" s="53" t="s">
        <v>9</v>
      </c>
      <c r="C427" s="53">
        <v>6</v>
      </c>
      <c r="D427" s="49"/>
      <c r="E427" s="49"/>
      <c r="G427" s="98" t="s">
        <v>22</v>
      </c>
      <c r="H427" s="70">
        <v>-1</v>
      </c>
      <c r="I427" s="42">
        <v>1.5</v>
      </c>
      <c r="J427" s="42">
        <v>1.5</v>
      </c>
      <c r="K427" s="55">
        <v>0.4</v>
      </c>
      <c r="L427" s="87">
        <f t="shared" si="60"/>
        <v>-0.90000000000000013</v>
      </c>
      <c r="M427" s="55"/>
      <c r="P427" s="70"/>
    </row>
    <row r="428" spans="1:16" s="49" customFormat="1">
      <c r="A428" s="50" t="s">
        <v>107</v>
      </c>
      <c r="B428" s="53" t="s">
        <v>9</v>
      </c>
      <c r="C428" s="53">
        <v>7</v>
      </c>
      <c r="G428" s="98" t="s">
        <v>22</v>
      </c>
      <c r="H428" s="70">
        <v>-1</v>
      </c>
      <c r="I428" s="42">
        <v>1.5</v>
      </c>
      <c r="J428" s="42">
        <v>1.5</v>
      </c>
      <c r="K428" s="55">
        <v>0.4</v>
      </c>
      <c r="L428" s="87">
        <f t="shared" si="60"/>
        <v>-0.90000000000000013</v>
      </c>
      <c r="M428" s="49" t="s">
        <v>95</v>
      </c>
      <c r="P428" s="98"/>
    </row>
    <row r="429" spans="1:16" s="49" customFormat="1">
      <c r="A429" s="50" t="s">
        <v>109</v>
      </c>
      <c r="B429" s="53" t="s">
        <v>9</v>
      </c>
      <c r="C429" s="53">
        <v>8</v>
      </c>
      <c r="G429" s="98" t="s">
        <v>22</v>
      </c>
      <c r="H429" s="70">
        <v>-1</v>
      </c>
      <c r="I429" s="42">
        <v>1.2</v>
      </c>
      <c r="J429" s="42">
        <v>1.2</v>
      </c>
      <c r="K429" s="55">
        <v>0.3</v>
      </c>
      <c r="L429" s="87">
        <f t="shared" si="60"/>
        <v>-0.432</v>
      </c>
      <c r="M429" s="49" t="s">
        <v>95</v>
      </c>
      <c r="P429" s="70"/>
    </row>
    <row r="430" spans="1:16" s="70" customFormat="1">
      <c r="A430" s="50" t="s">
        <v>20</v>
      </c>
      <c r="B430" s="53" t="s">
        <v>11</v>
      </c>
      <c r="C430" s="53">
        <v>1</v>
      </c>
      <c r="D430" s="49"/>
      <c r="E430" s="49"/>
      <c r="G430" s="98" t="s">
        <v>22</v>
      </c>
      <c r="H430" s="70">
        <v>-1</v>
      </c>
      <c r="I430">
        <v>1</v>
      </c>
      <c r="J430">
        <v>1</v>
      </c>
      <c r="K430" s="55">
        <v>0.25</v>
      </c>
      <c r="L430" s="87">
        <f t="shared" si="60"/>
        <v>-0.25</v>
      </c>
      <c r="P430" s="70" t="str">
        <f>IF(I437=16,G437*H437*J437,"")</f>
        <v/>
      </c>
    </row>
    <row r="431" spans="1:16" s="70" customFormat="1">
      <c r="A431" s="50" t="s">
        <v>107</v>
      </c>
      <c r="B431" s="53" t="s">
        <v>11</v>
      </c>
      <c r="C431" s="53">
        <v>2</v>
      </c>
      <c r="D431" s="49"/>
      <c r="E431" s="49"/>
      <c r="G431" s="98" t="s">
        <v>22</v>
      </c>
      <c r="H431" s="70">
        <v>-1</v>
      </c>
      <c r="I431">
        <v>1.5</v>
      </c>
      <c r="J431">
        <v>1.5</v>
      </c>
      <c r="K431" s="55">
        <v>0.25</v>
      </c>
      <c r="L431" s="87">
        <f t="shared" si="60"/>
        <v>-0.5625</v>
      </c>
      <c r="M431" s="49" t="s">
        <v>95</v>
      </c>
    </row>
    <row r="432" spans="1:16" s="70" customFormat="1">
      <c r="A432" s="50" t="s">
        <v>107</v>
      </c>
      <c r="B432" s="53" t="s">
        <v>11</v>
      </c>
      <c r="C432" s="53">
        <v>3</v>
      </c>
      <c r="D432" s="49"/>
      <c r="E432" s="49"/>
      <c r="G432" s="98" t="s">
        <v>22</v>
      </c>
      <c r="H432" s="70">
        <v>-1</v>
      </c>
      <c r="I432">
        <v>1.5</v>
      </c>
      <c r="J432">
        <v>1.5</v>
      </c>
      <c r="K432" s="55">
        <v>0.4</v>
      </c>
      <c r="L432" s="87">
        <f t="shared" si="60"/>
        <v>-0.90000000000000013</v>
      </c>
    </row>
    <row r="433" spans="1:15" s="70" customFormat="1">
      <c r="A433" s="50" t="s">
        <v>108</v>
      </c>
      <c r="B433" s="53" t="s">
        <v>11</v>
      </c>
      <c r="C433" s="53">
        <v>5</v>
      </c>
      <c r="D433" s="49"/>
      <c r="E433" s="49"/>
      <c r="G433" s="98" t="s">
        <v>22</v>
      </c>
      <c r="H433" s="70">
        <v>-1</v>
      </c>
      <c r="I433">
        <v>1.5</v>
      </c>
      <c r="J433">
        <v>1.5</v>
      </c>
      <c r="K433" s="55">
        <v>0.4</v>
      </c>
      <c r="L433" s="87">
        <f t="shared" si="60"/>
        <v>-0.90000000000000013</v>
      </c>
      <c r="M433" s="49" t="s">
        <v>95</v>
      </c>
    </row>
    <row r="434" spans="1:15" s="70" customFormat="1">
      <c r="A434" s="50" t="s">
        <v>109</v>
      </c>
      <c r="B434" s="53" t="s">
        <v>11</v>
      </c>
      <c r="C434" s="53">
        <v>6</v>
      </c>
      <c r="D434" s="49"/>
      <c r="E434" s="49"/>
      <c r="G434" s="98" t="s">
        <v>22</v>
      </c>
      <c r="H434" s="70">
        <v>-1</v>
      </c>
      <c r="I434">
        <v>1.2</v>
      </c>
      <c r="J434">
        <v>1.2</v>
      </c>
      <c r="K434" s="55">
        <v>0.3</v>
      </c>
      <c r="L434" s="87">
        <f t="shared" si="60"/>
        <v>-0.432</v>
      </c>
    </row>
    <row r="435" spans="1:15" s="70" customFormat="1">
      <c r="A435" s="50" t="s">
        <v>109</v>
      </c>
      <c r="B435" s="53" t="s">
        <v>11</v>
      </c>
      <c r="C435" s="53">
        <v>7</v>
      </c>
      <c r="D435" s="49"/>
      <c r="E435" s="49"/>
      <c r="G435" s="98" t="s">
        <v>22</v>
      </c>
      <c r="H435" s="70">
        <v>-1</v>
      </c>
      <c r="I435">
        <v>1.2</v>
      </c>
      <c r="J435">
        <v>1.2</v>
      </c>
      <c r="K435" s="55">
        <v>0.3</v>
      </c>
      <c r="L435" s="87">
        <f t="shared" si="60"/>
        <v>-0.432</v>
      </c>
    </row>
    <row r="436" spans="1:15" s="70" customFormat="1">
      <c r="A436" s="50" t="s">
        <v>109</v>
      </c>
      <c r="B436" s="53" t="s">
        <v>11</v>
      </c>
      <c r="C436" s="53">
        <v>8</v>
      </c>
      <c r="D436" s="49"/>
      <c r="E436" s="49"/>
      <c r="G436" s="98" t="s">
        <v>22</v>
      </c>
      <c r="H436" s="70">
        <v>-1</v>
      </c>
      <c r="I436">
        <v>1.2</v>
      </c>
      <c r="J436">
        <v>1.2</v>
      </c>
      <c r="K436" s="55">
        <v>0.3</v>
      </c>
      <c r="L436" s="87">
        <f t="shared" si="60"/>
        <v>-0.432</v>
      </c>
    </row>
    <row r="437" spans="1:15" s="70" customFormat="1">
      <c r="A437" s="2" t="s">
        <v>2</v>
      </c>
      <c r="B437" s="2" t="s">
        <v>3</v>
      </c>
      <c r="C437" s="2" t="s">
        <v>12</v>
      </c>
      <c r="D437" s="82"/>
      <c r="E437" s="73"/>
      <c r="F437" s="73"/>
      <c r="G437" s="98"/>
      <c r="H437" s="70">
        <v>-1</v>
      </c>
      <c r="K437" s="70" t="str">
        <f t="shared" ref="K437" si="61">IF(I437=6,G437*H437*J437,"")</f>
        <v/>
      </c>
      <c r="L437" s="70" t="str">
        <f t="shared" ref="L437" si="62">IF(I437=8,G437*H437*J437,"")</f>
        <v/>
      </c>
      <c r="M437" s="70" t="str">
        <f t="shared" ref="M437" si="63">IF(I437=10,G437*H437*J437,"")</f>
        <v/>
      </c>
      <c r="N437" s="70" t="str">
        <f t="shared" ref="N437" si="64">IF(I437=12,G437*H437*J437,"")</f>
        <v/>
      </c>
      <c r="O437" s="70" t="str">
        <f t="shared" ref="O437" si="65">IF(I437=14,G437*H437*J437,"")</f>
        <v/>
      </c>
    </row>
    <row r="438" spans="1:15" s="70" customFormat="1">
      <c r="A438" s="71" t="s">
        <v>7</v>
      </c>
      <c r="B438" s="72" t="s">
        <v>70</v>
      </c>
      <c r="C438" s="89" t="s">
        <v>116</v>
      </c>
      <c r="D438" s="98"/>
      <c r="E438" s="98"/>
      <c r="F438" s="98"/>
      <c r="G438" s="98" t="s">
        <v>22</v>
      </c>
      <c r="H438" s="70">
        <v>-1</v>
      </c>
      <c r="I438" s="73">
        <v>4.8</v>
      </c>
      <c r="J438" s="73">
        <v>0.5</v>
      </c>
      <c r="K438" s="73">
        <v>0.2</v>
      </c>
      <c r="L438" s="70">
        <f>K438*J438*I438*H438</f>
        <v>-0.48</v>
      </c>
    </row>
    <row r="439" spans="1:15" s="70" customFormat="1">
      <c r="A439" s="71" t="s">
        <v>7</v>
      </c>
      <c r="B439" s="72" t="s">
        <v>110</v>
      </c>
      <c r="C439" s="89" t="s">
        <v>116</v>
      </c>
      <c r="D439" s="98"/>
      <c r="E439" s="98"/>
      <c r="F439" s="98"/>
      <c r="G439" s="98" t="s">
        <v>22</v>
      </c>
      <c r="H439" s="70">
        <v>-1</v>
      </c>
      <c r="I439" s="73">
        <v>2.65</v>
      </c>
      <c r="J439" s="73">
        <v>0.5</v>
      </c>
      <c r="K439" s="73">
        <v>0.2</v>
      </c>
      <c r="L439" s="70">
        <f t="shared" ref="L439:L456" si="66">K439*J439*I439*H439</f>
        <v>-0.26500000000000001</v>
      </c>
    </row>
    <row r="440" spans="1:15" s="70" customFormat="1">
      <c r="A440" s="71" t="s">
        <v>7</v>
      </c>
      <c r="B440" s="72" t="s">
        <v>111</v>
      </c>
      <c r="C440" s="89" t="s">
        <v>116</v>
      </c>
      <c r="D440" s="98"/>
      <c r="E440" s="98"/>
      <c r="F440" s="98"/>
      <c r="G440" s="98" t="s">
        <v>22</v>
      </c>
      <c r="H440" s="70">
        <v>-1</v>
      </c>
      <c r="I440" s="73">
        <v>4.5999999999999996</v>
      </c>
      <c r="J440" s="73">
        <v>0.5</v>
      </c>
      <c r="K440" s="73">
        <v>0.2</v>
      </c>
      <c r="L440" s="70">
        <f t="shared" si="66"/>
        <v>-0.45999999999999996</v>
      </c>
    </row>
    <row r="441" spans="1:15" s="70" customFormat="1">
      <c r="A441" s="71" t="s">
        <v>8</v>
      </c>
      <c r="B441" s="72" t="s">
        <v>71</v>
      </c>
      <c r="C441" s="89" t="s">
        <v>14</v>
      </c>
      <c r="D441" s="98"/>
      <c r="E441" s="98"/>
      <c r="F441" s="98"/>
      <c r="G441" s="98" t="s">
        <v>22</v>
      </c>
      <c r="H441" s="70">
        <v>-1</v>
      </c>
      <c r="I441" s="73">
        <v>2.48</v>
      </c>
      <c r="J441" s="73">
        <v>0.4</v>
      </c>
      <c r="K441" s="73">
        <v>0.2</v>
      </c>
      <c r="L441" s="70">
        <f t="shared" si="66"/>
        <v>-0.19840000000000005</v>
      </c>
    </row>
    <row r="442" spans="1:15" s="70" customFormat="1">
      <c r="A442" s="71" t="s">
        <v>8</v>
      </c>
      <c r="B442" s="72" t="s">
        <v>72</v>
      </c>
      <c r="C442" s="89" t="s">
        <v>14</v>
      </c>
      <c r="D442" s="98"/>
      <c r="E442" s="98"/>
      <c r="F442" s="98"/>
      <c r="G442" s="98" t="s">
        <v>22</v>
      </c>
      <c r="H442" s="70">
        <v>-1</v>
      </c>
      <c r="I442" s="73">
        <v>3.7</v>
      </c>
      <c r="J442" s="73">
        <v>0.4</v>
      </c>
      <c r="K442" s="73">
        <v>0.2</v>
      </c>
      <c r="L442" s="70">
        <f t="shared" si="66"/>
        <v>-0.2960000000000001</v>
      </c>
    </row>
    <row r="443" spans="1:15" s="70" customFormat="1">
      <c r="A443" s="71" t="s">
        <v>8</v>
      </c>
      <c r="B443" s="72" t="s">
        <v>73</v>
      </c>
      <c r="C443" s="89" t="s">
        <v>14</v>
      </c>
      <c r="D443" s="98"/>
      <c r="E443" s="98"/>
      <c r="F443" s="98"/>
      <c r="G443" s="98" t="s">
        <v>22</v>
      </c>
      <c r="H443" s="70">
        <v>-1</v>
      </c>
      <c r="I443" s="73">
        <v>3.7</v>
      </c>
      <c r="J443" s="73">
        <v>0.4</v>
      </c>
      <c r="K443" s="73">
        <v>0.2</v>
      </c>
      <c r="L443" s="70">
        <f t="shared" si="66"/>
        <v>-0.2960000000000001</v>
      </c>
    </row>
    <row r="444" spans="1:15" s="70" customFormat="1">
      <c r="A444" s="71" t="s">
        <v>8</v>
      </c>
      <c r="B444" s="72" t="s">
        <v>69</v>
      </c>
      <c r="C444" s="89" t="s">
        <v>14</v>
      </c>
      <c r="D444" s="98"/>
      <c r="E444" s="98"/>
      <c r="F444" s="98"/>
      <c r="G444" s="98" t="s">
        <v>22</v>
      </c>
      <c r="H444" s="70">
        <v>-1</v>
      </c>
      <c r="I444" s="73">
        <v>2.38</v>
      </c>
      <c r="J444" s="73">
        <v>0.4</v>
      </c>
      <c r="K444" s="73">
        <v>0.2</v>
      </c>
      <c r="L444" s="70">
        <f t="shared" si="66"/>
        <v>-0.19040000000000004</v>
      </c>
    </row>
    <row r="445" spans="1:15" s="70" customFormat="1">
      <c r="A445" s="71" t="s">
        <v>9</v>
      </c>
      <c r="B445" s="72" t="s">
        <v>70</v>
      </c>
      <c r="C445" s="89" t="s">
        <v>116</v>
      </c>
      <c r="D445" s="98"/>
      <c r="E445" s="98"/>
      <c r="F445" s="98"/>
      <c r="G445" s="98" t="s">
        <v>22</v>
      </c>
      <c r="H445" s="70">
        <v>-1</v>
      </c>
      <c r="I445" s="73">
        <v>4.78</v>
      </c>
      <c r="J445" s="73">
        <v>0.5</v>
      </c>
      <c r="K445" s="73">
        <v>0.2</v>
      </c>
      <c r="L445" s="70">
        <f t="shared" si="66"/>
        <v>-0.47800000000000004</v>
      </c>
    </row>
    <row r="446" spans="1:15" s="70" customFormat="1">
      <c r="A446" s="71" t="s">
        <v>9</v>
      </c>
      <c r="B446" s="72" t="s">
        <v>110</v>
      </c>
      <c r="C446" s="89" t="s">
        <v>116</v>
      </c>
      <c r="D446" s="98"/>
      <c r="E446" s="98"/>
      <c r="F446" s="98"/>
      <c r="G446" s="98" t="s">
        <v>22</v>
      </c>
      <c r="H446" s="70">
        <v>-1</v>
      </c>
      <c r="I446" s="73">
        <v>2.65</v>
      </c>
      <c r="J446" s="73">
        <v>0.5</v>
      </c>
      <c r="K446" s="73">
        <v>0.2</v>
      </c>
      <c r="L446" s="70">
        <f t="shared" si="66"/>
        <v>-0.26500000000000001</v>
      </c>
    </row>
    <row r="447" spans="1:15" s="70" customFormat="1">
      <c r="A447" s="71" t="s">
        <v>25</v>
      </c>
      <c r="B447" s="72" t="s">
        <v>91</v>
      </c>
      <c r="C447" s="89" t="s">
        <v>14</v>
      </c>
      <c r="G447" s="98" t="s">
        <v>22</v>
      </c>
      <c r="H447" s="70">
        <v>-1</v>
      </c>
      <c r="I447" s="73">
        <f>3.82+0.4+0.82</f>
        <v>5.04</v>
      </c>
      <c r="J447" s="73">
        <v>0.4</v>
      </c>
      <c r="K447" s="73">
        <v>0.2</v>
      </c>
      <c r="L447" s="70">
        <f t="shared" si="66"/>
        <v>-0.40320000000000006</v>
      </c>
    </row>
    <row r="448" spans="1:15" s="70" customFormat="1">
      <c r="A448" s="89" t="s">
        <v>25</v>
      </c>
      <c r="B448" s="72" t="s">
        <v>79</v>
      </c>
      <c r="C448" s="89" t="s">
        <v>14</v>
      </c>
      <c r="D448" s="98"/>
      <c r="E448" s="98"/>
      <c r="F448" s="98"/>
      <c r="G448" s="98" t="s">
        <v>22</v>
      </c>
      <c r="H448" s="70">
        <v>-1</v>
      </c>
      <c r="I448" s="73">
        <v>5.04</v>
      </c>
      <c r="J448" s="73">
        <v>0.4</v>
      </c>
      <c r="K448" s="73">
        <v>0.2</v>
      </c>
      <c r="L448" s="70">
        <f t="shared" si="66"/>
        <v>-0.40320000000000006</v>
      </c>
    </row>
    <row r="449" spans="1:12" s="70" customFormat="1">
      <c r="A449" s="71" t="s">
        <v>113</v>
      </c>
      <c r="B449" s="72" t="s">
        <v>83</v>
      </c>
      <c r="C449" s="89" t="s">
        <v>116</v>
      </c>
      <c r="D449" s="98"/>
      <c r="E449" s="98"/>
      <c r="F449" s="98"/>
      <c r="G449" s="98" t="s">
        <v>22</v>
      </c>
      <c r="H449" s="70">
        <v>-1</v>
      </c>
      <c r="I449" s="73">
        <f>3.82+0.4+0.82+1.08</f>
        <v>6.12</v>
      </c>
      <c r="J449" s="73">
        <v>0.5</v>
      </c>
      <c r="K449" s="73">
        <v>0.2</v>
      </c>
      <c r="L449" s="70">
        <f t="shared" si="66"/>
        <v>-0.6120000000000001</v>
      </c>
    </row>
    <row r="450" spans="1:12" s="70" customFormat="1">
      <c r="A450" s="71" t="s">
        <v>113</v>
      </c>
      <c r="B450" s="72" t="s">
        <v>87</v>
      </c>
      <c r="C450" s="89" t="s">
        <v>116</v>
      </c>
      <c r="G450" s="98" t="s">
        <v>22</v>
      </c>
      <c r="H450" s="70">
        <v>-1</v>
      </c>
      <c r="I450" s="73">
        <v>6.12</v>
      </c>
      <c r="J450" s="73">
        <v>0.5</v>
      </c>
      <c r="K450" s="73">
        <v>0.2</v>
      </c>
      <c r="L450" s="70">
        <f t="shared" si="66"/>
        <v>-0.6120000000000001</v>
      </c>
    </row>
    <row r="451" spans="1:12" s="70" customFormat="1">
      <c r="A451" s="89" t="s">
        <v>113</v>
      </c>
      <c r="B451" s="72" t="s">
        <v>112</v>
      </c>
      <c r="C451" s="89" t="s">
        <v>116</v>
      </c>
      <c r="D451" s="98"/>
      <c r="E451" s="98"/>
      <c r="F451" s="98"/>
      <c r="G451" s="98" t="s">
        <v>22</v>
      </c>
      <c r="H451" s="70">
        <v>-1</v>
      </c>
      <c r="I451" s="73">
        <v>6.12</v>
      </c>
      <c r="J451" s="73">
        <v>0.5</v>
      </c>
      <c r="K451" s="73">
        <v>0.2</v>
      </c>
      <c r="L451" s="70">
        <f t="shared" si="66"/>
        <v>-0.6120000000000001</v>
      </c>
    </row>
    <row r="452" spans="1:12" s="70" customFormat="1">
      <c r="A452" s="71" t="s">
        <v>114</v>
      </c>
      <c r="B452" s="72" t="s">
        <v>91</v>
      </c>
      <c r="C452" s="89" t="s">
        <v>14</v>
      </c>
      <c r="D452" s="98"/>
      <c r="E452" s="98"/>
      <c r="F452" s="98"/>
      <c r="G452" s="98" t="s">
        <v>22</v>
      </c>
      <c r="H452" s="70">
        <v>-1</v>
      </c>
      <c r="I452" s="73">
        <f>1.8+0.15+3.82</f>
        <v>5.77</v>
      </c>
      <c r="J452" s="73">
        <v>0.4</v>
      </c>
      <c r="K452" s="73">
        <v>0.2</v>
      </c>
      <c r="L452" s="70">
        <f t="shared" si="66"/>
        <v>-0.46160000000000007</v>
      </c>
    </row>
    <row r="453" spans="1:12" s="70" customFormat="1">
      <c r="A453" s="71" t="s">
        <v>114</v>
      </c>
      <c r="B453" s="72" t="s">
        <v>82</v>
      </c>
      <c r="C453" s="89" t="s">
        <v>14</v>
      </c>
      <c r="D453" s="98"/>
      <c r="E453" s="98"/>
      <c r="F453" s="98"/>
      <c r="G453" s="98" t="s">
        <v>22</v>
      </c>
      <c r="H453" s="70">
        <v>-1</v>
      </c>
      <c r="I453" s="73">
        <v>5.77</v>
      </c>
      <c r="J453" s="73">
        <v>0.4</v>
      </c>
      <c r="K453" s="73">
        <v>0.2</v>
      </c>
      <c r="L453" s="70">
        <f t="shared" si="66"/>
        <v>-0.46160000000000007</v>
      </c>
    </row>
    <row r="454" spans="1:12" s="70" customFormat="1">
      <c r="A454" s="71" t="s">
        <v>115</v>
      </c>
      <c r="B454" s="72" t="s">
        <v>83</v>
      </c>
      <c r="C454" s="89" t="s">
        <v>116</v>
      </c>
      <c r="D454" s="98"/>
      <c r="E454" s="98"/>
      <c r="F454" s="98"/>
      <c r="G454" s="98" t="s">
        <v>22</v>
      </c>
      <c r="H454" s="70">
        <v>-1</v>
      </c>
      <c r="I454" s="73">
        <f>3.82+0.15</f>
        <v>3.9699999999999998</v>
      </c>
      <c r="J454" s="73">
        <v>0.5</v>
      </c>
      <c r="K454" s="73">
        <v>0.2</v>
      </c>
      <c r="L454" s="70">
        <f t="shared" si="66"/>
        <v>-0.39700000000000002</v>
      </c>
    </row>
    <row r="455" spans="1:12" s="70" customFormat="1">
      <c r="A455" s="71" t="s">
        <v>115</v>
      </c>
      <c r="B455" s="72" t="s">
        <v>87</v>
      </c>
      <c r="C455" s="89" t="s">
        <v>116</v>
      </c>
      <c r="D455" s="98"/>
      <c r="E455" s="98"/>
      <c r="F455" s="98"/>
      <c r="G455" s="98" t="s">
        <v>22</v>
      </c>
      <c r="H455" s="70">
        <v>-1</v>
      </c>
      <c r="I455" s="73">
        <f>0.15+3.82</f>
        <v>3.9699999999999998</v>
      </c>
      <c r="J455" s="73">
        <v>0.5</v>
      </c>
      <c r="K455" s="73">
        <v>0.2</v>
      </c>
      <c r="L455" s="70">
        <f t="shared" si="66"/>
        <v>-0.39700000000000002</v>
      </c>
    </row>
    <row r="456" spans="1:12" s="70" customFormat="1">
      <c r="A456" s="71" t="s">
        <v>115</v>
      </c>
      <c r="B456" s="72" t="s">
        <v>112</v>
      </c>
      <c r="C456" s="89" t="s">
        <v>116</v>
      </c>
      <c r="D456" s="98"/>
      <c r="E456" s="98"/>
      <c r="F456" s="98"/>
      <c r="G456" s="98" t="s">
        <v>22</v>
      </c>
      <c r="H456" s="70">
        <v>-1</v>
      </c>
      <c r="I456" s="73">
        <f>0.15+3.82</f>
        <v>3.9699999999999998</v>
      </c>
      <c r="J456" s="73">
        <v>0.5</v>
      </c>
      <c r="K456" s="73">
        <v>0.2</v>
      </c>
      <c r="L456" s="70">
        <f t="shared" si="66"/>
        <v>-0.39700000000000002</v>
      </c>
    </row>
    <row r="457" spans="1:12" s="70" customFormat="1">
      <c r="A457" s="2" t="s">
        <v>2</v>
      </c>
      <c r="B457" s="2" t="s">
        <v>3</v>
      </c>
      <c r="C457" s="2" t="s">
        <v>12</v>
      </c>
      <c r="D457" s="82"/>
      <c r="E457" s="73"/>
      <c r="F457" s="73"/>
      <c r="G457" s="98"/>
      <c r="H457" s="70">
        <v>-1</v>
      </c>
    </row>
    <row r="458" spans="1:12" s="70" customFormat="1">
      <c r="A458" s="72" t="s">
        <v>4</v>
      </c>
      <c r="B458" s="72" t="s">
        <v>71</v>
      </c>
      <c r="C458" s="73" t="s">
        <v>84</v>
      </c>
      <c r="D458" s="98"/>
      <c r="E458" s="98"/>
      <c r="F458" s="98"/>
      <c r="G458" s="98" t="s">
        <v>22</v>
      </c>
      <c r="H458" s="70">
        <v>-1</v>
      </c>
      <c r="I458" s="73">
        <v>2.48</v>
      </c>
      <c r="J458" s="73">
        <v>0.4</v>
      </c>
      <c r="K458" s="73">
        <v>0.2</v>
      </c>
      <c r="L458" s="70">
        <f t="shared" ref="L458:L463" si="67">K458*J458*I458*H458</f>
        <v>-0.19840000000000005</v>
      </c>
    </row>
    <row r="459" spans="1:12" s="70" customFormat="1">
      <c r="A459" s="72" t="s">
        <v>4</v>
      </c>
      <c r="B459" s="72" t="s">
        <v>117</v>
      </c>
      <c r="C459" s="73" t="s">
        <v>84</v>
      </c>
      <c r="D459" s="98"/>
      <c r="E459" s="98"/>
      <c r="F459" s="98"/>
      <c r="G459" s="98" t="s">
        <v>22</v>
      </c>
      <c r="H459" s="70">
        <v>-1</v>
      </c>
      <c r="I459" s="73">
        <v>7.25</v>
      </c>
      <c r="J459" s="73">
        <v>0.4</v>
      </c>
      <c r="K459" s="73">
        <v>0.2</v>
      </c>
      <c r="L459" s="70">
        <f t="shared" si="67"/>
        <v>-0.58000000000000007</v>
      </c>
    </row>
    <row r="460" spans="1:12" s="70" customFormat="1">
      <c r="A460" s="72" t="s">
        <v>4</v>
      </c>
      <c r="B460" s="72" t="s">
        <v>69</v>
      </c>
      <c r="C460" s="73" t="s">
        <v>84</v>
      </c>
      <c r="D460" s="98"/>
      <c r="E460" s="98"/>
      <c r="F460" s="98"/>
      <c r="G460" s="98" t="s">
        <v>22</v>
      </c>
      <c r="H460" s="70">
        <v>-1</v>
      </c>
      <c r="I460" s="73">
        <v>2.38</v>
      </c>
      <c r="J460" s="73">
        <v>0.4</v>
      </c>
      <c r="K460" s="73">
        <v>0.2</v>
      </c>
      <c r="L460" s="70">
        <f t="shared" si="67"/>
        <v>-0.19040000000000004</v>
      </c>
    </row>
    <row r="461" spans="1:12" s="70" customFormat="1">
      <c r="A461" s="72" t="s">
        <v>4</v>
      </c>
      <c r="B461" s="72" t="s">
        <v>70</v>
      </c>
      <c r="C461" s="73" t="s">
        <v>84</v>
      </c>
      <c r="D461" s="98"/>
      <c r="E461" s="98"/>
      <c r="F461" s="98"/>
      <c r="G461" s="98" t="s">
        <v>22</v>
      </c>
      <c r="H461" s="70">
        <v>-1</v>
      </c>
      <c r="I461" s="73">
        <v>4.78</v>
      </c>
      <c r="J461" s="73">
        <v>0.4</v>
      </c>
      <c r="K461" s="73">
        <v>0.2</v>
      </c>
      <c r="L461" s="70">
        <f t="shared" si="67"/>
        <v>-0.38240000000000007</v>
      </c>
    </row>
    <row r="462" spans="1:12" s="70" customFormat="1">
      <c r="A462" s="72" t="s">
        <v>4</v>
      </c>
      <c r="B462" s="72" t="s">
        <v>110</v>
      </c>
      <c r="C462" s="73" t="s">
        <v>84</v>
      </c>
      <c r="D462" s="98"/>
      <c r="E462" s="98"/>
      <c r="F462" s="98"/>
      <c r="G462" s="98" t="s">
        <v>22</v>
      </c>
      <c r="H462" s="70">
        <v>-1</v>
      </c>
      <c r="I462" s="73">
        <v>2.65</v>
      </c>
      <c r="J462" s="73">
        <v>0.4</v>
      </c>
      <c r="K462" s="73">
        <v>0.2</v>
      </c>
      <c r="L462" s="70">
        <f t="shared" si="67"/>
        <v>-0.21200000000000002</v>
      </c>
    </row>
    <row r="463" spans="1:12" s="70" customFormat="1">
      <c r="A463" s="72" t="s">
        <v>4</v>
      </c>
      <c r="B463" s="72" t="s">
        <v>111</v>
      </c>
      <c r="C463" s="73" t="s">
        <v>84</v>
      </c>
      <c r="D463" s="98"/>
      <c r="E463" s="98"/>
      <c r="F463" s="98"/>
      <c r="G463" s="98" t="s">
        <v>22</v>
      </c>
      <c r="H463" s="70">
        <v>-1</v>
      </c>
      <c r="I463" s="73">
        <v>4.5999999999999996</v>
      </c>
      <c r="J463" s="73">
        <v>0.4</v>
      </c>
      <c r="K463" s="73">
        <v>0.2</v>
      </c>
      <c r="L463" s="70">
        <f t="shared" si="67"/>
        <v>-0.36800000000000005</v>
      </c>
    </row>
    <row r="464" spans="1:12" s="70" customFormat="1">
      <c r="A464" s="72" t="s">
        <v>11</v>
      </c>
      <c r="B464" s="72" t="s">
        <v>71</v>
      </c>
      <c r="C464" s="73" t="s">
        <v>84</v>
      </c>
      <c r="D464" s="98"/>
      <c r="E464" s="98"/>
      <c r="F464" s="98"/>
      <c r="G464" s="98" t="s">
        <v>22</v>
      </c>
      <c r="H464" s="70">
        <v>-1</v>
      </c>
      <c r="I464" s="73">
        <v>2.48</v>
      </c>
      <c r="J464" s="73">
        <v>0.4</v>
      </c>
      <c r="K464" s="73">
        <v>0.2</v>
      </c>
      <c r="L464" s="70">
        <f>K464*J464*I464*H464</f>
        <v>-0.19840000000000005</v>
      </c>
    </row>
    <row r="465" spans="1:20" s="70" customFormat="1">
      <c r="A465" s="89" t="s">
        <v>11</v>
      </c>
      <c r="B465" s="72" t="s">
        <v>117</v>
      </c>
      <c r="C465" s="73" t="s">
        <v>84</v>
      </c>
      <c r="D465" s="98"/>
      <c r="E465" s="98"/>
      <c r="F465" s="98"/>
      <c r="G465" s="98" t="s">
        <v>22</v>
      </c>
      <c r="H465" s="70">
        <v>-1</v>
      </c>
      <c r="I465" s="73">
        <v>7.25</v>
      </c>
      <c r="J465" s="73">
        <v>0.4</v>
      </c>
      <c r="K465" s="73">
        <v>0.2</v>
      </c>
      <c r="L465" s="70">
        <f t="shared" ref="L465:L474" si="68">K465*J465*I465*H465</f>
        <v>-0.58000000000000007</v>
      </c>
    </row>
    <row r="466" spans="1:20" s="70" customFormat="1">
      <c r="A466" s="89" t="s">
        <v>11</v>
      </c>
      <c r="B466" s="72" t="s">
        <v>69</v>
      </c>
      <c r="C466" s="73" t="s">
        <v>84</v>
      </c>
      <c r="D466" s="98"/>
      <c r="E466" s="98"/>
      <c r="F466" s="98"/>
      <c r="G466" s="98" t="s">
        <v>22</v>
      </c>
      <c r="H466" s="70">
        <v>-1</v>
      </c>
      <c r="I466" s="73">
        <v>2.38</v>
      </c>
      <c r="J466" s="73">
        <v>0.4</v>
      </c>
      <c r="K466" s="73">
        <v>0.2</v>
      </c>
      <c r="L466" s="70">
        <f t="shared" si="68"/>
        <v>-0.19040000000000004</v>
      </c>
    </row>
    <row r="467" spans="1:20" s="70" customFormat="1">
      <c r="A467" s="89" t="s">
        <v>11</v>
      </c>
      <c r="B467" s="72" t="s">
        <v>70</v>
      </c>
      <c r="C467" s="73" t="s">
        <v>84</v>
      </c>
      <c r="D467" s="98"/>
      <c r="E467" s="98"/>
      <c r="F467" s="98"/>
      <c r="G467" s="98" t="s">
        <v>22</v>
      </c>
      <c r="H467" s="70">
        <v>-1</v>
      </c>
      <c r="I467" s="73">
        <v>4.78</v>
      </c>
      <c r="J467" s="73">
        <v>0.4</v>
      </c>
      <c r="K467" s="73">
        <v>0.2</v>
      </c>
      <c r="L467" s="70">
        <f t="shared" si="68"/>
        <v>-0.38240000000000007</v>
      </c>
    </row>
    <row r="468" spans="1:20" s="70" customFormat="1">
      <c r="A468" s="89" t="s">
        <v>11</v>
      </c>
      <c r="B468" s="72" t="s">
        <v>110</v>
      </c>
      <c r="C468" s="73" t="s">
        <v>84</v>
      </c>
      <c r="D468" s="98"/>
      <c r="E468" s="98"/>
      <c r="F468" s="98"/>
      <c r="G468" s="98" t="s">
        <v>22</v>
      </c>
      <c r="H468" s="70">
        <v>-1</v>
      </c>
      <c r="I468" s="73">
        <v>2.65</v>
      </c>
      <c r="J468" s="73">
        <v>0.4</v>
      </c>
      <c r="K468" s="73">
        <v>0.2</v>
      </c>
      <c r="L468" s="70">
        <f t="shared" si="68"/>
        <v>-0.21200000000000002</v>
      </c>
    </row>
    <row r="469" spans="1:20" s="70" customFormat="1">
      <c r="A469" s="89" t="s">
        <v>11</v>
      </c>
      <c r="B469" s="72" t="s">
        <v>111</v>
      </c>
      <c r="C469" s="73" t="s">
        <v>84</v>
      </c>
      <c r="D469" s="98"/>
      <c r="E469" s="98"/>
      <c r="F469" s="98"/>
      <c r="G469" s="98" t="s">
        <v>22</v>
      </c>
      <c r="H469" s="70">
        <v>-1</v>
      </c>
      <c r="I469" s="73">
        <v>4.5999999999999996</v>
      </c>
      <c r="J469" s="73">
        <v>0.4</v>
      </c>
      <c r="K469" s="73">
        <v>0.2</v>
      </c>
      <c r="L469" s="70">
        <f t="shared" si="68"/>
        <v>-0.36800000000000005</v>
      </c>
    </row>
    <row r="470" spans="1:20" s="70" customFormat="1">
      <c r="A470" s="89" t="s">
        <v>25</v>
      </c>
      <c r="B470" s="72" t="s">
        <v>80</v>
      </c>
      <c r="C470" s="73" t="s">
        <v>84</v>
      </c>
      <c r="D470" s="98"/>
      <c r="E470" s="98"/>
      <c r="F470" s="98"/>
      <c r="G470" s="98" t="s">
        <v>22</v>
      </c>
      <c r="H470" s="70">
        <v>-1</v>
      </c>
      <c r="I470" s="73">
        <f>3.82+0.4+0.82</f>
        <v>5.04</v>
      </c>
      <c r="J470" s="73">
        <v>0.4</v>
      </c>
      <c r="K470" s="73">
        <v>0.2</v>
      </c>
      <c r="L470" s="70">
        <f t="shared" si="68"/>
        <v>-0.40320000000000006</v>
      </c>
    </row>
    <row r="471" spans="1:20" s="70" customFormat="1">
      <c r="A471" s="72" t="s">
        <v>114</v>
      </c>
      <c r="B471" s="72" t="s">
        <v>80</v>
      </c>
      <c r="C471" s="73" t="s">
        <v>84</v>
      </c>
      <c r="D471" s="98"/>
      <c r="E471" s="98"/>
      <c r="F471" s="98"/>
      <c r="G471" s="98" t="s">
        <v>22</v>
      </c>
      <c r="H471" s="70">
        <v>-1</v>
      </c>
      <c r="I471" s="73">
        <f>1.08+0.15+3.82</f>
        <v>5.05</v>
      </c>
      <c r="J471" s="73">
        <v>0.4</v>
      </c>
      <c r="K471" s="73">
        <v>0.2</v>
      </c>
      <c r="L471" s="70">
        <f t="shared" si="68"/>
        <v>-0.40400000000000008</v>
      </c>
    </row>
    <row r="472" spans="1:20" s="70" customFormat="1">
      <c r="A472" s="72" t="s">
        <v>85</v>
      </c>
      <c r="B472" s="72" t="s">
        <v>118</v>
      </c>
      <c r="C472" s="73" t="s">
        <v>84</v>
      </c>
      <c r="D472" s="98"/>
      <c r="E472" s="98"/>
      <c r="F472" s="98"/>
      <c r="G472" s="98" t="s">
        <v>22</v>
      </c>
      <c r="H472" s="70">
        <v>-1</v>
      </c>
      <c r="I472" s="73">
        <f>3.82+0.4</f>
        <v>4.22</v>
      </c>
      <c r="J472" s="73">
        <v>0.4</v>
      </c>
      <c r="K472" s="73">
        <v>0.2</v>
      </c>
      <c r="L472" s="70">
        <f t="shared" si="68"/>
        <v>-0.33760000000000007</v>
      </c>
    </row>
    <row r="473" spans="1:20" s="70" customFormat="1">
      <c r="A473" s="89" t="s">
        <v>119</v>
      </c>
      <c r="B473" s="72" t="s">
        <v>118</v>
      </c>
      <c r="C473" s="73" t="s">
        <v>84</v>
      </c>
      <c r="D473" s="98"/>
      <c r="E473" s="98"/>
      <c r="F473" s="98"/>
      <c r="G473" s="98" t="s">
        <v>22</v>
      </c>
      <c r="H473" s="70">
        <v>-1</v>
      </c>
      <c r="I473" s="73">
        <f>0.82+1.08</f>
        <v>1.9</v>
      </c>
      <c r="J473" s="73">
        <v>0.4</v>
      </c>
      <c r="K473" s="73">
        <v>0.2</v>
      </c>
      <c r="L473" s="70">
        <f t="shared" si="68"/>
        <v>-0.15200000000000002</v>
      </c>
    </row>
    <row r="474" spans="1:20" s="70" customFormat="1">
      <c r="A474" s="89" t="s">
        <v>115</v>
      </c>
      <c r="B474" s="72" t="s">
        <v>118</v>
      </c>
      <c r="C474" s="73" t="s">
        <v>84</v>
      </c>
      <c r="D474" s="98"/>
      <c r="E474" s="98"/>
      <c r="F474" s="98"/>
      <c r="G474" s="98" t="s">
        <v>22</v>
      </c>
      <c r="H474" s="70">
        <v>-1</v>
      </c>
      <c r="I474" s="73">
        <f>0.15+3.82</f>
        <v>3.9699999999999998</v>
      </c>
      <c r="J474" s="73">
        <v>0.4</v>
      </c>
      <c r="K474" s="73">
        <v>0.2</v>
      </c>
      <c r="L474" s="70">
        <f t="shared" si="68"/>
        <v>-0.31760000000000005</v>
      </c>
    </row>
    <row r="475" spans="1:20">
      <c r="A475" s="63"/>
      <c r="B475" s="2" t="s">
        <v>2</v>
      </c>
      <c r="C475" s="2" t="s">
        <v>3</v>
      </c>
      <c r="D475" s="2" t="s">
        <v>12</v>
      </c>
      <c r="E475" s="43"/>
      <c r="F475" s="43"/>
      <c r="G475" s="22"/>
      <c r="H475" s="70">
        <v>-1</v>
      </c>
      <c r="I475" s="55"/>
      <c r="J475" s="55"/>
      <c r="K475" s="55"/>
      <c r="L475" s="55"/>
      <c r="M475" s="55"/>
    </row>
    <row r="476" spans="1:20">
      <c r="A476"/>
      <c r="B476" s="53" t="s">
        <v>4</v>
      </c>
      <c r="C476" s="53">
        <v>1</v>
      </c>
      <c r="D476" s="43" t="s">
        <v>43</v>
      </c>
      <c r="G476" s="22" t="s">
        <v>22</v>
      </c>
      <c r="H476" s="70">
        <v>-1</v>
      </c>
      <c r="I476" s="43">
        <v>0.3</v>
      </c>
      <c r="J476" s="43">
        <v>0.3</v>
      </c>
      <c r="K476" s="54">
        <f>$N$13-0.13-0.1-0.25</f>
        <v>1</v>
      </c>
      <c r="L476" s="55">
        <f>K476*J476*I476*H476</f>
        <v>-0.09</v>
      </c>
      <c r="M476" s="55"/>
      <c r="T476" s="43"/>
    </row>
    <row r="477" spans="1:20">
      <c r="A477"/>
      <c r="B477" s="53" t="s">
        <v>4</v>
      </c>
      <c r="C477" s="55">
        <v>2</v>
      </c>
      <c r="D477" s="43" t="s">
        <v>42</v>
      </c>
      <c r="G477" s="22" t="s">
        <v>22</v>
      </c>
      <c r="H477" s="70">
        <v>-1</v>
      </c>
      <c r="I477" s="43">
        <v>0.4</v>
      </c>
      <c r="J477" s="43">
        <v>0.4</v>
      </c>
      <c r="K477" s="54">
        <f t="shared" ref="K477:K498" si="69">$N$13-0.13-0.1-0.25</f>
        <v>1</v>
      </c>
      <c r="L477" s="55">
        <f t="shared" ref="L477:L498" si="70">K477*J477*I477*H477</f>
        <v>-0.16000000000000003</v>
      </c>
      <c r="M477" s="55"/>
      <c r="T477" s="43"/>
    </row>
    <row r="478" spans="1:20">
      <c r="A478"/>
      <c r="B478" s="53" t="s">
        <v>4</v>
      </c>
      <c r="C478" s="55">
        <v>4</v>
      </c>
      <c r="D478" s="43" t="s">
        <v>42</v>
      </c>
      <c r="G478" s="22" t="s">
        <v>22</v>
      </c>
      <c r="H478" s="70">
        <v>-1</v>
      </c>
      <c r="I478" s="43">
        <v>0.4</v>
      </c>
      <c r="J478" s="43">
        <v>0.4</v>
      </c>
      <c r="K478" s="54">
        <f t="shared" si="69"/>
        <v>1</v>
      </c>
      <c r="L478" s="55">
        <f t="shared" si="70"/>
        <v>-0.16000000000000003</v>
      </c>
      <c r="M478" s="55"/>
      <c r="T478" s="43"/>
    </row>
    <row r="479" spans="1:20">
      <c r="A479"/>
      <c r="B479" s="53" t="s">
        <v>4</v>
      </c>
      <c r="C479" s="53">
        <v>5</v>
      </c>
      <c r="D479" s="43" t="s">
        <v>43</v>
      </c>
      <c r="G479" s="22" t="s">
        <v>22</v>
      </c>
      <c r="H479" s="70">
        <v>-1</v>
      </c>
      <c r="I479" s="43">
        <v>0.3</v>
      </c>
      <c r="J479" s="43">
        <v>0.3</v>
      </c>
      <c r="K479" s="54">
        <f t="shared" si="69"/>
        <v>1</v>
      </c>
      <c r="L479" s="55">
        <f t="shared" si="70"/>
        <v>-0.09</v>
      </c>
      <c r="M479" s="55"/>
      <c r="T479" s="43"/>
    </row>
    <row r="480" spans="1:20">
      <c r="A480"/>
      <c r="B480" s="53" t="s">
        <v>4</v>
      </c>
      <c r="C480" s="55">
        <v>6</v>
      </c>
      <c r="D480" s="43" t="s">
        <v>24</v>
      </c>
      <c r="G480" s="22" t="s">
        <v>22</v>
      </c>
      <c r="H480" s="70">
        <v>-1</v>
      </c>
      <c r="I480" s="43">
        <v>0.25</v>
      </c>
      <c r="J480" s="43">
        <v>0.35</v>
      </c>
      <c r="K480" s="54">
        <f t="shared" si="69"/>
        <v>1</v>
      </c>
      <c r="L480" s="55">
        <f t="shared" si="70"/>
        <v>-8.7499999999999994E-2</v>
      </c>
      <c r="M480" s="55"/>
      <c r="T480" s="43"/>
    </row>
    <row r="481" spans="1:20">
      <c r="A481"/>
      <c r="B481" s="53" t="s">
        <v>4</v>
      </c>
      <c r="C481" s="55">
        <v>7</v>
      </c>
      <c r="D481" s="43" t="s">
        <v>24</v>
      </c>
      <c r="G481" s="22" t="s">
        <v>22</v>
      </c>
      <c r="H481" s="70">
        <v>-1</v>
      </c>
      <c r="I481" s="43">
        <v>0.25</v>
      </c>
      <c r="J481" s="43">
        <v>0.35</v>
      </c>
      <c r="K481" s="54">
        <f t="shared" si="69"/>
        <v>1</v>
      </c>
      <c r="L481" s="55">
        <f t="shared" si="70"/>
        <v>-8.7499999999999994E-2</v>
      </c>
      <c r="M481" s="55"/>
      <c r="T481" s="43"/>
    </row>
    <row r="482" spans="1:20">
      <c r="A482"/>
      <c r="B482" s="53" t="s">
        <v>4</v>
      </c>
      <c r="C482" s="55">
        <v>8</v>
      </c>
      <c r="D482" s="43" t="s">
        <v>24</v>
      </c>
      <c r="G482" s="22" t="s">
        <v>22</v>
      </c>
      <c r="H482" s="70">
        <v>-1</v>
      </c>
      <c r="I482" s="43">
        <v>0.25</v>
      </c>
      <c r="J482" s="43">
        <v>0.35</v>
      </c>
      <c r="K482" s="54">
        <f t="shared" si="69"/>
        <v>1</v>
      </c>
      <c r="L482" s="55">
        <f t="shared" si="70"/>
        <v>-8.7499999999999994E-2</v>
      </c>
      <c r="M482" s="55"/>
      <c r="T482" s="43"/>
    </row>
    <row r="483" spans="1:20">
      <c r="A483"/>
      <c r="B483" s="53" t="s">
        <v>6</v>
      </c>
      <c r="C483" s="53">
        <v>5</v>
      </c>
      <c r="D483" s="43" t="s">
        <v>44</v>
      </c>
      <c r="G483" s="22" t="s">
        <v>22</v>
      </c>
      <c r="H483" s="70">
        <v>-1</v>
      </c>
      <c r="I483" s="43">
        <v>0.35</v>
      </c>
      <c r="J483" s="43">
        <v>0.35</v>
      </c>
      <c r="K483" s="54">
        <f t="shared" si="69"/>
        <v>1</v>
      </c>
      <c r="L483" s="55">
        <f t="shared" si="70"/>
        <v>-0.12249999999999998</v>
      </c>
      <c r="M483" s="55"/>
      <c r="T483" s="43"/>
    </row>
    <row r="484" spans="1:20">
      <c r="A484"/>
      <c r="B484" s="53" t="s">
        <v>7</v>
      </c>
      <c r="C484" s="53">
        <v>6</v>
      </c>
      <c r="D484" s="43" t="s">
        <v>24</v>
      </c>
      <c r="G484" s="22" t="s">
        <v>22</v>
      </c>
      <c r="H484" s="70">
        <v>-1</v>
      </c>
      <c r="I484" s="43">
        <v>0.25</v>
      </c>
      <c r="J484" s="43">
        <v>0.35</v>
      </c>
      <c r="K484" s="54">
        <f t="shared" si="69"/>
        <v>1</v>
      </c>
      <c r="L484" s="55">
        <f t="shared" si="70"/>
        <v>-8.7499999999999994E-2</v>
      </c>
      <c r="M484" s="55"/>
      <c r="T484" s="43"/>
    </row>
    <row r="485" spans="1:20">
      <c r="A485"/>
      <c r="B485" s="53" t="s">
        <v>7</v>
      </c>
      <c r="C485" s="53">
        <v>7</v>
      </c>
      <c r="D485" s="43" t="s">
        <v>24</v>
      </c>
      <c r="G485" s="22" t="s">
        <v>22</v>
      </c>
      <c r="H485" s="70">
        <v>-1</v>
      </c>
      <c r="I485" s="43">
        <v>0.25</v>
      </c>
      <c r="J485" s="43">
        <v>0.35</v>
      </c>
      <c r="K485" s="54">
        <f t="shared" si="69"/>
        <v>1</v>
      </c>
      <c r="L485" s="55">
        <f t="shared" si="70"/>
        <v>-8.7499999999999994E-2</v>
      </c>
      <c r="M485" s="55"/>
      <c r="T485" s="43"/>
    </row>
    <row r="486" spans="1:20">
      <c r="A486"/>
      <c r="B486" s="53" t="s">
        <v>7</v>
      </c>
      <c r="C486" s="53">
        <v>8</v>
      </c>
      <c r="D486" s="43" t="s">
        <v>24</v>
      </c>
      <c r="G486" s="22" t="s">
        <v>22</v>
      </c>
      <c r="H486" s="70">
        <v>-1</v>
      </c>
      <c r="I486" s="43">
        <v>0.25</v>
      </c>
      <c r="J486" s="43">
        <v>0.35</v>
      </c>
      <c r="K486" s="54">
        <f t="shared" si="69"/>
        <v>1</v>
      </c>
      <c r="L486" s="55">
        <f t="shared" si="70"/>
        <v>-8.7499999999999994E-2</v>
      </c>
      <c r="M486" s="55"/>
      <c r="T486" s="43"/>
    </row>
    <row r="487" spans="1:20">
      <c r="A487"/>
      <c r="B487" s="53" t="s">
        <v>10</v>
      </c>
      <c r="C487" s="53">
        <v>5</v>
      </c>
      <c r="D487" s="43" t="s">
        <v>44</v>
      </c>
      <c r="G487" s="22" t="s">
        <v>22</v>
      </c>
      <c r="H487" s="70">
        <v>-1</v>
      </c>
      <c r="I487" s="43">
        <v>0.35</v>
      </c>
      <c r="J487" s="43">
        <v>0.35</v>
      </c>
      <c r="K487" s="54">
        <f t="shared" si="69"/>
        <v>1</v>
      </c>
      <c r="L487" s="55">
        <f t="shared" si="70"/>
        <v>-0.12249999999999998</v>
      </c>
      <c r="M487" s="55"/>
      <c r="T487" s="43"/>
    </row>
    <row r="488" spans="1:20">
      <c r="A488"/>
      <c r="B488" s="53" t="s">
        <v>9</v>
      </c>
      <c r="C488" s="53">
        <v>6</v>
      </c>
      <c r="D488" s="43" t="s">
        <v>24</v>
      </c>
      <c r="G488" s="22" t="s">
        <v>22</v>
      </c>
      <c r="H488" s="70">
        <v>-1</v>
      </c>
      <c r="I488" s="43">
        <v>0.25</v>
      </c>
      <c r="J488" s="43">
        <v>0.35</v>
      </c>
      <c r="K488" s="54">
        <f t="shared" si="69"/>
        <v>1</v>
      </c>
      <c r="L488" s="55">
        <f t="shared" si="70"/>
        <v>-8.7499999999999994E-2</v>
      </c>
      <c r="M488" s="55"/>
      <c r="T488" s="43"/>
    </row>
    <row r="489" spans="1:20">
      <c r="A489"/>
      <c r="B489" s="53" t="s">
        <v>9</v>
      </c>
      <c r="C489" s="53">
        <v>7</v>
      </c>
      <c r="D489" s="43" t="s">
        <v>24</v>
      </c>
      <c r="G489" s="22" t="s">
        <v>22</v>
      </c>
      <c r="H489" s="70">
        <v>-1</v>
      </c>
      <c r="I489" s="43">
        <v>0.25</v>
      </c>
      <c r="J489" s="43">
        <v>0.35</v>
      </c>
      <c r="K489" s="54">
        <f t="shared" si="69"/>
        <v>1</v>
      </c>
      <c r="L489" s="55">
        <f t="shared" si="70"/>
        <v>-8.7499999999999994E-2</v>
      </c>
      <c r="M489" s="55"/>
      <c r="T489" s="43"/>
    </row>
    <row r="490" spans="1:20">
      <c r="A490"/>
      <c r="B490" s="53" t="s">
        <v>9</v>
      </c>
      <c r="C490" s="53">
        <v>8</v>
      </c>
      <c r="D490" s="43" t="s">
        <v>24</v>
      </c>
      <c r="G490" s="22" t="s">
        <v>22</v>
      </c>
      <c r="H490" s="70">
        <v>-1</v>
      </c>
      <c r="I490" s="43">
        <v>0.25</v>
      </c>
      <c r="J490" s="43">
        <v>0.35</v>
      </c>
      <c r="K490" s="54">
        <f t="shared" si="69"/>
        <v>1</v>
      </c>
      <c r="L490" s="55">
        <f t="shared" si="70"/>
        <v>-8.7499999999999994E-2</v>
      </c>
      <c r="M490" s="55"/>
      <c r="T490" s="43"/>
    </row>
    <row r="491" spans="1:20">
      <c r="A491"/>
      <c r="B491" s="53" t="s">
        <v>11</v>
      </c>
      <c r="C491" s="53">
        <v>1</v>
      </c>
      <c r="D491" s="43" t="s">
        <v>43</v>
      </c>
      <c r="G491" s="22" t="s">
        <v>22</v>
      </c>
      <c r="H491" s="70">
        <v>-1</v>
      </c>
      <c r="I491" s="43">
        <v>0.3</v>
      </c>
      <c r="J491" s="43">
        <v>0.3</v>
      </c>
      <c r="K491" s="54">
        <f t="shared" si="69"/>
        <v>1</v>
      </c>
      <c r="L491" s="55">
        <f t="shared" si="70"/>
        <v>-0.09</v>
      </c>
      <c r="M491" s="55"/>
      <c r="T491" s="43"/>
    </row>
    <row r="492" spans="1:20">
      <c r="A492"/>
      <c r="B492" s="53" t="s">
        <v>11</v>
      </c>
      <c r="C492" s="53">
        <v>2</v>
      </c>
      <c r="D492" s="43" t="s">
        <v>42</v>
      </c>
      <c r="G492" s="22" t="s">
        <v>22</v>
      </c>
      <c r="H492" s="70">
        <v>-1</v>
      </c>
      <c r="I492" s="43">
        <v>0.4</v>
      </c>
      <c r="J492" s="43">
        <v>0.4</v>
      </c>
      <c r="K492" s="54">
        <f t="shared" si="69"/>
        <v>1</v>
      </c>
      <c r="L492" s="55">
        <f t="shared" si="70"/>
        <v>-0.16000000000000003</v>
      </c>
      <c r="M492" s="55"/>
      <c r="T492" s="43"/>
    </row>
    <row r="493" spans="1:20">
      <c r="A493"/>
      <c r="B493" s="53" t="s">
        <v>8</v>
      </c>
      <c r="C493" s="53">
        <v>1</v>
      </c>
      <c r="D493" s="43" t="s">
        <v>42</v>
      </c>
      <c r="G493" s="22" t="s">
        <v>22</v>
      </c>
      <c r="H493" s="70">
        <v>-1</v>
      </c>
      <c r="I493" s="43">
        <v>0.4</v>
      </c>
      <c r="J493" s="43">
        <v>0.4</v>
      </c>
      <c r="K493" s="54">
        <f t="shared" si="69"/>
        <v>1</v>
      </c>
      <c r="L493" s="55">
        <f t="shared" si="70"/>
        <v>-0.16000000000000003</v>
      </c>
      <c r="M493" s="55"/>
    </row>
    <row r="494" spans="1:20">
      <c r="A494"/>
      <c r="B494" s="53" t="s">
        <v>11</v>
      </c>
      <c r="C494" s="53">
        <v>3</v>
      </c>
      <c r="D494" s="43" t="s">
        <v>42</v>
      </c>
      <c r="G494" s="22" t="s">
        <v>22</v>
      </c>
      <c r="H494" s="70">
        <v>-1</v>
      </c>
      <c r="I494" s="43">
        <v>0.4</v>
      </c>
      <c r="J494" s="43">
        <v>0.4</v>
      </c>
      <c r="K494" s="54">
        <f t="shared" si="69"/>
        <v>1</v>
      </c>
      <c r="L494" s="55">
        <f t="shared" si="70"/>
        <v>-0.16000000000000003</v>
      </c>
      <c r="M494" s="55"/>
      <c r="T494" s="43"/>
    </row>
    <row r="495" spans="1:20">
      <c r="A495"/>
      <c r="B495" s="53" t="s">
        <v>11</v>
      </c>
      <c r="C495" s="53">
        <v>5</v>
      </c>
      <c r="D495" s="43" t="s">
        <v>43</v>
      </c>
      <c r="G495" s="22" t="s">
        <v>22</v>
      </c>
      <c r="H495" s="70">
        <v>-1</v>
      </c>
      <c r="I495" s="43">
        <v>0.3</v>
      </c>
      <c r="J495" s="43">
        <v>0.3</v>
      </c>
      <c r="K495" s="54">
        <f t="shared" si="69"/>
        <v>1</v>
      </c>
      <c r="L495" s="55">
        <f t="shared" si="70"/>
        <v>-0.09</v>
      </c>
      <c r="M495" s="55"/>
      <c r="T495" s="43"/>
    </row>
    <row r="496" spans="1:20">
      <c r="A496"/>
      <c r="B496" s="53" t="s">
        <v>11</v>
      </c>
      <c r="C496" s="53">
        <v>6</v>
      </c>
      <c r="D496" s="43" t="s">
        <v>24</v>
      </c>
      <c r="G496" s="22" t="s">
        <v>22</v>
      </c>
      <c r="H496" s="70">
        <v>-1</v>
      </c>
      <c r="I496" s="43">
        <v>0.25</v>
      </c>
      <c r="J496" s="43">
        <v>0.35</v>
      </c>
      <c r="K496" s="54">
        <f t="shared" si="69"/>
        <v>1</v>
      </c>
      <c r="L496" s="55">
        <f t="shared" si="70"/>
        <v>-8.7499999999999994E-2</v>
      </c>
      <c r="M496" s="55"/>
      <c r="T496" s="43"/>
    </row>
    <row r="497" spans="1:20">
      <c r="A497"/>
      <c r="B497" s="53" t="s">
        <v>11</v>
      </c>
      <c r="C497" s="53">
        <v>7</v>
      </c>
      <c r="D497" s="43" t="s">
        <v>24</v>
      </c>
      <c r="G497" s="22" t="s">
        <v>22</v>
      </c>
      <c r="H497" s="70">
        <v>-1</v>
      </c>
      <c r="I497" s="43">
        <v>0.25</v>
      </c>
      <c r="J497" s="43">
        <v>0.35</v>
      </c>
      <c r="K497" s="54">
        <f t="shared" si="69"/>
        <v>1</v>
      </c>
      <c r="L497" s="55">
        <f t="shared" si="70"/>
        <v>-8.7499999999999994E-2</v>
      </c>
      <c r="M497" s="55"/>
      <c r="T497" s="43"/>
    </row>
    <row r="498" spans="1:20">
      <c r="A498"/>
      <c r="B498" s="53" t="s">
        <v>11</v>
      </c>
      <c r="C498" s="53">
        <v>8</v>
      </c>
      <c r="D498" s="43" t="s">
        <v>24</v>
      </c>
      <c r="G498" s="22" t="s">
        <v>22</v>
      </c>
      <c r="H498" s="70">
        <v>-1</v>
      </c>
      <c r="I498" s="43">
        <v>0.25</v>
      </c>
      <c r="J498" s="43">
        <v>0.35</v>
      </c>
      <c r="K498" s="54">
        <f t="shared" si="69"/>
        <v>1</v>
      </c>
      <c r="L498" s="55">
        <f t="shared" si="70"/>
        <v>-8.7499999999999994E-2</v>
      </c>
      <c r="M498" s="55"/>
      <c r="T498" s="43"/>
    </row>
    <row r="499" spans="1:20">
      <c r="A499" s="22"/>
      <c r="B499" s="53" t="s">
        <v>148</v>
      </c>
      <c r="D499" s="53"/>
      <c r="E499" s="53"/>
      <c r="F499" s="53"/>
      <c r="G499" s="22"/>
      <c r="H499" s="55">
        <v>-3</v>
      </c>
      <c r="I499" s="55">
        <v>0.5</v>
      </c>
      <c r="J499" s="55">
        <v>0.5</v>
      </c>
      <c r="K499" s="55">
        <v>0.5</v>
      </c>
      <c r="L499" s="55">
        <f>K499*J499*I499*H499</f>
        <v>-0.375</v>
      </c>
      <c r="M499" s="55"/>
    </row>
    <row r="500" spans="1:20">
      <c r="A500" s="137" t="s">
        <v>41</v>
      </c>
      <c r="B500" s="137"/>
      <c r="C500" s="137"/>
      <c r="D500" s="137"/>
      <c r="E500" s="137"/>
      <c r="F500" s="137"/>
      <c r="G500" s="137"/>
      <c r="H500" s="137"/>
      <c r="I500" s="137"/>
      <c r="J500" s="137"/>
      <c r="K500" s="137"/>
      <c r="L500" s="137"/>
      <c r="M500" s="99">
        <f>SUM(L321:L328,L331:L499)</f>
        <v>90.143371999999843</v>
      </c>
    </row>
    <row r="501" spans="1:20" s="105" customFormat="1" ht="33.6" customHeight="1">
      <c r="A501" s="106">
        <v>19</v>
      </c>
      <c r="B501" s="135" t="s">
        <v>150</v>
      </c>
      <c r="C501" s="135"/>
      <c r="D501" s="135"/>
      <c r="E501" s="135"/>
      <c r="F501" s="135"/>
      <c r="G501" s="135"/>
      <c r="H501" s="135"/>
    </row>
    <row r="502" spans="1:20" s="70" customFormat="1">
      <c r="A502" s="139" t="s">
        <v>120</v>
      </c>
      <c r="B502" s="139"/>
      <c r="C502" s="139"/>
      <c r="D502" s="139"/>
      <c r="E502" s="139"/>
      <c r="F502" s="139"/>
    </row>
    <row r="503" spans="1:20" s="49" customFormat="1">
      <c r="B503" s="107" t="s">
        <v>2</v>
      </c>
      <c r="C503" s="107" t="s">
        <v>3</v>
      </c>
    </row>
    <row r="504" spans="1:20" s="49" customFormat="1">
      <c r="B504" s="111" t="s">
        <v>121</v>
      </c>
      <c r="C504" s="112" t="s">
        <v>122</v>
      </c>
      <c r="I504" s="49">
        <f>4.78+2.65+4.6</f>
        <v>12.03</v>
      </c>
      <c r="J504" s="136">
        <f>3.82+0.4+0.82+1.8+0.15+3.82</f>
        <v>10.81</v>
      </c>
      <c r="K504" s="136"/>
      <c r="L504" s="49">
        <f>I504*J504</f>
        <v>130.04429999999999</v>
      </c>
      <c r="M504" s="49">
        <f>I504*J504*0.13</f>
        <v>16.905759</v>
      </c>
    </row>
    <row r="505" spans="1:20" s="70" customFormat="1">
      <c r="A505" s="139" t="s">
        <v>123</v>
      </c>
      <c r="B505" s="139"/>
      <c r="C505" s="139"/>
      <c r="D505" s="139"/>
      <c r="E505" s="139"/>
      <c r="F505" s="139"/>
    </row>
    <row r="506" spans="1:20" s="49" customFormat="1">
      <c r="B506" s="111" t="s">
        <v>121</v>
      </c>
      <c r="C506" s="112" t="s">
        <v>54</v>
      </c>
      <c r="I506" s="49">
        <f>2.32+7.25+2.48</f>
        <v>12.05</v>
      </c>
      <c r="J506" s="136">
        <f>3.82+0.4+0.82+1.8+0.15+3.82</f>
        <v>10.81</v>
      </c>
      <c r="K506" s="136"/>
      <c r="L506" s="49">
        <f>I506*J506</f>
        <v>130.26050000000001</v>
      </c>
      <c r="M506" s="49">
        <f>I506*J506*0.2</f>
        <v>26.052100000000003</v>
      </c>
      <c r="N506" s="134">
        <f>I506*J506*0.07</f>
        <v>9.1182350000000021</v>
      </c>
    </row>
    <row r="507" spans="1:20" s="49" customFormat="1">
      <c r="A507" s="108"/>
      <c r="B507" s="66"/>
      <c r="C507" s="66"/>
      <c r="D507" s="67"/>
      <c r="E507" s="67"/>
      <c r="F507" s="67"/>
      <c r="G507" s="67"/>
    </row>
    <row r="508" spans="1:20" s="49" customFormat="1">
      <c r="A508" s="108"/>
      <c r="B508" s="66"/>
      <c r="C508" s="66"/>
      <c r="D508" s="67"/>
      <c r="E508" s="67"/>
      <c r="F508" s="67"/>
      <c r="G508" s="67"/>
    </row>
  </sheetData>
  <mergeCells count="54">
    <mergeCell ref="A216:M216"/>
    <mergeCell ref="A218:L218"/>
    <mergeCell ref="B121:M121"/>
    <mergeCell ref="A190:M190"/>
    <mergeCell ref="A215:L215"/>
    <mergeCell ref="A169:L169"/>
    <mergeCell ref="A170:M170"/>
    <mergeCell ref="A189:L189"/>
    <mergeCell ref="A120:L120"/>
    <mergeCell ref="B11:M11"/>
    <mergeCell ref="A22:L22"/>
    <mergeCell ref="B23:M23"/>
    <mergeCell ref="A24:M24"/>
    <mergeCell ref="A34:M34"/>
    <mergeCell ref="A56:M56"/>
    <mergeCell ref="A33:L33"/>
    <mergeCell ref="A55:L55"/>
    <mergeCell ref="A10:M10"/>
    <mergeCell ref="B76:M76"/>
    <mergeCell ref="A100:L100"/>
    <mergeCell ref="A75:L75"/>
    <mergeCell ref="B101:M101"/>
    <mergeCell ref="A505:F505"/>
    <mergeCell ref="A4:B4"/>
    <mergeCell ref="L4:M4"/>
    <mergeCell ref="C4:K4"/>
    <mergeCell ref="E5:J5"/>
    <mergeCell ref="B9:F9"/>
    <mergeCell ref="A6:A7"/>
    <mergeCell ref="B6:F7"/>
    <mergeCell ref="H6:H7"/>
    <mergeCell ref="I6:I7"/>
    <mergeCell ref="J6:J7"/>
    <mergeCell ref="K6:K7"/>
    <mergeCell ref="L6:L7"/>
    <mergeCell ref="M6:M7"/>
    <mergeCell ref="A8:M8"/>
    <mergeCell ref="G6:G7"/>
    <mergeCell ref="B501:H501"/>
    <mergeCell ref="J504:K504"/>
    <mergeCell ref="J506:K506"/>
    <mergeCell ref="A500:L500"/>
    <mergeCell ref="A122:M122"/>
    <mergeCell ref="A147:L147"/>
    <mergeCell ref="A148:M148"/>
    <mergeCell ref="B318:M318"/>
    <mergeCell ref="A246:F246"/>
    <mergeCell ref="A279:F279"/>
    <mergeCell ref="A219:M219"/>
    <mergeCell ref="A244:L244"/>
    <mergeCell ref="A245:M245"/>
    <mergeCell ref="A278:L278"/>
    <mergeCell ref="A317:L317"/>
    <mergeCell ref="A502:F502"/>
  </mergeCells>
  <phoneticPr fontId="6" type="noConversion"/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160"/>
  <sheetViews>
    <sheetView zoomScale="70" zoomScaleNormal="70" workbookViewId="0">
      <pane ySplit="2" topLeftCell="A787" activePane="bottomLeft" state="frozen"/>
      <selection pane="bottomLeft" activeCell="A1160" sqref="A796:XFD1160"/>
    </sheetView>
  </sheetViews>
  <sheetFormatPr defaultColWidth="11.19921875" defaultRowHeight="13.8"/>
  <cols>
    <col min="1" max="6" width="9.5" customWidth="1"/>
    <col min="7" max="10" width="9.5" style="9" customWidth="1"/>
    <col min="11" max="19" width="9.5" style="7" customWidth="1"/>
    <col min="20" max="23" width="9.5" customWidth="1"/>
  </cols>
  <sheetData>
    <row r="1" spans="1:19" ht="34.5" customHeight="1" thickTop="1">
      <c r="A1" s="160" t="s">
        <v>26</v>
      </c>
      <c r="B1" s="160"/>
      <c r="C1" s="160"/>
      <c r="D1" s="161"/>
      <c r="E1" s="161"/>
      <c r="F1" s="161"/>
      <c r="G1" s="163" t="s">
        <v>27</v>
      </c>
      <c r="H1" s="163" t="s">
        <v>28</v>
      </c>
      <c r="I1" s="163" t="s">
        <v>29</v>
      </c>
      <c r="J1" s="165" t="s">
        <v>30</v>
      </c>
      <c r="K1" s="157" t="s">
        <v>31</v>
      </c>
      <c r="L1" s="158"/>
      <c r="M1" s="158"/>
      <c r="N1" s="158"/>
      <c r="O1" s="158"/>
      <c r="P1" s="158"/>
      <c r="Q1" s="158"/>
      <c r="R1" s="158"/>
      <c r="S1" s="159"/>
    </row>
    <row r="2" spans="1:19" ht="34.5" customHeight="1">
      <c r="A2" s="162"/>
      <c r="B2" s="162"/>
      <c r="C2" s="162"/>
      <c r="D2" s="162"/>
      <c r="E2" s="162"/>
      <c r="F2" s="162"/>
      <c r="G2" s="164"/>
      <c r="H2" s="164"/>
      <c r="I2" s="164"/>
      <c r="J2" s="166"/>
      <c r="K2" s="36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 t="s">
        <v>39</v>
      </c>
      <c r="S2" s="10" t="s">
        <v>40</v>
      </c>
    </row>
    <row r="3" spans="1:19" ht="18" customHeight="1">
      <c r="A3" s="11">
        <v>21</v>
      </c>
      <c r="B3" s="5" t="s">
        <v>65</v>
      </c>
      <c r="C3" s="5"/>
      <c r="D3" s="5"/>
      <c r="E3" s="5"/>
      <c r="F3" s="5"/>
      <c r="G3" s="8"/>
      <c r="H3" s="8"/>
      <c r="I3" s="8"/>
      <c r="J3" s="8"/>
      <c r="K3" s="6"/>
      <c r="L3" s="6"/>
      <c r="M3" s="6"/>
      <c r="N3" s="6"/>
      <c r="O3" s="6"/>
      <c r="P3" s="6"/>
      <c r="Q3" s="6"/>
      <c r="R3" s="6"/>
      <c r="S3" s="6"/>
    </row>
    <row r="4" spans="1:19">
      <c r="A4" s="154" t="s">
        <v>5</v>
      </c>
      <c r="B4" s="154"/>
      <c r="C4" s="154"/>
      <c r="D4" s="3"/>
      <c r="E4" s="3"/>
      <c r="F4" s="3"/>
    </row>
    <row r="5" spans="1:19">
      <c r="B5" s="2" t="s">
        <v>2</v>
      </c>
      <c r="C5" s="2" t="s">
        <v>3</v>
      </c>
      <c r="F5" s="12"/>
    </row>
    <row r="6" spans="1:19">
      <c r="A6" s="50" t="s">
        <v>106</v>
      </c>
      <c r="B6" s="4" t="s">
        <v>4</v>
      </c>
      <c r="C6" s="4">
        <v>1</v>
      </c>
      <c r="D6">
        <v>1</v>
      </c>
      <c r="E6">
        <v>1</v>
      </c>
      <c r="F6" s="21">
        <v>0.25</v>
      </c>
      <c r="K6" s="7" t="str">
        <f>IF(I6=6,G6*H6*J6,"")</f>
        <v/>
      </c>
      <c r="L6" s="7" t="str">
        <f>IF(J6=8,G6*H6*J6,"")</f>
        <v/>
      </c>
      <c r="M6" s="7" t="str">
        <f>IF(I6=10,G6*H6*G6,"")</f>
        <v/>
      </c>
      <c r="N6" s="7" t="str">
        <f>IF(I6=12,G6*H6*J6,"")</f>
        <v/>
      </c>
      <c r="O6" s="7" t="str">
        <f>IF(I6=14,G6*H6*J6,"")</f>
        <v/>
      </c>
      <c r="P6" s="7" t="str">
        <f>IF(I6=16,G6*H6*J6,"")</f>
        <v/>
      </c>
      <c r="Q6" s="7" t="str">
        <f>IF(I6=20,G6*H6*J6,"")</f>
        <v/>
      </c>
      <c r="R6" s="7" t="str">
        <f>IF(I6=25,G6*H6*J6,"")</f>
        <v/>
      </c>
      <c r="S6" s="7" t="str">
        <f>IF(I6=32,G6*H6*J6,"")</f>
        <v/>
      </c>
    </row>
    <row r="7" spans="1:19">
      <c r="A7" t="s">
        <v>66</v>
      </c>
      <c r="B7" s="37"/>
      <c r="C7" s="37"/>
      <c r="F7" s="38"/>
      <c r="G7" s="9">
        <v>1</v>
      </c>
      <c r="H7" s="9">
        <v>6</v>
      </c>
      <c r="I7" s="9">
        <v>12</v>
      </c>
      <c r="J7" s="9">
        <f>(E6-0.05)+34*I7/1000</f>
        <v>1.3579999999999999</v>
      </c>
      <c r="K7" s="7" t="str">
        <f>IF(I7=6,G7*H7*J7,"")</f>
        <v/>
      </c>
      <c r="L7" s="7" t="str">
        <f>IF(J7=8,G7*H7*J7,"")</f>
        <v/>
      </c>
      <c r="M7" s="7" t="str">
        <f>IF(I7=10,G7*H7*G7,"")</f>
        <v/>
      </c>
      <c r="N7" s="7">
        <f>IF(I7=12,G7*H7*J7,"")</f>
        <v>8.1479999999999997</v>
      </c>
      <c r="O7" s="7" t="str">
        <f>IF(I7=14,G7*H7*J7,"")</f>
        <v/>
      </c>
      <c r="P7" s="7" t="str">
        <f>IF(I7=16,G7*H7*J7,"")</f>
        <v/>
      </c>
      <c r="Q7" s="7" t="str">
        <f>IF(I7=20,G7*H7*J7,"")</f>
        <v/>
      </c>
      <c r="R7" s="7" t="str">
        <f>IF(I7=25,G7*H7*J7,"")</f>
        <v/>
      </c>
      <c r="S7" s="7" t="str">
        <f>IF(I7=32,G7*H7*J7,"")</f>
        <v/>
      </c>
    </row>
    <row r="8" spans="1:19">
      <c r="A8" t="s">
        <v>67</v>
      </c>
      <c r="B8" s="37"/>
      <c r="C8" s="37"/>
      <c r="F8" s="38"/>
      <c r="G8" s="9">
        <v>1</v>
      </c>
      <c r="H8" s="9">
        <v>6</v>
      </c>
      <c r="I8" s="9">
        <v>12</v>
      </c>
      <c r="J8" s="9">
        <f>(D6-0.05)+34*I8/1000</f>
        <v>1.3579999999999999</v>
      </c>
      <c r="K8" s="7" t="str">
        <f t="shared" ref="K8:K59" si="0">IF(I8=6,G8*H8*J8,"")</f>
        <v/>
      </c>
      <c r="L8" s="7" t="str">
        <f t="shared" ref="L8:L9" si="1">IF(J8=8,G8*H8*J8,"")</f>
        <v/>
      </c>
      <c r="M8" s="7" t="str">
        <f>IF(I8=10,G8*H8*J8,"")</f>
        <v/>
      </c>
      <c r="N8" s="7">
        <f>IF(I8=12,G8*H8*J8,"")</f>
        <v>8.1479999999999997</v>
      </c>
      <c r="O8" s="7" t="str">
        <f>IF(I8=14,G8*H8*J8,"")</f>
        <v/>
      </c>
      <c r="P8" s="7" t="str">
        <f>IF(I8=16,G8*H8*J8,"")</f>
        <v/>
      </c>
      <c r="Q8" s="7" t="str">
        <f>IF(I8=20,G8*H8*J8,"")</f>
        <v/>
      </c>
      <c r="R8" s="7" t="str">
        <f>IF(I8=25,G8*H8*J8,"")</f>
        <v/>
      </c>
      <c r="S8" s="7" t="str">
        <f>IF(I8=32,G8*H8*J8,"")</f>
        <v/>
      </c>
    </row>
    <row r="9" spans="1:19">
      <c r="A9" s="50" t="s">
        <v>105</v>
      </c>
      <c r="B9" s="37" t="s">
        <v>4</v>
      </c>
      <c r="C9" s="39">
        <v>2</v>
      </c>
      <c r="D9">
        <v>1.5</v>
      </c>
      <c r="E9">
        <v>1.5</v>
      </c>
      <c r="F9" s="38">
        <v>0.4</v>
      </c>
      <c r="K9" s="7" t="str">
        <f t="shared" si="0"/>
        <v/>
      </c>
      <c r="L9" s="7" t="str">
        <f t="shared" si="1"/>
        <v/>
      </c>
      <c r="M9" s="7" t="str">
        <f t="shared" ref="M9:M60" si="2">IF(I9=10,G9*H9*J9,"")</f>
        <v/>
      </c>
      <c r="N9" s="7" t="str">
        <f t="shared" ref="N9:N59" si="3">IF(I9=12,G9*H9*J9,"")</f>
        <v/>
      </c>
      <c r="O9" s="7" t="str">
        <f t="shared" ref="O9:O59" si="4">IF(I9=14,G9*H9*J9,"")</f>
        <v/>
      </c>
      <c r="P9" s="7" t="str">
        <f t="shared" ref="P9:P60" si="5">IF(I9=16,G9*H9*J9,"")</f>
        <v/>
      </c>
      <c r="Q9" s="7" t="str">
        <f t="shared" ref="Q9:Q59" si="6">IF(I9=20,G9*H9*J9,"")</f>
        <v/>
      </c>
      <c r="R9" s="7" t="str">
        <f t="shared" ref="R9:R59" si="7">IF(I9=25,G9*H9*J9,"")</f>
        <v/>
      </c>
      <c r="S9" s="7" t="str">
        <f t="shared" ref="S9:S60" si="8">IF(I9=32,G9*H9*J9,"")</f>
        <v/>
      </c>
    </row>
    <row r="10" spans="1:19">
      <c r="A10" t="s">
        <v>66</v>
      </c>
      <c r="B10" s="37"/>
      <c r="C10" s="37"/>
      <c r="F10" s="38"/>
      <c r="G10" s="9">
        <v>1</v>
      </c>
      <c r="H10" s="9">
        <v>11</v>
      </c>
      <c r="I10" s="9">
        <v>12</v>
      </c>
      <c r="J10" s="9">
        <f>(E9-0.05)+34*I10/1000</f>
        <v>1.8579999999999999</v>
      </c>
      <c r="K10" s="7" t="str">
        <f t="shared" si="0"/>
        <v/>
      </c>
      <c r="L10" s="7" t="str">
        <f>IF(I10=8,G10*H10*J10,"")</f>
        <v/>
      </c>
      <c r="M10" s="7" t="str">
        <f t="shared" si="2"/>
        <v/>
      </c>
      <c r="N10" s="7">
        <f>IF(I10=12,G10*H10*J10,"")</f>
        <v>20.437999999999999</v>
      </c>
      <c r="O10" s="7" t="str">
        <f>IF(I10=14,G10*H10*J10,"")</f>
        <v/>
      </c>
      <c r="P10" s="7" t="str">
        <f>IF(I10=16,G10*H10*J10,"")</f>
        <v/>
      </c>
      <c r="Q10" s="7" t="str">
        <f>IF(I10=20,G10*H10*J10,"")</f>
        <v/>
      </c>
      <c r="R10" s="7" t="str">
        <f>IF(I10=25,G10*H10*J10,"")</f>
        <v/>
      </c>
      <c r="S10" s="7" t="str">
        <f>IF(I10=32,G10*H10*J10,"")</f>
        <v/>
      </c>
    </row>
    <row r="11" spans="1:19">
      <c r="A11" t="s">
        <v>67</v>
      </c>
      <c r="B11" s="37"/>
      <c r="C11" s="37"/>
      <c r="F11" s="38"/>
      <c r="G11" s="9">
        <v>1</v>
      </c>
      <c r="H11" s="9">
        <v>11</v>
      </c>
      <c r="I11" s="9">
        <v>12</v>
      </c>
      <c r="J11" s="9">
        <f>(D9-0.05)+34*I11/1000</f>
        <v>1.8579999999999999</v>
      </c>
      <c r="K11" s="7" t="str">
        <f t="shared" si="0"/>
        <v/>
      </c>
      <c r="L11" s="7" t="str">
        <f t="shared" ref="L11:L62" si="9">IF(I11=8,G11*H11*J11,"")</f>
        <v/>
      </c>
      <c r="M11" s="7" t="str">
        <f t="shared" si="2"/>
        <v/>
      </c>
      <c r="N11" s="7">
        <f>IF(I11=12,G11*H11*J11,"")</f>
        <v>20.437999999999999</v>
      </c>
      <c r="O11" s="7" t="str">
        <f>IF(I11=14,G11*H11*J11,"")</f>
        <v/>
      </c>
      <c r="P11" s="7" t="str">
        <f>IF(I11=16,G11*H11*J11,"")</f>
        <v/>
      </c>
      <c r="Q11" s="7" t="str">
        <f>IF(I11=20,G11*H11*J11,"")</f>
        <v/>
      </c>
      <c r="R11" s="7" t="str">
        <f>IF(I11=25,G11*H11*J11,"")</f>
        <v/>
      </c>
      <c r="S11" s="7" t="str">
        <f>IF(I11=32,G11*H11*J11,"")</f>
        <v/>
      </c>
    </row>
    <row r="12" spans="1:19">
      <c r="A12" s="50" t="s">
        <v>107</v>
      </c>
      <c r="B12" s="37" t="s">
        <v>4</v>
      </c>
      <c r="C12" s="37">
        <v>4</v>
      </c>
      <c r="D12">
        <v>1.5</v>
      </c>
      <c r="E12" s="24">
        <v>1.5</v>
      </c>
      <c r="F12" s="12">
        <v>0.4</v>
      </c>
      <c r="K12" s="7" t="str">
        <f t="shared" si="0"/>
        <v/>
      </c>
      <c r="L12" s="7" t="str">
        <f t="shared" si="9"/>
        <v/>
      </c>
      <c r="M12" s="7" t="str">
        <f t="shared" si="2"/>
        <v/>
      </c>
      <c r="N12" s="7" t="str">
        <f t="shared" si="3"/>
        <v/>
      </c>
      <c r="O12" s="7" t="str">
        <f t="shared" si="4"/>
        <v/>
      </c>
      <c r="P12" s="7" t="str">
        <f t="shared" si="5"/>
        <v/>
      </c>
      <c r="Q12" s="7" t="str">
        <f t="shared" si="6"/>
        <v/>
      </c>
      <c r="R12" s="7" t="str">
        <f t="shared" si="7"/>
        <v/>
      </c>
      <c r="S12" s="7" t="str">
        <f t="shared" si="8"/>
        <v/>
      </c>
    </row>
    <row r="13" spans="1:19">
      <c r="A13" t="s">
        <v>66</v>
      </c>
      <c r="B13" s="37"/>
      <c r="C13" s="37"/>
      <c r="F13" s="38"/>
      <c r="G13" s="9">
        <v>1</v>
      </c>
      <c r="H13" s="9">
        <v>11</v>
      </c>
      <c r="I13" s="9">
        <v>12</v>
      </c>
      <c r="J13" s="9">
        <f>(E12-0.05)+34*I13/1000</f>
        <v>1.8579999999999999</v>
      </c>
      <c r="K13" s="7" t="str">
        <f t="shared" si="0"/>
        <v/>
      </c>
      <c r="L13" s="7" t="str">
        <f t="shared" si="9"/>
        <v/>
      </c>
      <c r="M13" s="7" t="str">
        <f t="shared" si="2"/>
        <v/>
      </c>
      <c r="N13" s="7">
        <f t="shared" si="3"/>
        <v>20.437999999999999</v>
      </c>
      <c r="O13" s="7" t="str">
        <f t="shared" si="4"/>
        <v/>
      </c>
      <c r="P13" s="7" t="str">
        <f t="shared" si="5"/>
        <v/>
      </c>
      <c r="Q13" s="7" t="str">
        <f t="shared" si="6"/>
        <v/>
      </c>
      <c r="R13" s="7" t="str">
        <f t="shared" si="7"/>
        <v/>
      </c>
      <c r="S13" s="7" t="str">
        <f t="shared" si="8"/>
        <v/>
      </c>
    </row>
    <row r="14" spans="1:19">
      <c r="A14" t="s">
        <v>67</v>
      </c>
      <c r="B14" s="37"/>
      <c r="C14" s="37"/>
      <c r="F14" s="38"/>
      <c r="G14" s="9">
        <v>1</v>
      </c>
      <c r="H14" s="9">
        <v>11</v>
      </c>
      <c r="I14" s="9">
        <v>12</v>
      </c>
      <c r="J14" s="9">
        <f>(D12-0.05)+34*I14/1000</f>
        <v>1.8579999999999999</v>
      </c>
      <c r="K14" s="7" t="str">
        <f t="shared" si="0"/>
        <v/>
      </c>
      <c r="L14" s="7" t="str">
        <f t="shared" si="9"/>
        <v/>
      </c>
      <c r="M14" s="7" t="str">
        <f t="shared" si="2"/>
        <v/>
      </c>
      <c r="N14" s="7">
        <f t="shared" si="3"/>
        <v>20.437999999999999</v>
      </c>
      <c r="O14" s="7" t="str">
        <f t="shared" si="4"/>
        <v/>
      </c>
      <c r="P14" s="7" t="str">
        <f t="shared" si="5"/>
        <v/>
      </c>
      <c r="Q14" s="7" t="str">
        <f t="shared" si="6"/>
        <v/>
      </c>
      <c r="R14" s="7" t="str">
        <f t="shared" si="7"/>
        <v/>
      </c>
      <c r="S14" s="7" t="str">
        <f t="shared" si="8"/>
        <v/>
      </c>
    </row>
    <row r="15" spans="1:19">
      <c r="A15" s="50" t="s">
        <v>21</v>
      </c>
      <c r="B15" s="37" t="s">
        <v>4</v>
      </c>
      <c r="C15" s="39">
        <v>5</v>
      </c>
      <c r="D15">
        <v>1.1000000000000001</v>
      </c>
      <c r="E15">
        <v>1.1000000000000001</v>
      </c>
      <c r="F15" s="39">
        <v>0.25</v>
      </c>
      <c r="K15" s="7" t="str">
        <f t="shared" si="0"/>
        <v/>
      </c>
      <c r="L15" s="7" t="str">
        <f t="shared" si="9"/>
        <v/>
      </c>
      <c r="M15" s="7" t="str">
        <f t="shared" si="2"/>
        <v/>
      </c>
      <c r="N15" s="7" t="str">
        <f t="shared" si="3"/>
        <v/>
      </c>
      <c r="O15" s="7" t="str">
        <f t="shared" si="4"/>
        <v/>
      </c>
      <c r="P15" s="7" t="str">
        <f t="shared" si="5"/>
        <v/>
      </c>
      <c r="Q15" s="7" t="str">
        <f t="shared" si="6"/>
        <v/>
      </c>
      <c r="R15" s="7" t="str">
        <f t="shared" si="7"/>
        <v/>
      </c>
      <c r="S15" s="7" t="str">
        <f t="shared" si="8"/>
        <v/>
      </c>
    </row>
    <row r="16" spans="1:19">
      <c r="A16" t="s">
        <v>66</v>
      </c>
      <c r="B16" s="37"/>
      <c r="C16" s="37"/>
      <c r="F16" s="38"/>
      <c r="G16" s="9">
        <v>1</v>
      </c>
      <c r="H16" s="9">
        <v>7</v>
      </c>
      <c r="I16" s="9">
        <v>12</v>
      </c>
      <c r="J16" s="9">
        <f>(E15-0.05)+34*I16/1000</f>
        <v>1.458</v>
      </c>
      <c r="K16" s="7" t="str">
        <f t="shared" si="0"/>
        <v/>
      </c>
      <c r="L16" s="7" t="str">
        <f t="shared" si="9"/>
        <v/>
      </c>
      <c r="M16" s="7" t="str">
        <f t="shared" si="2"/>
        <v/>
      </c>
      <c r="N16" s="7">
        <f t="shared" si="3"/>
        <v>10.206</v>
      </c>
      <c r="O16" s="7" t="str">
        <f t="shared" si="4"/>
        <v/>
      </c>
      <c r="P16" s="7" t="str">
        <f t="shared" si="5"/>
        <v/>
      </c>
      <c r="Q16" s="7" t="str">
        <f t="shared" si="6"/>
        <v/>
      </c>
      <c r="R16" s="7" t="str">
        <f t="shared" si="7"/>
        <v/>
      </c>
      <c r="S16" s="7" t="str">
        <f t="shared" si="8"/>
        <v/>
      </c>
    </row>
    <row r="17" spans="1:19">
      <c r="A17" t="s">
        <v>67</v>
      </c>
      <c r="B17" s="37"/>
      <c r="C17" s="37"/>
      <c r="F17" s="38"/>
      <c r="G17" s="9">
        <v>1</v>
      </c>
      <c r="H17" s="9">
        <v>7</v>
      </c>
      <c r="I17" s="9">
        <v>12</v>
      </c>
      <c r="J17" s="9">
        <f>(D15-0.05)+34*I17/1000</f>
        <v>1.458</v>
      </c>
      <c r="K17" s="7" t="str">
        <f t="shared" si="0"/>
        <v/>
      </c>
      <c r="L17" s="7" t="str">
        <f t="shared" si="9"/>
        <v/>
      </c>
      <c r="M17" s="7" t="str">
        <f t="shared" si="2"/>
        <v/>
      </c>
      <c r="N17" s="7">
        <f t="shared" si="3"/>
        <v>10.206</v>
      </c>
      <c r="O17" s="7" t="str">
        <f t="shared" si="4"/>
        <v/>
      </c>
      <c r="P17" s="7" t="str">
        <f t="shared" si="5"/>
        <v/>
      </c>
      <c r="Q17" s="7" t="str">
        <f t="shared" si="6"/>
        <v/>
      </c>
      <c r="R17" s="7" t="str">
        <f t="shared" si="7"/>
        <v/>
      </c>
      <c r="S17" s="7" t="str">
        <f t="shared" si="8"/>
        <v/>
      </c>
    </row>
    <row r="18" spans="1:19">
      <c r="A18" t="s">
        <v>109</v>
      </c>
      <c r="B18" s="37" t="s">
        <v>4</v>
      </c>
      <c r="C18" s="39">
        <v>6</v>
      </c>
      <c r="D18">
        <v>1.2</v>
      </c>
      <c r="E18">
        <v>1.2</v>
      </c>
      <c r="F18" s="39">
        <v>0.3</v>
      </c>
      <c r="K18" s="7" t="str">
        <f t="shared" si="0"/>
        <v/>
      </c>
      <c r="L18" s="7" t="str">
        <f t="shared" si="9"/>
        <v/>
      </c>
      <c r="M18" s="7" t="str">
        <f t="shared" si="2"/>
        <v/>
      </c>
      <c r="N18" s="7" t="str">
        <f t="shared" si="3"/>
        <v/>
      </c>
      <c r="O18" s="7" t="str">
        <f t="shared" si="4"/>
        <v/>
      </c>
      <c r="P18" s="7" t="str">
        <f t="shared" si="5"/>
        <v/>
      </c>
      <c r="Q18" s="7" t="str">
        <f t="shared" si="6"/>
        <v/>
      </c>
      <c r="R18" s="7" t="str">
        <f t="shared" si="7"/>
        <v/>
      </c>
      <c r="S18" s="7" t="str">
        <f t="shared" si="8"/>
        <v/>
      </c>
    </row>
    <row r="19" spans="1:19">
      <c r="A19" t="s">
        <v>66</v>
      </c>
      <c r="B19" s="37"/>
      <c r="C19" s="37"/>
      <c r="F19" s="38"/>
      <c r="G19" s="9">
        <v>1</v>
      </c>
      <c r="H19" s="9">
        <v>8</v>
      </c>
      <c r="I19" s="9">
        <v>12</v>
      </c>
      <c r="J19" s="9">
        <f>(E18-0.05)+34*I19/1000</f>
        <v>1.5579999999999998</v>
      </c>
      <c r="K19" s="7" t="str">
        <f t="shared" si="0"/>
        <v/>
      </c>
      <c r="L19" s="7" t="str">
        <f t="shared" si="9"/>
        <v/>
      </c>
      <c r="M19" s="7" t="str">
        <f t="shared" si="2"/>
        <v/>
      </c>
      <c r="N19" s="7">
        <f t="shared" si="3"/>
        <v>12.463999999999999</v>
      </c>
      <c r="O19" s="7" t="str">
        <f t="shared" si="4"/>
        <v/>
      </c>
      <c r="P19" s="7" t="str">
        <f t="shared" si="5"/>
        <v/>
      </c>
      <c r="Q19" s="7" t="str">
        <f t="shared" si="6"/>
        <v/>
      </c>
      <c r="R19" s="7" t="str">
        <f t="shared" si="7"/>
        <v/>
      </c>
      <c r="S19" s="7" t="str">
        <f t="shared" si="8"/>
        <v/>
      </c>
    </row>
    <row r="20" spans="1:19">
      <c r="A20" t="s">
        <v>67</v>
      </c>
      <c r="B20" s="37"/>
      <c r="C20" s="37"/>
      <c r="F20" s="38"/>
      <c r="G20" s="9">
        <v>1</v>
      </c>
      <c r="H20" s="9">
        <v>8</v>
      </c>
      <c r="I20" s="9">
        <v>12</v>
      </c>
      <c r="J20" s="9">
        <f>(D18-0.05)+34*I20/1000</f>
        <v>1.5579999999999998</v>
      </c>
      <c r="K20" s="7" t="str">
        <f t="shared" si="0"/>
        <v/>
      </c>
      <c r="L20" s="7" t="str">
        <f t="shared" si="9"/>
        <v/>
      </c>
      <c r="M20" s="7" t="str">
        <f t="shared" si="2"/>
        <v/>
      </c>
      <c r="N20" s="7">
        <f t="shared" si="3"/>
        <v>12.463999999999999</v>
      </c>
      <c r="O20" s="7" t="str">
        <f t="shared" si="4"/>
        <v/>
      </c>
      <c r="P20" s="7" t="str">
        <f t="shared" si="5"/>
        <v/>
      </c>
      <c r="Q20" s="7" t="str">
        <f t="shared" si="6"/>
        <v/>
      </c>
      <c r="R20" s="7" t="str">
        <f t="shared" si="7"/>
        <v/>
      </c>
      <c r="S20" s="7" t="str">
        <f t="shared" si="8"/>
        <v/>
      </c>
    </row>
    <row r="21" spans="1:19">
      <c r="A21" s="50" t="s">
        <v>109</v>
      </c>
      <c r="B21" s="4" t="s">
        <v>4</v>
      </c>
      <c r="C21" s="37">
        <v>7</v>
      </c>
      <c r="D21" s="42">
        <v>1.2</v>
      </c>
      <c r="E21" s="42">
        <v>1.2</v>
      </c>
      <c r="F21" s="39">
        <v>0.3</v>
      </c>
      <c r="K21" s="7" t="str">
        <f t="shared" si="0"/>
        <v/>
      </c>
      <c r="L21" s="7" t="str">
        <f t="shared" si="9"/>
        <v/>
      </c>
      <c r="M21" s="7" t="str">
        <f t="shared" si="2"/>
        <v/>
      </c>
      <c r="N21" s="7" t="str">
        <f t="shared" si="3"/>
        <v/>
      </c>
      <c r="O21" s="7" t="str">
        <f t="shared" si="4"/>
        <v/>
      </c>
      <c r="P21" s="7" t="str">
        <f t="shared" si="5"/>
        <v/>
      </c>
      <c r="Q21" s="7" t="str">
        <f t="shared" si="6"/>
        <v/>
      </c>
      <c r="R21" s="7" t="str">
        <f t="shared" si="7"/>
        <v/>
      </c>
      <c r="S21" s="7" t="str">
        <f t="shared" si="8"/>
        <v/>
      </c>
    </row>
    <row r="22" spans="1:19">
      <c r="A22" t="s">
        <v>66</v>
      </c>
      <c r="B22" s="37"/>
      <c r="C22" s="37"/>
      <c r="F22" s="38"/>
      <c r="G22" s="9">
        <v>1</v>
      </c>
      <c r="H22" s="9">
        <v>8</v>
      </c>
      <c r="I22" s="9">
        <v>12</v>
      </c>
      <c r="J22" s="9">
        <f>(E21-0.05)+34*I22/1000</f>
        <v>1.5579999999999998</v>
      </c>
      <c r="K22" s="7" t="str">
        <f t="shared" si="0"/>
        <v/>
      </c>
      <c r="L22" s="7" t="str">
        <f t="shared" si="9"/>
        <v/>
      </c>
      <c r="M22" s="7" t="str">
        <f t="shared" si="2"/>
        <v/>
      </c>
      <c r="N22" s="7">
        <f t="shared" si="3"/>
        <v>12.463999999999999</v>
      </c>
      <c r="O22" s="7" t="str">
        <f t="shared" si="4"/>
        <v/>
      </c>
      <c r="P22" s="7" t="str">
        <f t="shared" si="5"/>
        <v/>
      </c>
      <c r="Q22" s="7" t="str">
        <f t="shared" si="6"/>
        <v/>
      </c>
      <c r="R22" s="7" t="str">
        <f t="shared" si="7"/>
        <v/>
      </c>
      <c r="S22" s="7" t="str">
        <f t="shared" si="8"/>
        <v/>
      </c>
    </row>
    <row r="23" spans="1:19">
      <c r="A23" t="s">
        <v>67</v>
      </c>
      <c r="B23" s="37"/>
      <c r="C23" s="37"/>
      <c r="F23" s="38"/>
      <c r="G23" s="9">
        <v>1</v>
      </c>
      <c r="H23" s="9">
        <v>8</v>
      </c>
      <c r="I23" s="9">
        <v>12</v>
      </c>
      <c r="J23" s="9">
        <f>(D21-0.05)+34*I23/1000</f>
        <v>1.5579999999999998</v>
      </c>
      <c r="K23" s="7" t="str">
        <f t="shared" si="0"/>
        <v/>
      </c>
      <c r="L23" s="7" t="str">
        <f t="shared" si="9"/>
        <v/>
      </c>
      <c r="M23" s="7" t="str">
        <f t="shared" si="2"/>
        <v/>
      </c>
      <c r="N23" s="7">
        <f t="shared" si="3"/>
        <v>12.463999999999999</v>
      </c>
      <c r="O23" s="7" t="str">
        <f t="shared" si="4"/>
        <v/>
      </c>
      <c r="P23" s="7" t="str">
        <f t="shared" si="5"/>
        <v/>
      </c>
      <c r="Q23" s="7" t="str">
        <f t="shared" si="6"/>
        <v/>
      </c>
      <c r="R23" s="7" t="str">
        <f t="shared" si="7"/>
        <v/>
      </c>
      <c r="S23" s="7" t="str">
        <f t="shared" si="8"/>
        <v/>
      </c>
    </row>
    <row r="24" spans="1:19">
      <c r="A24" s="50" t="s">
        <v>109</v>
      </c>
      <c r="B24" s="37" t="s">
        <v>4</v>
      </c>
      <c r="C24" s="37">
        <v>8</v>
      </c>
      <c r="D24">
        <v>1.2</v>
      </c>
      <c r="E24">
        <v>1.2</v>
      </c>
      <c r="F24" s="39">
        <v>0.3</v>
      </c>
      <c r="K24" s="7" t="str">
        <f t="shared" si="0"/>
        <v/>
      </c>
      <c r="L24" s="7" t="str">
        <f t="shared" si="9"/>
        <v/>
      </c>
      <c r="M24" s="7" t="str">
        <f t="shared" si="2"/>
        <v/>
      </c>
      <c r="N24" s="7" t="str">
        <f t="shared" si="3"/>
        <v/>
      </c>
      <c r="O24" s="7" t="str">
        <f t="shared" si="4"/>
        <v/>
      </c>
      <c r="P24" s="7" t="str">
        <f t="shared" si="5"/>
        <v/>
      </c>
      <c r="Q24" s="7" t="str">
        <f t="shared" si="6"/>
        <v/>
      </c>
      <c r="R24" s="7" t="str">
        <f t="shared" si="7"/>
        <v/>
      </c>
      <c r="S24" s="7" t="str">
        <f t="shared" si="8"/>
        <v/>
      </c>
    </row>
    <row r="25" spans="1:19">
      <c r="A25" t="s">
        <v>66</v>
      </c>
      <c r="B25" s="37"/>
      <c r="C25" s="37"/>
      <c r="F25" s="38"/>
      <c r="G25" s="9">
        <v>1</v>
      </c>
      <c r="H25" s="9">
        <v>8</v>
      </c>
      <c r="I25" s="9">
        <v>12</v>
      </c>
      <c r="J25" s="9">
        <f>(E24-0.05)+34*I25/1000</f>
        <v>1.5579999999999998</v>
      </c>
      <c r="K25" s="7" t="str">
        <f t="shared" si="0"/>
        <v/>
      </c>
      <c r="L25" s="7" t="str">
        <f t="shared" si="9"/>
        <v/>
      </c>
      <c r="M25" s="7" t="str">
        <f t="shared" si="2"/>
        <v/>
      </c>
      <c r="N25" s="7">
        <f t="shared" si="3"/>
        <v>12.463999999999999</v>
      </c>
      <c r="O25" s="7" t="str">
        <f t="shared" si="4"/>
        <v/>
      </c>
      <c r="P25" s="7" t="str">
        <f t="shared" si="5"/>
        <v/>
      </c>
      <c r="Q25" s="7" t="str">
        <f t="shared" si="6"/>
        <v/>
      </c>
      <c r="R25" s="7" t="str">
        <f t="shared" si="7"/>
        <v/>
      </c>
      <c r="S25" s="7" t="str">
        <f t="shared" si="8"/>
        <v/>
      </c>
    </row>
    <row r="26" spans="1:19">
      <c r="A26" t="s">
        <v>67</v>
      </c>
      <c r="B26" s="37"/>
      <c r="C26" s="37"/>
      <c r="F26" s="38"/>
      <c r="G26" s="9">
        <v>1</v>
      </c>
      <c r="H26" s="9">
        <v>8</v>
      </c>
      <c r="I26" s="9">
        <v>12</v>
      </c>
      <c r="J26" s="9">
        <f>(D24-0.05)+34*I26/1000</f>
        <v>1.5579999999999998</v>
      </c>
      <c r="K26" s="7" t="str">
        <f t="shared" si="0"/>
        <v/>
      </c>
      <c r="L26" s="7" t="str">
        <f t="shared" si="9"/>
        <v/>
      </c>
      <c r="M26" s="7" t="str">
        <f t="shared" si="2"/>
        <v/>
      </c>
      <c r="N26" s="7">
        <f t="shared" si="3"/>
        <v>12.463999999999999</v>
      </c>
      <c r="O26" s="7" t="str">
        <f t="shared" si="4"/>
        <v/>
      </c>
      <c r="P26" s="7" t="str">
        <f t="shared" si="5"/>
        <v/>
      </c>
      <c r="Q26" s="7" t="str">
        <f t="shared" si="6"/>
        <v/>
      </c>
      <c r="R26" s="7" t="str">
        <f t="shared" si="7"/>
        <v/>
      </c>
      <c r="S26" s="7" t="str">
        <f t="shared" si="8"/>
        <v/>
      </c>
    </row>
    <row r="27" spans="1:19">
      <c r="A27" s="50" t="s">
        <v>108</v>
      </c>
      <c r="B27" s="37" t="s">
        <v>6</v>
      </c>
      <c r="C27" s="4">
        <v>5</v>
      </c>
      <c r="D27" s="42">
        <v>1.5</v>
      </c>
      <c r="E27" s="42">
        <v>1.5</v>
      </c>
      <c r="F27" s="39">
        <v>0.4</v>
      </c>
      <c r="K27" s="7" t="str">
        <f t="shared" si="0"/>
        <v/>
      </c>
      <c r="L27" s="7" t="str">
        <f t="shared" si="9"/>
        <v/>
      </c>
      <c r="M27" s="7" t="str">
        <f t="shared" si="2"/>
        <v/>
      </c>
      <c r="N27" s="7" t="str">
        <f t="shared" si="3"/>
        <v/>
      </c>
      <c r="O27" s="7" t="str">
        <f t="shared" si="4"/>
        <v/>
      </c>
      <c r="P27" s="7" t="str">
        <f t="shared" si="5"/>
        <v/>
      </c>
      <c r="Q27" s="7" t="str">
        <f t="shared" si="6"/>
        <v/>
      </c>
      <c r="R27" s="7" t="str">
        <f t="shared" si="7"/>
        <v/>
      </c>
      <c r="S27" s="7" t="str">
        <f t="shared" si="8"/>
        <v/>
      </c>
    </row>
    <row r="28" spans="1:19">
      <c r="A28" t="s">
        <v>66</v>
      </c>
      <c r="B28" s="37"/>
      <c r="C28" s="37"/>
      <c r="F28" s="38"/>
      <c r="G28" s="9">
        <v>1</v>
      </c>
      <c r="H28" s="9">
        <v>11</v>
      </c>
      <c r="I28" s="9">
        <v>12</v>
      </c>
      <c r="J28" s="9">
        <f>(E27-0.05)+34*I28/1000</f>
        <v>1.8579999999999999</v>
      </c>
      <c r="K28" s="7" t="str">
        <f t="shared" si="0"/>
        <v/>
      </c>
      <c r="L28" s="7" t="str">
        <f t="shared" si="9"/>
        <v/>
      </c>
      <c r="M28" s="7" t="str">
        <f t="shared" si="2"/>
        <v/>
      </c>
      <c r="N28" s="7">
        <f t="shared" si="3"/>
        <v>20.437999999999999</v>
      </c>
      <c r="O28" s="7" t="str">
        <f t="shared" si="4"/>
        <v/>
      </c>
      <c r="P28" s="7" t="str">
        <f t="shared" si="5"/>
        <v/>
      </c>
      <c r="Q28" s="7" t="str">
        <f t="shared" si="6"/>
        <v/>
      </c>
      <c r="R28" s="7" t="str">
        <f t="shared" si="7"/>
        <v/>
      </c>
      <c r="S28" s="7" t="str">
        <f t="shared" si="8"/>
        <v/>
      </c>
    </row>
    <row r="29" spans="1:19">
      <c r="A29" t="s">
        <v>67</v>
      </c>
      <c r="B29" s="37"/>
      <c r="C29" s="37"/>
      <c r="F29" s="38"/>
      <c r="G29" s="9">
        <v>1</v>
      </c>
      <c r="H29" s="9">
        <v>11</v>
      </c>
      <c r="I29" s="9">
        <v>12</v>
      </c>
      <c r="J29" s="9">
        <f>(D27-0.05)+34*I29/1000</f>
        <v>1.8579999999999999</v>
      </c>
      <c r="K29" s="7" t="str">
        <f t="shared" si="0"/>
        <v/>
      </c>
      <c r="L29" s="7" t="str">
        <f t="shared" si="9"/>
        <v/>
      </c>
      <c r="M29" s="7" t="str">
        <f t="shared" si="2"/>
        <v/>
      </c>
      <c r="N29" s="7">
        <f t="shared" si="3"/>
        <v>20.437999999999999</v>
      </c>
      <c r="O29" s="7" t="str">
        <f t="shared" si="4"/>
        <v/>
      </c>
      <c r="P29" s="7" t="str">
        <f t="shared" si="5"/>
        <v/>
      </c>
      <c r="Q29" s="7" t="str">
        <f t="shared" si="6"/>
        <v/>
      </c>
      <c r="R29" s="7" t="str">
        <f t="shared" si="7"/>
        <v/>
      </c>
      <c r="S29" s="7" t="str">
        <f t="shared" si="8"/>
        <v/>
      </c>
    </row>
    <row r="30" spans="1:19">
      <c r="A30" s="50" t="s">
        <v>107</v>
      </c>
      <c r="B30" s="37" t="s">
        <v>7</v>
      </c>
      <c r="C30" s="4">
        <v>6</v>
      </c>
      <c r="D30" s="42">
        <v>1.5</v>
      </c>
      <c r="E30" s="42">
        <v>1.5</v>
      </c>
      <c r="F30" s="39">
        <v>0.4</v>
      </c>
      <c r="K30" s="7" t="str">
        <f t="shared" si="0"/>
        <v/>
      </c>
      <c r="L30" s="7" t="str">
        <f t="shared" si="9"/>
        <v/>
      </c>
      <c r="M30" s="7" t="str">
        <f t="shared" si="2"/>
        <v/>
      </c>
      <c r="N30" s="7" t="str">
        <f t="shared" si="3"/>
        <v/>
      </c>
      <c r="O30" s="7" t="str">
        <f t="shared" si="4"/>
        <v/>
      </c>
      <c r="P30" s="7" t="str">
        <f t="shared" si="5"/>
        <v/>
      </c>
      <c r="Q30" s="7" t="str">
        <f t="shared" si="6"/>
        <v/>
      </c>
      <c r="R30" s="7" t="str">
        <f t="shared" si="7"/>
        <v/>
      </c>
      <c r="S30" s="7" t="str">
        <f t="shared" si="8"/>
        <v/>
      </c>
    </row>
    <row r="31" spans="1:19">
      <c r="A31" t="s">
        <v>66</v>
      </c>
      <c r="B31" s="37"/>
      <c r="C31" s="37"/>
      <c r="F31" s="38"/>
      <c r="G31" s="9">
        <v>1</v>
      </c>
      <c r="H31" s="9">
        <v>11</v>
      </c>
      <c r="I31" s="9">
        <v>12</v>
      </c>
      <c r="J31" s="9">
        <f>(E30-0.05)+34*I31/1000</f>
        <v>1.8579999999999999</v>
      </c>
      <c r="K31" s="7" t="str">
        <f t="shared" si="0"/>
        <v/>
      </c>
      <c r="L31" s="7" t="str">
        <f t="shared" si="9"/>
        <v/>
      </c>
      <c r="M31" s="7" t="str">
        <f t="shared" si="2"/>
        <v/>
      </c>
      <c r="N31" s="7">
        <f t="shared" si="3"/>
        <v>20.437999999999999</v>
      </c>
      <c r="O31" s="7" t="str">
        <f t="shared" si="4"/>
        <v/>
      </c>
      <c r="P31" s="7" t="str">
        <f t="shared" si="5"/>
        <v/>
      </c>
      <c r="Q31" s="7" t="str">
        <f t="shared" si="6"/>
        <v/>
      </c>
      <c r="R31" s="7" t="str">
        <f t="shared" si="7"/>
        <v/>
      </c>
      <c r="S31" s="7" t="str">
        <f t="shared" si="8"/>
        <v/>
      </c>
    </row>
    <row r="32" spans="1:19">
      <c r="A32" t="s">
        <v>67</v>
      </c>
      <c r="B32" s="37"/>
      <c r="C32" s="37"/>
      <c r="F32" s="38"/>
      <c r="G32" s="9">
        <v>1</v>
      </c>
      <c r="H32" s="9">
        <v>11</v>
      </c>
      <c r="I32" s="9">
        <v>12</v>
      </c>
      <c r="J32" s="9">
        <f>(D30-0.05)+34*I32/1000</f>
        <v>1.8579999999999999</v>
      </c>
      <c r="K32" s="7" t="str">
        <f t="shared" si="0"/>
        <v/>
      </c>
      <c r="L32" s="7" t="str">
        <f t="shared" si="9"/>
        <v/>
      </c>
      <c r="M32" s="7" t="str">
        <f t="shared" si="2"/>
        <v/>
      </c>
      <c r="N32" s="7">
        <f t="shared" si="3"/>
        <v>20.437999999999999</v>
      </c>
      <c r="O32" s="7" t="str">
        <f t="shared" si="4"/>
        <v/>
      </c>
      <c r="P32" s="7" t="str">
        <f t="shared" si="5"/>
        <v/>
      </c>
      <c r="Q32" s="7" t="str">
        <f t="shared" si="6"/>
        <v/>
      </c>
      <c r="R32" s="7" t="str">
        <f t="shared" si="7"/>
        <v/>
      </c>
      <c r="S32" s="7" t="str">
        <f t="shared" si="8"/>
        <v/>
      </c>
    </row>
    <row r="33" spans="1:19">
      <c r="A33" s="50" t="s">
        <v>107</v>
      </c>
      <c r="B33" s="37" t="s">
        <v>7</v>
      </c>
      <c r="C33" s="4">
        <v>7</v>
      </c>
      <c r="D33" s="42">
        <v>1.5</v>
      </c>
      <c r="E33" s="42">
        <v>1.5</v>
      </c>
      <c r="F33" s="39">
        <v>0.4</v>
      </c>
      <c r="K33" s="7" t="str">
        <f t="shared" si="0"/>
        <v/>
      </c>
      <c r="L33" s="7" t="str">
        <f t="shared" si="9"/>
        <v/>
      </c>
      <c r="M33" s="7" t="str">
        <f t="shared" si="2"/>
        <v/>
      </c>
      <c r="N33" s="7" t="str">
        <f t="shared" si="3"/>
        <v/>
      </c>
      <c r="O33" s="7" t="str">
        <f t="shared" si="4"/>
        <v/>
      </c>
      <c r="P33" s="7" t="str">
        <f t="shared" si="5"/>
        <v/>
      </c>
      <c r="Q33" s="7" t="str">
        <f t="shared" si="6"/>
        <v/>
      </c>
      <c r="R33" s="7" t="str">
        <f t="shared" si="7"/>
        <v/>
      </c>
      <c r="S33" s="7" t="str">
        <f t="shared" si="8"/>
        <v/>
      </c>
    </row>
    <row r="34" spans="1:19">
      <c r="A34" t="s">
        <v>66</v>
      </c>
      <c r="B34" s="37"/>
      <c r="C34" s="37"/>
      <c r="F34" s="38"/>
      <c r="G34" s="9">
        <v>1</v>
      </c>
      <c r="H34" s="9">
        <v>11</v>
      </c>
      <c r="I34" s="9">
        <v>12</v>
      </c>
      <c r="J34" s="9">
        <f>(E33-0.05)+34*I34/1000</f>
        <v>1.8579999999999999</v>
      </c>
      <c r="K34" s="7" t="str">
        <f t="shared" si="0"/>
        <v/>
      </c>
      <c r="L34" s="7" t="str">
        <f t="shared" si="9"/>
        <v/>
      </c>
      <c r="M34" s="7" t="str">
        <f t="shared" si="2"/>
        <v/>
      </c>
      <c r="N34" s="7">
        <f t="shared" si="3"/>
        <v>20.437999999999999</v>
      </c>
      <c r="O34" s="7" t="str">
        <f t="shared" si="4"/>
        <v/>
      </c>
      <c r="P34" s="7" t="str">
        <f t="shared" si="5"/>
        <v/>
      </c>
      <c r="Q34" s="7" t="str">
        <f t="shared" si="6"/>
        <v/>
      </c>
      <c r="R34" s="7" t="str">
        <f t="shared" si="7"/>
        <v/>
      </c>
      <c r="S34" s="7" t="str">
        <f t="shared" si="8"/>
        <v/>
      </c>
    </row>
    <row r="35" spans="1:19">
      <c r="A35" t="s">
        <v>67</v>
      </c>
      <c r="B35" s="37"/>
      <c r="C35" s="37"/>
      <c r="F35" s="38"/>
      <c r="G35" s="9">
        <v>1</v>
      </c>
      <c r="H35" s="9">
        <v>11</v>
      </c>
      <c r="I35" s="9">
        <v>12</v>
      </c>
      <c r="J35" s="9">
        <f>(D33-0.05)+34*I35/1000</f>
        <v>1.8579999999999999</v>
      </c>
      <c r="K35" s="7" t="str">
        <f t="shared" si="0"/>
        <v/>
      </c>
      <c r="L35" s="7" t="str">
        <f t="shared" si="9"/>
        <v/>
      </c>
      <c r="M35" s="7" t="str">
        <f t="shared" si="2"/>
        <v/>
      </c>
      <c r="N35" s="7">
        <f t="shared" si="3"/>
        <v>20.437999999999999</v>
      </c>
      <c r="O35" s="7" t="str">
        <f t="shared" si="4"/>
        <v/>
      </c>
      <c r="P35" s="7" t="str">
        <f t="shared" si="5"/>
        <v/>
      </c>
      <c r="Q35" s="7" t="str">
        <f t="shared" si="6"/>
        <v/>
      </c>
      <c r="R35" s="7" t="str">
        <f t="shared" si="7"/>
        <v/>
      </c>
      <c r="S35" s="7" t="str">
        <f t="shared" si="8"/>
        <v/>
      </c>
    </row>
    <row r="36" spans="1:19">
      <c r="A36" s="50" t="s">
        <v>109</v>
      </c>
      <c r="B36" s="37" t="s">
        <v>7</v>
      </c>
      <c r="C36" s="4">
        <v>8</v>
      </c>
      <c r="D36" s="42">
        <v>1.2</v>
      </c>
      <c r="E36" s="42">
        <v>1.2</v>
      </c>
      <c r="F36" s="39">
        <v>0.3</v>
      </c>
      <c r="K36" s="7" t="str">
        <f t="shared" si="0"/>
        <v/>
      </c>
      <c r="L36" s="7" t="str">
        <f t="shared" si="9"/>
        <v/>
      </c>
      <c r="M36" s="7" t="str">
        <f t="shared" si="2"/>
        <v/>
      </c>
      <c r="N36" s="7" t="str">
        <f t="shared" si="3"/>
        <v/>
      </c>
      <c r="O36" s="7" t="str">
        <f t="shared" si="4"/>
        <v/>
      </c>
      <c r="P36" s="7" t="str">
        <f t="shared" si="5"/>
        <v/>
      </c>
      <c r="Q36" s="7" t="str">
        <f t="shared" si="6"/>
        <v/>
      </c>
      <c r="R36" s="7" t="str">
        <f t="shared" si="7"/>
        <v/>
      </c>
      <c r="S36" s="7" t="str">
        <f t="shared" si="8"/>
        <v/>
      </c>
    </row>
    <row r="37" spans="1:19">
      <c r="A37" t="s">
        <v>66</v>
      </c>
      <c r="B37" s="37"/>
      <c r="C37" s="37"/>
      <c r="F37" s="38"/>
      <c r="G37" s="9">
        <v>1</v>
      </c>
      <c r="H37" s="9">
        <v>8</v>
      </c>
      <c r="I37" s="9">
        <v>12</v>
      </c>
      <c r="J37" s="9">
        <f>(E36-0.05)+34*I37/1000</f>
        <v>1.5579999999999998</v>
      </c>
      <c r="K37" s="7" t="str">
        <f t="shared" si="0"/>
        <v/>
      </c>
      <c r="L37" s="7" t="str">
        <f t="shared" si="9"/>
        <v/>
      </c>
      <c r="M37" s="7" t="str">
        <f t="shared" si="2"/>
        <v/>
      </c>
      <c r="N37" s="7">
        <f t="shared" si="3"/>
        <v>12.463999999999999</v>
      </c>
      <c r="O37" s="7" t="str">
        <f t="shared" si="4"/>
        <v/>
      </c>
      <c r="P37" s="7" t="str">
        <f t="shared" si="5"/>
        <v/>
      </c>
      <c r="Q37" s="7" t="str">
        <f t="shared" si="6"/>
        <v/>
      </c>
      <c r="R37" s="7" t="str">
        <f t="shared" si="7"/>
        <v/>
      </c>
      <c r="S37" s="7" t="str">
        <f t="shared" si="8"/>
        <v/>
      </c>
    </row>
    <row r="38" spans="1:19">
      <c r="A38" t="s">
        <v>67</v>
      </c>
      <c r="B38" s="37"/>
      <c r="C38" s="37"/>
      <c r="F38" s="38"/>
      <c r="G38" s="9">
        <v>1</v>
      </c>
      <c r="H38" s="9">
        <v>8</v>
      </c>
      <c r="I38" s="9">
        <v>12</v>
      </c>
      <c r="J38" s="9">
        <f>(D36-0.05)+34*I38/1000</f>
        <v>1.5579999999999998</v>
      </c>
      <c r="K38" s="7" t="str">
        <f t="shared" si="0"/>
        <v/>
      </c>
      <c r="L38" s="7" t="str">
        <f t="shared" si="9"/>
        <v/>
      </c>
      <c r="M38" s="7" t="str">
        <f t="shared" si="2"/>
        <v/>
      </c>
      <c r="N38" s="7">
        <f t="shared" si="3"/>
        <v>12.463999999999999</v>
      </c>
      <c r="O38" s="7" t="str">
        <f t="shared" si="4"/>
        <v/>
      </c>
      <c r="P38" s="7" t="str">
        <f t="shared" si="5"/>
        <v/>
      </c>
      <c r="Q38" s="7" t="str">
        <f t="shared" si="6"/>
        <v/>
      </c>
      <c r="R38" s="7" t="str">
        <f t="shared" si="7"/>
        <v/>
      </c>
      <c r="S38" s="7" t="str">
        <f t="shared" si="8"/>
        <v/>
      </c>
    </row>
    <row r="39" spans="1:19">
      <c r="A39" s="50" t="s">
        <v>107</v>
      </c>
      <c r="B39" s="4" t="s">
        <v>8</v>
      </c>
      <c r="C39" s="4">
        <v>1</v>
      </c>
      <c r="D39">
        <v>1.5</v>
      </c>
      <c r="E39">
        <v>1.5</v>
      </c>
      <c r="F39" s="39">
        <v>0.4</v>
      </c>
      <c r="K39" s="7" t="str">
        <f t="shared" si="0"/>
        <v/>
      </c>
      <c r="L39" s="7" t="str">
        <f t="shared" si="9"/>
        <v/>
      </c>
      <c r="M39" s="7" t="str">
        <f t="shared" si="2"/>
        <v/>
      </c>
      <c r="N39" s="7" t="str">
        <f t="shared" si="3"/>
        <v/>
      </c>
      <c r="O39" s="7" t="str">
        <f t="shared" si="4"/>
        <v/>
      </c>
      <c r="P39" s="7" t="str">
        <f t="shared" si="5"/>
        <v/>
      </c>
      <c r="Q39" s="7" t="str">
        <f t="shared" si="6"/>
        <v/>
      </c>
      <c r="R39" s="7" t="str">
        <f t="shared" si="7"/>
        <v/>
      </c>
      <c r="S39" s="7" t="str">
        <f t="shared" si="8"/>
        <v/>
      </c>
    </row>
    <row r="40" spans="1:19">
      <c r="A40" t="s">
        <v>66</v>
      </c>
      <c r="B40" s="37"/>
      <c r="C40" s="37"/>
      <c r="F40" s="38"/>
      <c r="G40" s="9">
        <v>1</v>
      </c>
      <c r="H40" s="9">
        <v>11</v>
      </c>
      <c r="I40" s="9">
        <v>12</v>
      </c>
      <c r="J40" s="9">
        <f>(E39-0.05)+34*I40/1000</f>
        <v>1.8579999999999999</v>
      </c>
      <c r="K40" s="7" t="str">
        <f t="shared" si="0"/>
        <v/>
      </c>
      <c r="L40" s="7" t="str">
        <f t="shared" si="9"/>
        <v/>
      </c>
      <c r="M40" s="7" t="str">
        <f t="shared" si="2"/>
        <v/>
      </c>
      <c r="N40" s="7">
        <f t="shared" si="3"/>
        <v>20.437999999999999</v>
      </c>
      <c r="O40" s="7" t="str">
        <f t="shared" si="4"/>
        <v/>
      </c>
      <c r="P40" s="7" t="str">
        <f t="shared" si="5"/>
        <v/>
      </c>
      <c r="Q40" s="7" t="str">
        <f t="shared" si="6"/>
        <v/>
      </c>
      <c r="R40" s="7" t="str">
        <f t="shared" si="7"/>
        <v/>
      </c>
      <c r="S40" s="7" t="str">
        <f t="shared" si="8"/>
        <v/>
      </c>
    </row>
    <row r="41" spans="1:19">
      <c r="A41" t="s">
        <v>67</v>
      </c>
      <c r="B41" s="37"/>
      <c r="C41" s="37"/>
      <c r="F41" s="38"/>
      <c r="G41" s="9">
        <v>1</v>
      </c>
      <c r="H41" s="9">
        <v>11</v>
      </c>
      <c r="I41" s="9">
        <v>12</v>
      </c>
      <c r="J41" s="9">
        <f>(D39-0.05)+34*I41/1000</f>
        <v>1.8579999999999999</v>
      </c>
      <c r="K41" s="7" t="str">
        <f t="shared" si="0"/>
        <v/>
      </c>
      <c r="L41" s="7" t="str">
        <f t="shared" si="9"/>
        <v/>
      </c>
      <c r="M41" s="7" t="str">
        <f t="shared" si="2"/>
        <v/>
      </c>
      <c r="N41" s="7">
        <f t="shared" si="3"/>
        <v>20.437999999999999</v>
      </c>
      <c r="O41" s="7" t="str">
        <f t="shared" si="4"/>
        <v/>
      </c>
      <c r="P41" s="7" t="str">
        <f t="shared" si="5"/>
        <v/>
      </c>
      <c r="Q41" s="7" t="str">
        <f t="shared" si="6"/>
        <v/>
      </c>
      <c r="R41" s="7" t="str">
        <f t="shared" si="7"/>
        <v/>
      </c>
      <c r="S41" s="7" t="str">
        <f t="shared" si="8"/>
        <v/>
      </c>
    </row>
    <row r="42" spans="1:19">
      <c r="A42" s="50" t="s">
        <v>108</v>
      </c>
      <c r="B42" s="37" t="s">
        <v>9</v>
      </c>
      <c r="C42" s="4">
        <v>5</v>
      </c>
      <c r="D42" s="42">
        <v>1.5</v>
      </c>
      <c r="E42" s="42">
        <v>1.3</v>
      </c>
      <c r="F42" s="39">
        <v>0.4</v>
      </c>
      <c r="K42" s="7" t="str">
        <f t="shared" si="0"/>
        <v/>
      </c>
      <c r="L42" s="7" t="str">
        <f t="shared" si="9"/>
        <v/>
      </c>
      <c r="M42" s="7" t="str">
        <f t="shared" si="2"/>
        <v/>
      </c>
      <c r="N42" s="7" t="str">
        <f t="shared" si="3"/>
        <v/>
      </c>
      <c r="O42" s="7" t="str">
        <f t="shared" si="4"/>
        <v/>
      </c>
      <c r="P42" s="7" t="str">
        <f t="shared" si="5"/>
        <v/>
      </c>
      <c r="Q42" s="7" t="str">
        <f t="shared" si="6"/>
        <v/>
      </c>
      <c r="R42" s="7" t="str">
        <f t="shared" si="7"/>
        <v/>
      </c>
      <c r="S42" s="7" t="str">
        <f t="shared" si="8"/>
        <v/>
      </c>
    </row>
    <row r="43" spans="1:19">
      <c r="A43" t="s">
        <v>66</v>
      </c>
      <c r="B43" s="37"/>
      <c r="C43" s="37"/>
      <c r="F43" s="38"/>
      <c r="G43" s="9">
        <v>1</v>
      </c>
      <c r="H43" s="9">
        <v>11</v>
      </c>
      <c r="I43" s="9">
        <v>12</v>
      </c>
      <c r="J43" s="9">
        <f>(E42-0.05)+34*I43/1000</f>
        <v>1.6579999999999999</v>
      </c>
      <c r="K43" s="7" t="str">
        <f t="shared" si="0"/>
        <v/>
      </c>
      <c r="L43" s="7" t="str">
        <f t="shared" si="9"/>
        <v/>
      </c>
      <c r="M43" s="7" t="str">
        <f t="shared" si="2"/>
        <v/>
      </c>
      <c r="N43" s="7">
        <f t="shared" si="3"/>
        <v>18.238</v>
      </c>
      <c r="O43" s="7" t="str">
        <f t="shared" si="4"/>
        <v/>
      </c>
      <c r="P43" s="7" t="str">
        <f t="shared" si="5"/>
        <v/>
      </c>
      <c r="Q43" s="7" t="str">
        <f t="shared" si="6"/>
        <v/>
      </c>
      <c r="R43" s="7" t="str">
        <f t="shared" si="7"/>
        <v/>
      </c>
      <c r="S43" s="7" t="str">
        <f t="shared" si="8"/>
        <v/>
      </c>
    </row>
    <row r="44" spans="1:19">
      <c r="A44" t="s">
        <v>67</v>
      </c>
      <c r="B44" s="37"/>
      <c r="C44" s="37"/>
      <c r="F44" s="38"/>
      <c r="G44" s="9">
        <v>1</v>
      </c>
      <c r="H44" s="9">
        <v>11</v>
      </c>
      <c r="I44" s="9">
        <v>12</v>
      </c>
      <c r="J44" s="9">
        <f>(D42-0.05)+34*I44/1000</f>
        <v>1.8579999999999999</v>
      </c>
      <c r="K44" s="7" t="str">
        <f t="shared" si="0"/>
        <v/>
      </c>
      <c r="L44" s="7" t="str">
        <f t="shared" si="9"/>
        <v/>
      </c>
      <c r="M44" s="7" t="str">
        <f t="shared" si="2"/>
        <v/>
      </c>
      <c r="N44" s="7">
        <f t="shared" si="3"/>
        <v>20.437999999999999</v>
      </c>
      <c r="O44" s="7" t="str">
        <f t="shared" si="4"/>
        <v/>
      </c>
      <c r="P44" s="7" t="str">
        <f t="shared" si="5"/>
        <v/>
      </c>
      <c r="Q44" s="7" t="str">
        <f t="shared" si="6"/>
        <v/>
      </c>
      <c r="R44" s="7" t="str">
        <f t="shared" si="7"/>
        <v/>
      </c>
      <c r="S44" s="7" t="str">
        <f t="shared" si="8"/>
        <v/>
      </c>
    </row>
    <row r="45" spans="1:19">
      <c r="A45" s="50" t="s">
        <v>107</v>
      </c>
      <c r="B45" s="37" t="s">
        <v>9</v>
      </c>
      <c r="C45" s="4">
        <v>6</v>
      </c>
      <c r="D45" s="42">
        <v>1.5</v>
      </c>
      <c r="E45" s="42">
        <v>1.5</v>
      </c>
      <c r="F45" s="39">
        <v>0.4</v>
      </c>
      <c r="K45" s="7" t="str">
        <f t="shared" si="0"/>
        <v/>
      </c>
      <c r="L45" s="7" t="str">
        <f t="shared" si="9"/>
        <v/>
      </c>
      <c r="M45" s="7" t="str">
        <f t="shared" si="2"/>
        <v/>
      </c>
      <c r="N45" s="7" t="str">
        <f t="shared" si="3"/>
        <v/>
      </c>
      <c r="O45" s="7" t="str">
        <f t="shared" si="4"/>
        <v/>
      </c>
      <c r="P45" s="7" t="str">
        <f t="shared" si="5"/>
        <v/>
      </c>
      <c r="Q45" s="7" t="str">
        <f t="shared" si="6"/>
        <v/>
      </c>
      <c r="R45" s="7" t="str">
        <f t="shared" si="7"/>
        <v/>
      </c>
      <c r="S45" s="7" t="str">
        <f t="shared" si="8"/>
        <v/>
      </c>
    </row>
    <row r="46" spans="1:19">
      <c r="A46" t="s">
        <v>66</v>
      </c>
      <c r="B46" s="37"/>
      <c r="C46" s="37"/>
      <c r="F46" s="38"/>
      <c r="G46" s="9">
        <v>1</v>
      </c>
      <c r="H46" s="9">
        <v>11</v>
      </c>
      <c r="I46" s="9">
        <v>12</v>
      </c>
      <c r="J46" s="9">
        <f>(E45-0.05)+34*I46/1000</f>
        <v>1.8579999999999999</v>
      </c>
      <c r="K46" s="7" t="str">
        <f t="shared" si="0"/>
        <v/>
      </c>
      <c r="L46" s="7" t="str">
        <f t="shared" si="9"/>
        <v/>
      </c>
      <c r="M46" s="7" t="str">
        <f t="shared" si="2"/>
        <v/>
      </c>
      <c r="N46" s="7">
        <f t="shared" si="3"/>
        <v>20.437999999999999</v>
      </c>
      <c r="O46" s="7" t="str">
        <f t="shared" si="4"/>
        <v/>
      </c>
      <c r="P46" s="7" t="str">
        <f t="shared" si="5"/>
        <v/>
      </c>
      <c r="Q46" s="7" t="str">
        <f t="shared" si="6"/>
        <v/>
      </c>
      <c r="R46" s="7" t="str">
        <f t="shared" si="7"/>
        <v/>
      </c>
      <c r="S46" s="7" t="str">
        <f t="shared" si="8"/>
        <v/>
      </c>
    </row>
    <row r="47" spans="1:19">
      <c r="A47" t="s">
        <v>67</v>
      </c>
      <c r="B47" s="37"/>
      <c r="C47" s="37"/>
      <c r="F47" s="38"/>
      <c r="G47" s="9">
        <v>1</v>
      </c>
      <c r="H47" s="9">
        <v>11</v>
      </c>
      <c r="I47" s="9">
        <v>12</v>
      </c>
      <c r="J47" s="9">
        <f>(D45-0.05)+34*I47/1000</f>
        <v>1.8579999999999999</v>
      </c>
      <c r="K47" s="7" t="str">
        <f t="shared" si="0"/>
        <v/>
      </c>
      <c r="L47" s="7" t="str">
        <f t="shared" si="9"/>
        <v/>
      </c>
      <c r="M47" s="7" t="str">
        <f t="shared" si="2"/>
        <v/>
      </c>
      <c r="N47" s="7">
        <f t="shared" si="3"/>
        <v>20.437999999999999</v>
      </c>
      <c r="O47" s="7" t="str">
        <f t="shared" si="4"/>
        <v/>
      </c>
      <c r="P47" s="7" t="str">
        <f t="shared" si="5"/>
        <v/>
      </c>
      <c r="Q47" s="7" t="str">
        <f t="shared" si="6"/>
        <v/>
      </c>
      <c r="R47" s="7" t="str">
        <f t="shared" si="7"/>
        <v/>
      </c>
      <c r="S47" s="7" t="str">
        <f t="shared" si="8"/>
        <v/>
      </c>
    </row>
    <row r="48" spans="1:19">
      <c r="A48" s="50" t="s">
        <v>107</v>
      </c>
      <c r="B48" s="37" t="s">
        <v>9</v>
      </c>
      <c r="C48" s="4">
        <v>7</v>
      </c>
      <c r="D48" s="42">
        <v>1.5</v>
      </c>
      <c r="E48" s="42">
        <v>1.5</v>
      </c>
      <c r="F48" s="39">
        <v>0.4</v>
      </c>
      <c r="K48" s="7" t="str">
        <f t="shared" si="0"/>
        <v/>
      </c>
      <c r="L48" s="7" t="str">
        <f t="shared" si="9"/>
        <v/>
      </c>
      <c r="M48" s="7" t="str">
        <f t="shared" si="2"/>
        <v/>
      </c>
      <c r="N48" s="7" t="str">
        <f t="shared" si="3"/>
        <v/>
      </c>
      <c r="O48" s="7" t="str">
        <f t="shared" si="4"/>
        <v/>
      </c>
      <c r="P48" s="7" t="str">
        <f t="shared" si="5"/>
        <v/>
      </c>
      <c r="Q48" s="7" t="str">
        <f t="shared" si="6"/>
        <v/>
      </c>
      <c r="R48" s="7" t="str">
        <f t="shared" si="7"/>
        <v/>
      </c>
      <c r="S48" s="7" t="str">
        <f t="shared" si="8"/>
        <v/>
      </c>
    </row>
    <row r="49" spans="1:19">
      <c r="A49" t="s">
        <v>66</v>
      </c>
      <c r="B49" s="37"/>
      <c r="C49" s="37"/>
      <c r="F49" s="38"/>
      <c r="G49" s="9">
        <v>1</v>
      </c>
      <c r="H49" s="9">
        <v>11</v>
      </c>
      <c r="I49" s="9">
        <v>12</v>
      </c>
      <c r="J49" s="9">
        <f>(E48-0.05)+34*I49/1000</f>
        <v>1.8579999999999999</v>
      </c>
      <c r="K49" s="7" t="str">
        <f t="shared" si="0"/>
        <v/>
      </c>
      <c r="L49" s="7" t="str">
        <f t="shared" si="9"/>
        <v/>
      </c>
      <c r="M49" s="7" t="str">
        <f t="shared" si="2"/>
        <v/>
      </c>
      <c r="N49" s="7">
        <f t="shared" si="3"/>
        <v>20.437999999999999</v>
      </c>
      <c r="O49" s="7" t="str">
        <f t="shared" si="4"/>
        <v/>
      </c>
      <c r="P49" s="7" t="str">
        <f t="shared" si="5"/>
        <v/>
      </c>
      <c r="Q49" s="7" t="str">
        <f t="shared" si="6"/>
        <v/>
      </c>
      <c r="R49" s="7" t="str">
        <f t="shared" si="7"/>
        <v/>
      </c>
      <c r="S49" s="7" t="str">
        <f t="shared" si="8"/>
        <v/>
      </c>
    </row>
    <row r="50" spans="1:19">
      <c r="A50" t="s">
        <v>67</v>
      </c>
      <c r="B50" s="37"/>
      <c r="C50" s="37"/>
      <c r="F50" s="38"/>
      <c r="G50" s="9">
        <v>1</v>
      </c>
      <c r="H50" s="9">
        <v>11</v>
      </c>
      <c r="I50" s="9">
        <v>12</v>
      </c>
      <c r="J50" s="9">
        <f>(D48-0.05)+34*I50/1000</f>
        <v>1.8579999999999999</v>
      </c>
      <c r="K50" s="7" t="str">
        <f t="shared" si="0"/>
        <v/>
      </c>
      <c r="L50" s="7" t="str">
        <f t="shared" si="9"/>
        <v/>
      </c>
      <c r="M50" s="7" t="str">
        <f t="shared" si="2"/>
        <v/>
      </c>
      <c r="N50" s="7">
        <f t="shared" si="3"/>
        <v>20.437999999999999</v>
      </c>
      <c r="O50" s="7" t="str">
        <f t="shared" si="4"/>
        <v/>
      </c>
      <c r="P50" s="7" t="str">
        <f t="shared" si="5"/>
        <v/>
      </c>
      <c r="Q50" s="7" t="str">
        <f t="shared" si="6"/>
        <v/>
      </c>
      <c r="R50" s="7" t="str">
        <f t="shared" si="7"/>
        <v/>
      </c>
      <c r="S50" s="7" t="str">
        <f t="shared" si="8"/>
        <v/>
      </c>
    </row>
    <row r="51" spans="1:19">
      <c r="A51" s="50" t="s">
        <v>109</v>
      </c>
      <c r="B51" s="37" t="s">
        <v>9</v>
      </c>
      <c r="C51" s="4">
        <v>8</v>
      </c>
      <c r="D51" s="42">
        <v>1.2</v>
      </c>
      <c r="E51" s="42">
        <v>1.2</v>
      </c>
      <c r="F51" s="39">
        <v>0.3</v>
      </c>
      <c r="K51" s="7" t="str">
        <f t="shared" si="0"/>
        <v/>
      </c>
      <c r="L51" s="7" t="str">
        <f t="shared" si="9"/>
        <v/>
      </c>
      <c r="M51" s="7" t="str">
        <f t="shared" si="2"/>
        <v/>
      </c>
      <c r="N51" s="7" t="str">
        <f t="shared" si="3"/>
        <v/>
      </c>
      <c r="O51" s="7" t="str">
        <f t="shared" si="4"/>
        <v/>
      </c>
      <c r="P51" s="7" t="str">
        <f t="shared" si="5"/>
        <v/>
      </c>
      <c r="Q51" s="7" t="str">
        <f t="shared" si="6"/>
        <v/>
      </c>
      <c r="R51" s="7" t="str">
        <f t="shared" si="7"/>
        <v/>
      </c>
      <c r="S51" s="7" t="str">
        <f t="shared" si="8"/>
        <v/>
      </c>
    </row>
    <row r="52" spans="1:19">
      <c r="A52" t="s">
        <v>66</v>
      </c>
      <c r="B52" s="37"/>
      <c r="C52" s="37"/>
      <c r="F52" s="38"/>
      <c r="G52" s="9">
        <v>1</v>
      </c>
      <c r="H52" s="9">
        <v>8</v>
      </c>
      <c r="I52" s="9">
        <v>12</v>
      </c>
      <c r="J52" s="9">
        <f>(E51-0.05)+34*I52/1000</f>
        <v>1.5579999999999998</v>
      </c>
      <c r="K52" s="7" t="str">
        <f t="shared" si="0"/>
        <v/>
      </c>
      <c r="L52" s="7" t="str">
        <f t="shared" si="9"/>
        <v/>
      </c>
      <c r="M52" s="7" t="str">
        <f t="shared" si="2"/>
        <v/>
      </c>
      <c r="N52" s="7">
        <f t="shared" si="3"/>
        <v>12.463999999999999</v>
      </c>
      <c r="O52" s="7" t="str">
        <f t="shared" si="4"/>
        <v/>
      </c>
      <c r="P52" s="7" t="str">
        <f t="shared" si="5"/>
        <v/>
      </c>
      <c r="Q52" s="7" t="str">
        <f t="shared" si="6"/>
        <v/>
      </c>
      <c r="R52" s="7" t="str">
        <f t="shared" si="7"/>
        <v/>
      </c>
      <c r="S52" s="7" t="str">
        <f t="shared" si="8"/>
        <v/>
      </c>
    </row>
    <row r="53" spans="1:19">
      <c r="A53" t="s">
        <v>67</v>
      </c>
      <c r="B53" s="37"/>
      <c r="C53" s="37"/>
      <c r="F53" s="38"/>
      <c r="G53" s="9">
        <v>1</v>
      </c>
      <c r="H53" s="9">
        <v>8</v>
      </c>
      <c r="I53" s="9">
        <v>12</v>
      </c>
      <c r="J53" s="9">
        <f>(D51-0.05)+34*I53/1000</f>
        <v>1.5579999999999998</v>
      </c>
      <c r="K53" s="7" t="str">
        <f t="shared" si="0"/>
        <v/>
      </c>
      <c r="L53" s="7" t="str">
        <f t="shared" si="9"/>
        <v/>
      </c>
      <c r="M53" s="7" t="str">
        <f t="shared" si="2"/>
        <v/>
      </c>
      <c r="N53" s="7">
        <f t="shared" si="3"/>
        <v>12.463999999999999</v>
      </c>
      <c r="O53" s="7" t="str">
        <f t="shared" si="4"/>
        <v/>
      </c>
      <c r="P53" s="7" t="str">
        <f t="shared" si="5"/>
        <v/>
      </c>
      <c r="Q53" s="7" t="str">
        <f t="shared" si="6"/>
        <v/>
      </c>
      <c r="R53" s="7" t="str">
        <f t="shared" si="7"/>
        <v/>
      </c>
      <c r="S53" s="7" t="str">
        <f t="shared" si="8"/>
        <v/>
      </c>
    </row>
    <row r="54" spans="1:19">
      <c r="A54" s="50" t="s">
        <v>20</v>
      </c>
      <c r="B54" s="37" t="s">
        <v>11</v>
      </c>
      <c r="C54" s="37">
        <v>1</v>
      </c>
      <c r="D54">
        <v>1</v>
      </c>
      <c r="E54">
        <v>1</v>
      </c>
      <c r="F54" s="39">
        <v>0.25</v>
      </c>
      <c r="K54" s="7" t="str">
        <f t="shared" si="0"/>
        <v/>
      </c>
      <c r="L54" s="7" t="str">
        <f t="shared" si="9"/>
        <v/>
      </c>
      <c r="M54" s="7" t="str">
        <f t="shared" si="2"/>
        <v/>
      </c>
      <c r="N54" s="7" t="str">
        <f t="shared" si="3"/>
        <v/>
      </c>
      <c r="O54" s="7" t="str">
        <f t="shared" si="4"/>
        <v/>
      </c>
      <c r="P54" s="7" t="str">
        <f t="shared" si="5"/>
        <v/>
      </c>
      <c r="Q54" s="7" t="str">
        <f t="shared" si="6"/>
        <v/>
      </c>
      <c r="R54" s="7" t="str">
        <f t="shared" si="7"/>
        <v/>
      </c>
      <c r="S54" s="7" t="str">
        <f t="shared" si="8"/>
        <v/>
      </c>
    </row>
    <row r="55" spans="1:19">
      <c r="A55" t="s">
        <v>66</v>
      </c>
      <c r="B55" s="37"/>
      <c r="C55" s="37"/>
      <c r="F55" s="38"/>
      <c r="G55" s="9">
        <v>1</v>
      </c>
      <c r="H55" s="9">
        <v>6</v>
      </c>
      <c r="I55" s="9">
        <v>12</v>
      </c>
      <c r="J55" s="9">
        <f>(E54-0.05)+34*I55/1000</f>
        <v>1.3579999999999999</v>
      </c>
      <c r="K55" s="7" t="str">
        <f t="shared" si="0"/>
        <v/>
      </c>
      <c r="L55" s="7" t="str">
        <f t="shared" si="9"/>
        <v/>
      </c>
      <c r="M55" s="7" t="str">
        <f t="shared" si="2"/>
        <v/>
      </c>
      <c r="N55" s="7">
        <f t="shared" si="3"/>
        <v>8.1479999999999997</v>
      </c>
      <c r="O55" s="7" t="str">
        <f t="shared" si="4"/>
        <v/>
      </c>
      <c r="P55" s="7" t="str">
        <f t="shared" si="5"/>
        <v/>
      </c>
      <c r="Q55" s="7" t="str">
        <f t="shared" si="6"/>
        <v/>
      </c>
      <c r="R55" s="7" t="str">
        <f t="shared" si="7"/>
        <v/>
      </c>
      <c r="S55" s="7" t="str">
        <f t="shared" si="8"/>
        <v/>
      </c>
    </row>
    <row r="56" spans="1:19">
      <c r="A56" t="s">
        <v>67</v>
      </c>
      <c r="B56" s="37"/>
      <c r="C56" s="37"/>
      <c r="F56" s="38"/>
      <c r="G56" s="9">
        <v>1</v>
      </c>
      <c r="H56" s="9">
        <v>6</v>
      </c>
      <c r="I56" s="9">
        <v>12</v>
      </c>
      <c r="J56" s="9">
        <f>(D54-0.05)+34*I56/1000</f>
        <v>1.3579999999999999</v>
      </c>
      <c r="K56" s="7" t="str">
        <f t="shared" si="0"/>
        <v/>
      </c>
      <c r="L56" s="7" t="str">
        <f t="shared" si="9"/>
        <v/>
      </c>
      <c r="M56" s="7" t="str">
        <f t="shared" si="2"/>
        <v/>
      </c>
      <c r="N56" s="7">
        <f t="shared" si="3"/>
        <v>8.1479999999999997</v>
      </c>
      <c r="O56" s="7" t="str">
        <f t="shared" si="4"/>
        <v/>
      </c>
      <c r="P56" s="7" t="str">
        <f t="shared" si="5"/>
        <v/>
      </c>
      <c r="Q56" s="7" t="str">
        <f t="shared" si="6"/>
        <v/>
      </c>
      <c r="R56" s="7" t="str">
        <f t="shared" si="7"/>
        <v/>
      </c>
      <c r="S56" s="7" t="str">
        <f t="shared" si="8"/>
        <v/>
      </c>
    </row>
    <row r="57" spans="1:19">
      <c r="A57" s="50" t="s">
        <v>107</v>
      </c>
      <c r="B57" s="37" t="s">
        <v>11</v>
      </c>
      <c r="C57" s="37">
        <v>2</v>
      </c>
      <c r="D57">
        <v>1.5</v>
      </c>
      <c r="E57">
        <v>1.5</v>
      </c>
      <c r="F57" s="39">
        <v>0.25</v>
      </c>
      <c r="K57" s="7" t="str">
        <f t="shared" si="0"/>
        <v/>
      </c>
      <c r="L57" s="7" t="str">
        <f t="shared" si="9"/>
        <v/>
      </c>
      <c r="M57" s="7" t="str">
        <f t="shared" si="2"/>
        <v/>
      </c>
      <c r="N57" s="7" t="str">
        <f t="shared" si="3"/>
        <v/>
      </c>
      <c r="O57" s="7" t="str">
        <f t="shared" si="4"/>
        <v/>
      </c>
      <c r="P57" s="7" t="str">
        <f t="shared" si="5"/>
        <v/>
      </c>
      <c r="Q57" s="7" t="str">
        <f t="shared" si="6"/>
        <v/>
      </c>
      <c r="R57" s="7" t="str">
        <f t="shared" si="7"/>
        <v/>
      </c>
      <c r="S57" s="7" t="str">
        <f t="shared" si="8"/>
        <v/>
      </c>
    </row>
    <row r="58" spans="1:19">
      <c r="A58" t="s">
        <v>66</v>
      </c>
      <c r="B58" s="37"/>
      <c r="C58" s="37"/>
      <c r="F58" s="38"/>
      <c r="G58" s="9">
        <v>1</v>
      </c>
      <c r="H58" s="9">
        <v>11</v>
      </c>
      <c r="I58" s="9">
        <v>12</v>
      </c>
      <c r="J58" s="9">
        <f>(E57-0.05)+34*I58/1000</f>
        <v>1.8579999999999999</v>
      </c>
      <c r="K58" s="7" t="str">
        <f t="shared" si="0"/>
        <v/>
      </c>
      <c r="L58" s="7" t="str">
        <f t="shared" si="9"/>
        <v/>
      </c>
      <c r="M58" s="7" t="str">
        <f t="shared" si="2"/>
        <v/>
      </c>
      <c r="N58" s="7">
        <f t="shared" si="3"/>
        <v>20.437999999999999</v>
      </c>
      <c r="O58" s="7" t="str">
        <f t="shared" si="4"/>
        <v/>
      </c>
      <c r="P58" s="7" t="str">
        <f t="shared" si="5"/>
        <v/>
      </c>
      <c r="Q58" s="7" t="str">
        <f t="shared" si="6"/>
        <v/>
      </c>
      <c r="R58" s="7" t="str">
        <f t="shared" si="7"/>
        <v/>
      </c>
      <c r="S58" s="7" t="str">
        <f t="shared" si="8"/>
        <v/>
      </c>
    </row>
    <row r="59" spans="1:19">
      <c r="A59" t="s">
        <v>67</v>
      </c>
      <c r="B59" s="37"/>
      <c r="C59" s="37"/>
      <c r="F59" s="38"/>
      <c r="G59" s="9">
        <v>1</v>
      </c>
      <c r="H59" s="9">
        <v>11</v>
      </c>
      <c r="I59" s="9">
        <v>12</v>
      </c>
      <c r="J59" s="9">
        <f>(D57-0.05)+34*I59/1000</f>
        <v>1.8579999999999999</v>
      </c>
      <c r="K59" s="7" t="str">
        <f t="shared" si="0"/>
        <v/>
      </c>
      <c r="L59" s="7" t="str">
        <f t="shared" si="9"/>
        <v/>
      </c>
      <c r="M59" s="7" t="str">
        <f t="shared" si="2"/>
        <v/>
      </c>
      <c r="N59" s="7">
        <f t="shared" si="3"/>
        <v>20.437999999999999</v>
      </c>
      <c r="O59" s="7" t="str">
        <f t="shared" si="4"/>
        <v/>
      </c>
      <c r="P59" s="7" t="str">
        <f t="shared" si="5"/>
        <v/>
      </c>
      <c r="Q59" s="7" t="str">
        <f t="shared" si="6"/>
        <v/>
      </c>
      <c r="R59" s="7" t="str">
        <f t="shared" si="7"/>
        <v/>
      </c>
      <c r="S59" s="7" t="str">
        <f t="shared" si="8"/>
        <v/>
      </c>
    </row>
    <row r="60" spans="1:19">
      <c r="A60" s="50" t="s">
        <v>107</v>
      </c>
      <c r="B60" s="37" t="s">
        <v>11</v>
      </c>
      <c r="C60" s="37">
        <v>3</v>
      </c>
      <c r="D60">
        <v>1.5</v>
      </c>
      <c r="E60">
        <v>1.5</v>
      </c>
      <c r="F60" s="39">
        <v>0.4</v>
      </c>
      <c r="K60" s="7" t="str">
        <f t="shared" ref="K60:K176" si="10">IF(I60=6,G60*H60*J60,"")</f>
        <v/>
      </c>
      <c r="L60" s="7" t="str">
        <f t="shared" si="9"/>
        <v/>
      </c>
      <c r="M60" s="7" t="str">
        <f t="shared" si="2"/>
        <v/>
      </c>
      <c r="N60" s="7" t="str">
        <f t="shared" ref="N60:N146" si="11">IF(I60=12,G60*H60*J60,"")</f>
        <v/>
      </c>
      <c r="O60" s="7" t="str">
        <f t="shared" ref="O60:O178" si="12">IF(I60=14,G60*H60*J60,"")</f>
        <v/>
      </c>
      <c r="P60" s="7" t="str">
        <f t="shared" si="5"/>
        <v/>
      </c>
      <c r="Q60" s="7" t="str">
        <f t="shared" ref="Q60:Q146" si="13">IF(I60=20,G60*H60*J60,"")</f>
        <v/>
      </c>
      <c r="R60" s="7" t="str">
        <f t="shared" ref="R60:R61" si="14">IF(I60=25,G60*H60*J60,"")</f>
        <v/>
      </c>
      <c r="S60" s="7" t="str">
        <f t="shared" si="8"/>
        <v/>
      </c>
    </row>
    <row r="61" spans="1:19">
      <c r="A61" t="s">
        <v>66</v>
      </c>
      <c r="B61" s="37"/>
      <c r="C61" s="37"/>
      <c r="F61" s="38"/>
      <c r="G61" s="9">
        <v>1</v>
      </c>
      <c r="H61" s="9">
        <v>11</v>
      </c>
      <c r="I61" s="9">
        <v>12</v>
      </c>
      <c r="J61" s="9">
        <f>(E60-0.05)+34*I61/1000</f>
        <v>1.8579999999999999</v>
      </c>
      <c r="K61" s="7" t="str">
        <f t="shared" si="10"/>
        <v/>
      </c>
      <c r="L61" s="7" t="str">
        <f t="shared" si="9"/>
        <v/>
      </c>
      <c r="M61" s="7" t="str">
        <f t="shared" ref="M61:M176" si="15">IF(I61=10,G61*H61*J61,"")</f>
        <v/>
      </c>
      <c r="N61" s="7">
        <f t="shared" si="11"/>
        <v>20.437999999999999</v>
      </c>
      <c r="O61" s="7" t="str">
        <f t="shared" si="12"/>
        <v/>
      </c>
      <c r="P61" s="7" t="str">
        <f t="shared" ref="P61:P140" si="16">IF(I61=16,G61*H61*J61,"")</f>
        <v/>
      </c>
      <c r="Q61" s="7" t="str">
        <f t="shared" si="13"/>
        <v/>
      </c>
      <c r="R61" s="7" t="str">
        <f t="shared" si="14"/>
        <v/>
      </c>
      <c r="S61" s="7" t="str">
        <f t="shared" ref="S61:S146" si="17">IF(I61=32,G61*H61*J61,"")</f>
        <v/>
      </c>
    </row>
    <row r="62" spans="1:19">
      <c r="A62" t="s">
        <v>67</v>
      </c>
      <c r="B62" s="37"/>
      <c r="C62" s="37"/>
      <c r="F62" s="38"/>
      <c r="G62" s="9">
        <v>1</v>
      </c>
      <c r="H62" s="9">
        <v>11</v>
      </c>
      <c r="I62" s="9">
        <v>12</v>
      </c>
      <c r="J62" s="9">
        <f>(D60-0.05)+34*I62/1000</f>
        <v>1.8579999999999999</v>
      </c>
      <c r="K62" s="7" t="str">
        <f t="shared" si="10"/>
        <v/>
      </c>
      <c r="L62" s="7" t="str">
        <f t="shared" si="9"/>
        <v/>
      </c>
      <c r="M62" s="7" t="str">
        <f t="shared" si="15"/>
        <v/>
      </c>
      <c r="N62" s="7">
        <f t="shared" si="11"/>
        <v>20.437999999999999</v>
      </c>
      <c r="O62" s="7" t="str">
        <f t="shared" si="12"/>
        <v/>
      </c>
      <c r="P62" s="7" t="str">
        <f t="shared" si="16"/>
        <v/>
      </c>
      <c r="Q62" s="7" t="str">
        <f t="shared" si="13"/>
        <v/>
      </c>
      <c r="S62" s="7" t="str">
        <f t="shared" si="17"/>
        <v/>
      </c>
    </row>
    <row r="63" spans="1:19">
      <c r="A63" s="50" t="s">
        <v>108</v>
      </c>
      <c r="B63" s="37" t="s">
        <v>11</v>
      </c>
      <c r="C63" s="37">
        <v>5</v>
      </c>
      <c r="D63">
        <v>1.5</v>
      </c>
      <c r="E63">
        <v>1.5</v>
      </c>
      <c r="F63" s="39">
        <v>0.4</v>
      </c>
      <c r="K63" s="7" t="str">
        <f t="shared" si="10"/>
        <v/>
      </c>
      <c r="L63" s="7" t="str">
        <f t="shared" ref="L63:L134" si="18">IF(I63=8,G63*H63*J63,"")</f>
        <v/>
      </c>
      <c r="M63" s="7" t="str">
        <f t="shared" si="15"/>
        <v/>
      </c>
      <c r="N63" s="7" t="str">
        <f t="shared" si="11"/>
        <v/>
      </c>
      <c r="O63" s="7" t="str">
        <f t="shared" si="12"/>
        <v/>
      </c>
      <c r="P63" s="7" t="str">
        <f t="shared" si="16"/>
        <v/>
      </c>
      <c r="Q63" s="7" t="str">
        <f t="shared" si="13"/>
        <v/>
      </c>
      <c r="S63" s="7" t="str">
        <f t="shared" si="17"/>
        <v/>
      </c>
    </row>
    <row r="64" spans="1:19">
      <c r="A64" t="s">
        <v>66</v>
      </c>
      <c r="B64" s="37"/>
      <c r="C64" s="37"/>
      <c r="F64" s="38"/>
      <c r="G64" s="9">
        <v>1</v>
      </c>
      <c r="H64" s="9">
        <v>11</v>
      </c>
      <c r="I64" s="9">
        <v>12</v>
      </c>
      <c r="J64" s="9">
        <f>(E63-0.05)+34*I64/1000</f>
        <v>1.8579999999999999</v>
      </c>
      <c r="K64" s="7" t="str">
        <f t="shared" si="10"/>
        <v/>
      </c>
      <c r="L64" s="7" t="str">
        <f t="shared" si="18"/>
        <v/>
      </c>
      <c r="M64" s="7" t="str">
        <f t="shared" si="15"/>
        <v/>
      </c>
      <c r="N64" s="7">
        <f t="shared" si="11"/>
        <v>20.437999999999999</v>
      </c>
      <c r="O64" s="7" t="str">
        <f t="shared" si="12"/>
        <v/>
      </c>
      <c r="P64" s="7" t="str">
        <f t="shared" si="16"/>
        <v/>
      </c>
      <c r="Q64" s="7" t="str">
        <f t="shared" si="13"/>
        <v/>
      </c>
      <c r="S64" s="7" t="str">
        <f t="shared" si="17"/>
        <v/>
      </c>
    </row>
    <row r="65" spans="1:20">
      <c r="A65" t="s">
        <v>67</v>
      </c>
      <c r="B65" s="37"/>
      <c r="C65" s="37"/>
      <c r="F65" s="38"/>
      <c r="G65" s="9">
        <v>1</v>
      </c>
      <c r="H65" s="9">
        <v>11</v>
      </c>
      <c r="I65" s="9">
        <v>12</v>
      </c>
      <c r="J65" s="9">
        <f>(D63-0.05)+34*I65/1000</f>
        <v>1.8579999999999999</v>
      </c>
      <c r="K65" s="7" t="str">
        <f t="shared" si="10"/>
        <v/>
      </c>
      <c r="L65" s="7" t="str">
        <f t="shared" si="18"/>
        <v/>
      </c>
      <c r="M65" s="7" t="str">
        <f t="shared" si="15"/>
        <v/>
      </c>
      <c r="N65" s="7">
        <f t="shared" si="11"/>
        <v>20.437999999999999</v>
      </c>
      <c r="O65" s="7" t="str">
        <f t="shared" si="12"/>
        <v/>
      </c>
      <c r="P65" s="7" t="str">
        <f t="shared" si="16"/>
        <v/>
      </c>
      <c r="Q65" s="7" t="str">
        <f t="shared" si="13"/>
        <v/>
      </c>
      <c r="S65" s="7" t="str">
        <f t="shared" si="17"/>
        <v/>
      </c>
    </row>
    <row r="66" spans="1:20">
      <c r="A66" s="50" t="s">
        <v>109</v>
      </c>
      <c r="B66" s="37" t="s">
        <v>11</v>
      </c>
      <c r="C66" s="37">
        <v>6</v>
      </c>
      <c r="D66">
        <v>1.2</v>
      </c>
      <c r="E66">
        <v>1.2</v>
      </c>
      <c r="F66" s="39">
        <v>0.3</v>
      </c>
      <c r="K66" s="7" t="str">
        <f t="shared" si="10"/>
        <v/>
      </c>
      <c r="L66" s="7" t="str">
        <f t="shared" si="18"/>
        <v/>
      </c>
      <c r="M66" s="7" t="str">
        <f t="shared" si="15"/>
        <v/>
      </c>
      <c r="N66" s="7" t="str">
        <f t="shared" si="11"/>
        <v/>
      </c>
      <c r="O66" s="7" t="str">
        <f t="shared" si="12"/>
        <v/>
      </c>
      <c r="P66" s="7" t="str">
        <f t="shared" si="16"/>
        <v/>
      </c>
      <c r="Q66" s="7" t="str">
        <f t="shared" si="13"/>
        <v/>
      </c>
      <c r="S66" s="7" t="str">
        <f t="shared" si="17"/>
        <v/>
      </c>
    </row>
    <row r="67" spans="1:20">
      <c r="A67" t="s">
        <v>66</v>
      </c>
      <c r="B67" s="37"/>
      <c r="C67" s="37"/>
      <c r="F67" s="38"/>
      <c r="G67" s="9">
        <v>1</v>
      </c>
      <c r="H67" s="9">
        <v>6</v>
      </c>
      <c r="I67" s="9">
        <v>12</v>
      </c>
      <c r="J67" s="9">
        <f>(E66-0.05)+34*I67/1000</f>
        <v>1.5579999999999998</v>
      </c>
      <c r="K67" s="7" t="str">
        <f t="shared" si="10"/>
        <v/>
      </c>
      <c r="L67" s="7" t="str">
        <f t="shared" si="18"/>
        <v/>
      </c>
      <c r="M67" s="7" t="str">
        <f t="shared" si="15"/>
        <v/>
      </c>
      <c r="N67" s="7">
        <f t="shared" si="11"/>
        <v>9.347999999999999</v>
      </c>
      <c r="O67" s="7" t="str">
        <f t="shared" si="12"/>
        <v/>
      </c>
      <c r="P67" s="7" t="str">
        <f t="shared" si="16"/>
        <v/>
      </c>
      <c r="Q67" s="7" t="str">
        <f t="shared" si="13"/>
        <v/>
      </c>
      <c r="S67" s="7" t="str">
        <f t="shared" si="17"/>
        <v/>
      </c>
    </row>
    <row r="68" spans="1:20">
      <c r="A68" t="s">
        <v>67</v>
      </c>
      <c r="B68" s="37"/>
      <c r="C68" s="37"/>
      <c r="F68" s="38"/>
      <c r="G68" s="9">
        <v>1</v>
      </c>
      <c r="H68" s="9">
        <v>6</v>
      </c>
      <c r="I68" s="9">
        <v>12</v>
      </c>
      <c r="J68" s="9">
        <f>(D66-0.05)+34*I68/1000</f>
        <v>1.5579999999999998</v>
      </c>
      <c r="K68" s="7" t="str">
        <f t="shared" si="10"/>
        <v/>
      </c>
      <c r="L68" s="7" t="str">
        <f t="shared" si="18"/>
        <v/>
      </c>
      <c r="M68" s="7" t="str">
        <f t="shared" si="15"/>
        <v/>
      </c>
      <c r="N68" s="7">
        <f t="shared" si="11"/>
        <v>9.347999999999999</v>
      </c>
      <c r="O68" s="7" t="str">
        <f t="shared" si="12"/>
        <v/>
      </c>
      <c r="P68" s="7" t="str">
        <f t="shared" si="16"/>
        <v/>
      </c>
      <c r="Q68" s="7" t="str">
        <f t="shared" si="13"/>
        <v/>
      </c>
      <c r="S68" s="7" t="str">
        <f t="shared" si="17"/>
        <v/>
      </c>
    </row>
    <row r="69" spans="1:20">
      <c r="A69" s="50" t="s">
        <v>109</v>
      </c>
      <c r="B69" s="37" t="s">
        <v>11</v>
      </c>
      <c r="C69" s="37">
        <v>7</v>
      </c>
      <c r="D69">
        <v>1.2</v>
      </c>
      <c r="E69">
        <v>1.2</v>
      </c>
      <c r="F69" s="39">
        <v>0.3</v>
      </c>
      <c r="K69" s="7" t="str">
        <f t="shared" si="10"/>
        <v/>
      </c>
      <c r="L69" s="7" t="str">
        <f t="shared" si="18"/>
        <v/>
      </c>
      <c r="M69" s="7" t="str">
        <f t="shared" si="15"/>
        <v/>
      </c>
      <c r="N69" s="7" t="str">
        <f t="shared" si="11"/>
        <v/>
      </c>
      <c r="O69" s="7" t="str">
        <f t="shared" si="12"/>
        <v/>
      </c>
      <c r="P69" s="7" t="str">
        <f t="shared" si="16"/>
        <v/>
      </c>
      <c r="Q69" s="7" t="str">
        <f t="shared" si="13"/>
        <v/>
      </c>
      <c r="S69" s="7" t="str">
        <f t="shared" si="17"/>
        <v/>
      </c>
    </row>
    <row r="70" spans="1:20">
      <c r="A70" t="s">
        <v>66</v>
      </c>
      <c r="B70" s="37"/>
      <c r="C70" s="37"/>
      <c r="F70" s="38"/>
      <c r="G70" s="9">
        <v>1</v>
      </c>
      <c r="H70" s="9">
        <v>6</v>
      </c>
      <c r="I70" s="9">
        <v>12</v>
      </c>
      <c r="J70" s="9">
        <f>(E69-0.05)+34*I70/1000</f>
        <v>1.5579999999999998</v>
      </c>
      <c r="K70" s="7" t="str">
        <f t="shared" si="10"/>
        <v/>
      </c>
      <c r="L70" s="7" t="str">
        <f t="shared" si="18"/>
        <v/>
      </c>
      <c r="M70" s="7" t="str">
        <f t="shared" si="15"/>
        <v/>
      </c>
      <c r="N70" s="7">
        <f t="shared" si="11"/>
        <v>9.347999999999999</v>
      </c>
      <c r="O70" s="7" t="str">
        <f t="shared" si="12"/>
        <v/>
      </c>
      <c r="P70" s="7" t="str">
        <f t="shared" si="16"/>
        <v/>
      </c>
      <c r="Q70" s="7" t="str">
        <f t="shared" si="13"/>
        <v/>
      </c>
      <c r="S70" s="7" t="str">
        <f t="shared" si="17"/>
        <v/>
      </c>
    </row>
    <row r="71" spans="1:20">
      <c r="A71" t="s">
        <v>67</v>
      </c>
      <c r="B71" s="37"/>
      <c r="C71" s="37"/>
      <c r="F71" s="38"/>
      <c r="G71" s="9">
        <v>1</v>
      </c>
      <c r="H71" s="9">
        <v>6</v>
      </c>
      <c r="I71" s="9">
        <v>12</v>
      </c>
      <c r="J71" s="9">
        <f>(D69-0.05)+34*I71/1000</f>
        <v>1.5579999999999998</v>
      </c>
      <c r="K71" s="7" t="str">
        <f t="shared" si="10"/>
        <v/>
      </c>
      <c r="L71" s="7" t="str">
        <f t="shared" si="18"/>
        <v/>
      </c>
      <c r="M71" s="7" t="str">
        <f t="shared" si="15"/>
        <v/>
      </c>
      <c r="N71" s="7">
        <f t="shared" si="11"/>
        <v>9.347999999999999</v>
      </c>
      <c r="O71" s="7" t="str">
        <f t="shared" si="12"/>
        <v/>
      </c>
      <c r="P71" s="7" t="str">
        <f t="shared" si="16"/>
        <v/>
      </c>
      <c r="Q71" s="7" t="str">
        <f t="shared" si="13"/>
        <v/>
      </c>
      <c r="S71" s="7" t="str">
        <f t="shared" si="17"/>
        <v/>
      </c>
    </row>
    <row r="72" spans="1:20">
      <c r="A72" s="50" t="s">
        <v>109</v>
      </c>
      <c r="B72" s="53" t="s">
        <v>11</v>
      </c>
      <c r="C72" s="53">
        <v>7</v>
      </c>
      <c r="D72">
        <v>1.2</v>
      </c>
      <c r="E72">
        <v>1.2</v>
      </c>
      <c r="F72" s="55">
        <v>0.3</v>
      </c>
      <c r="K72" s="7" t="str">
        <f t="shared" ref="K72:K74" si="19">IF(I72=6,G72*H72*J72,"")</f>
        <v/>
      </c>
      <c r="L72" s="7" t="str">
        <f t="shared" ref="L72:L74" si="20">IF(I72=8,G72*H72*J72,"")</f>
        <v/>
      </c>
      <c r="M72" s="7" t="str">
        <f t="shared" ref="M72:M74" si="21">IF(I72=10,G72*H72*J72,"")</f>
        <v/>
      </c>
      <c r="N72" s="7" t="str">
        <f t="shared" ref="N72:N74" si="22">IF(I72=12,G72*H72*J72,"")</f>
        <v/>
      </c>
      <c r="O72" s="7" t="str">
        <f t="shared" ref="O72:O74" si="23">IF(I72=14,G72*H72*J72,"")</f>
        <v/>
      </c>
      <c r="P72" s="7" t="str">
        <f t="shared" ref="P72:P74" si="24">IF(I72=16,G72*H72*J72,"")</f>
        <v/>
      </c>
      <c r="Q72" s="7" t="str">
        <f t="shared" ref="Q72:Q74" si="25">IF(I72=20,G72*H72*J72,"")</f>
        <v/>
      </c>
      <c r="S72" s="7" t="str">
        <f t="shared" ref="S72:S74" si="26">IF(I72=32,G72*H72*J72,"")</f>
        <v/>
      </c>
    </row>
    <row r="73" spans="1:20">
      <c r="A73" t="s">
        <v>66</v>
      </c>
      <c r="B73" s="53"/>
      <c r="C73" s="53"/>
      <c r="F73" s="54"/>
      <c r="G73" s="9">
        <v>1</v>
      </c>
      <c r="H73" s="9">
        <v>6</v>
      </c>
      <c r="I73" s="9">
        <v>12</v>
      </c>
      <c r="J73" s="9">
        <f>(E72-0.05)+34*I73/1000</f>
        <v>1.5579999999999998</v>
      </c>
      <c r="K73" s="7" t="str">
        <f t="shared" si="19"/>
        <v/>
      </c>
      <c r="L73" s="7" t="str">
        <f t="shared" si="20"/>
        <v/>
      </c>
      <c r="M73" s="7" t="str">
        <f t="shared" si="21"/>
        <v/>
      </c>
      <c r="N73" s="7">
        <f t="shared" si="22"/>
        <v>9.347999999999999</v>
      </c>
      <c r="O73" s="7" t="str">
        <f t="shared" si="23"/>
        <v/>
      </c>
      <c r="P73" s="7" t="str">
        <f t="shared" si="24"/>
        <v/>
      </c>
      <c r="Q73" s="7" t="str">
        <f t="shared" si="25"/>
        <v/>
      </c>
      <c r="S73" s="7" t="str">
        <f t="shared" si="26"/>
        <v/>
      </c>
    </row>
    <row r="74" spans="1:20">
      <c r="A74" t="s">
        <v>67</v>
      </c>
      <c r="B74" s="53"/>
      <c r="C74" s="53"/>
      <c r="F74" s="54"/>
      <c r="G74" s="9">
        <v>1</v>
      </c>
      <c r="H74" s="9">
        <v>6</v>
      </c>
      <c r="I74" s="9">
        <v>12</v>
      </c>
      <c r="J74" s="9">
        <f>(D72-0.05)+34*I74/1000</f>
        <v>1.5579999999999998</v>
      </c>
      <c r="K74" s="7" t="str">
        <f t="shared" si="19"/>
        <v/>
      </c>
      <c r="L74" s="7" t="str">
        <f t="shared" si="20"/>
        <v/>
      </c>
      <c r="M74" s="7" t="str">
        <f t="shared" si="21"/>
        <v/>
      </c>
      <c r="N74" s="7">
        <f t="shared" si="22"/>
        <v>9.347999999999999</v>
      </c>
      <c r="O74" s="7" t="str">
        <f t="shared" si="23"/>
        <v/>
      </c>
      <c r="P74" s="7" t="str">
        <f t="shared" si="24"/>
        <v/>
      </c>
      <c r="Q74" s="7" t="str">
        <f t="shared" si="25"/>
        <v/>
      </c>
      <c r="S74" s="7" t="str">
        <f t="shared" si="26"/>
        <v/>
      </c>
    </row>
    <row r="75" spans="1:20">
      <c r="A75" s="154" t="s">
        <v>68</v>
      </c>
      <c r="B75" s="154"/>
      <c r="C75" s="154"/>
      <c r="D75" s="3"/>
      <c r="E75" s="3"/>
      <c r="F75" s="3"/>
      <c r="K75" s="7" t="str">
        <f t="shared" si="10"/>
        <v/>
      </c>
      <c r="L75" s="7" t="str">
        <f t="shared" si="18"/>
        <v/>
      </c>
      <c r="M75" s="7" t="str">
        <f t="shared" si="15"/>
        <v/>
      </c>
      <c r="N75" s="7" t="str">
        <f t="shared" si="11"/>
        <v/>
      </c>
      <c r="O75" s="7" t="str">
        <f t="shared" si="12"/>
        <v/>
      </c>
      <c r="P75" s="7" t="str">
        <f t="shared" si="16"/>
        <v/>
      </c>
      <c r="Q75" s="7" t="str">
        <f t="shared" si="13"/>
        <v/>
      </c>
      <c r="S75" s="7" t="str">
        <f t="shared" si="17"/>
        <v/>
      </c>
      <c r="T75" t="s">
        <v>88</v>
      </c>
    </row>
    <row r="76" spans="1:20" s="45" customFormat="1">
      <c r="A76"/>
      <c r="B76" s="2" t="s">
        <v>2</v>
      </c>
      <c r="C76" s="2" t="s">
        <v>3</v>
      </c>
      <c r="D76" s="2" t="s">
        <v>12</v>
      </c>
      <c r="E76" s="43"/>
      <c r="F76" s="43"/>
      <c r="G76" s="44"/>
      <c r="H76" s="44"/>
      <c r="I76" s="44"/>
      <c r="J76" s="44"/>
      <c r="K76" s="7" t="str">
        <f t="shared" si="10"/>
        <v/>
      </c>
      <c r="L76" s="7" t="str">
        <f t="shared" si="18"/>
        <v/>
      </c>
      <c r="M76" s="7" t="str">
        <f t="shared" si="15"/>
        <v/>
      </c>
      <c r="N76" s="7" t="str">
        <f t="shared" si="11"/>
        <v/>
      </c>
      <c r="O76" s="7" t="str">
        <f t="shared" si="12"/>
        <v/>
      </c>
      <c r="P76" s="7" t="str">
        <f t="shared" si="16"/>
        <v/>
      </c>
      <c r="Q76" s="7" t="str">
        <f t="shared" si="13"/>
        <v/>
      </c>
      <c r="R76" s="7"/>
      <c r="S76" s="7" t="str">
        <f t="shared" si="17"/>
        <v/>
      </c>
      <c r="T76" s="45">
        <v>1.8</v>
      </c>
    </row>
    <row r="77" spans="1:20" s="45" customFormat="1">
      <c r="A77"/>
      <c r="B77" s="40" t="s">
        <v>4</v>
      </c>
      <c r="C77" s="40">
        <v>1</v>
      </c>
      <c r="D77" s="43" t="s">
        <v>43</v>
      </c>
      <c r="E77" s="43">
        <v>0.3</v>
      </c>
      <c r="F77" s="43">
        <v>0.3</v>
      </c>
      <c r="G77" s="44"/>
      <c r="H77" s="44"/>
      <c r="I77" s="44"/>
      <c r="J77" s="44"/>
      <c r="K77" s="7" t="str">
        <f t="shared" si="10"/>
        <v/>
      </c>
      <c r="L77" s="7" t="str">
        <f t="shared" si="18"/>
        <v/>
      </c>
      <c r="M77" s="7" t="str">
        <f t="shared" si="15"/>
        <v/>
      </c>
      <c r="N77" s="7" t="str">
        <f t="shared" si="11"/>
        <v/>
      </c>
      <c r="O77" s="7" t="str">
        <f t="shared" si="12"/>
        <v/>
      </c>
      <c r="P77" s="7" t="str">
        <f t="shared" si="16"/>
        <v/>
      </c>
      <c r="Q77" s="7" t="str">
        <f t="shared" si="13"/>
        <v/>
      </c>
      <c r="R77" s="7"/>
      <c r="S77" s="7" t="str">
        <f t="shared" si="17"/>
        <v/>
      </c>
    </row>
    <row r="78" spans="1:20" s="45" customFormat="1">
      <c r="A78" t="s">
        <v>86</v>
      </c>
      <c r="B78" s="40"/>
      <c r="C78" s="40"/>
      <c r="D78" s="43"/>
      <c r="E78" s="43"/>
      <c r="F78" s="43"/>
      <c r="G78" s="44">
        <v>1</v>
      </c>
      <c r="H78" s="44">
        <v>4</v>
      </c>
      <c r="I78" s="44">
        <v>14</v>
      </c>
      <c r="J78" s="44">
        <f>$T$76+18*I78/1000</f>
        <v>2.052</v>
      </c>
      <c r="K78" s="7" t="str">
        <f t="shared" si="10"/>
        <v/>
      </c>
      <c r="L78" s="7" t="str">
        <f t="shared" si="18"/>
        <v/>
      </c>
      <c r="M78" s="7" t="str">
        <f t="shared" si="15"/>
        <v/>
      </c>
      <c r="N78" s="7" t="str">
        <f t="shared" si="11"/>
        <v/>
      </c>
      <c r="O78" s="7">
        <f t="shared" si="12"/>
        <v>8.2080000000000002</v>
      </c>
      <c r="P78" s="7" t="str">
        <f t="shared" si="16"/>
        <v/>
      </c>
      <c r="Q78" s="7" t="str">
        <f t="shared" si="13"/>
        <v/>
      </c>
      <c r="R78" s="7"/>
      <c r="S78" s="7" t="str">
        <f t="shared" si="17"/>
        <v/>
      </c>
    </row>
    <row r="79" spans="1:20" s="45" customFormat="1">
      <c r="A79" t="s">
        <v>86</v>
      </c>
      <c r="B79" s="40"/>
      <c r="C79" s="40"/>
      <c r="D79" s="43"/>
      <c r="E79" s="43"/>
      <c r="F79" s="43"/>
      <c r="G79" s="44">
        <v>1</v>
      </c>
      <c r="H79" s="44">
        <v>2</v>
      </c>
      <c r="I79" s="44">
        <v>14</v>
      </c>
      <c r="J79" s="44">
        <f>$T$76+18*I79/1000</f>
        <v>2.052</v>
      </c>
      <c r="K79" s="7"/>
      <c r="L79" s="7" t="str">
        <f t="shared" si="18"/>
        <v/>
      </c>
      <c r="M79" s="7" t="str">
        <f t="shared" si="15"/>
        <v/>
      </c>
      <c r="N79" s="7"/>
      <c r="O79" s="7"/>
      <c r="P79" s="7"/>
      <c r="Q79" s="7"/>
      <c r="R79" s="7"/>
      <c r="S79" s="7"/>
    </row>
    <row r="80" spans="1:20" s="45" customFormat="1">
      <c r="A80" t="s">
        <v>76</v>
      </c>
      <c r="B80" s="40"/>
      <c r="C80" s="40"/>
      <c r="D80" s="43"/>
      <c r="E80" s="43"/>
      <c r="F80" s="43"/>
      <c r="G80" s="44">
        <v>1</v>
      </c>
      <c r="H80" s="44">
        <f>ROUNDUP(($T$76-0.25)/0.15,0)</f>
        <v>11</v>
      </c>
      <c r="I80" s="44">
        <v>6</v>
      </c>
      <c r="J80" s="44">
        <f>2*(E77+F77)+20.5*I80/1000</f>
        <v>1.323</v>
      </c>
      <c r="K80" s="7">
        <f t="shared" si="10"/>
        <v>14.552999999999999</v>
      </c>
      <c r="L80" s="7" t="str">
        <f t="shared" si="18"/>
        <v/>
      </c>
      <c r="M80" s="7" t="str">
        <f t="shared" si="15"/>
        <v/>
      </c>
      <c r="N80" s="7" t="str">
        <f t="shared" si="11"/>
        <v/>
      </c>
      <c r="O80" s="7" t="str">
        <f t="shared" si="12"/>
        <v/>
      </c>
      <c r="P80" s="7" t="str">
        <f t="shared" si="16"/>
        <v/>
      </c>
      <c r="Q80" s="7" t="str">
        <f t="shared" si="13"/>
        <v/>
      </c>
      <c r="R80" s="7"/>
      <c r="S80" s="7" t="str">
        <f t="shared" si="17"/>
        <v/>
      </c>
    </row>
    <row r="81" spans="1:19" s="45" customFormat="1">
      <c r="A81" t="s">
        <v>77</v>
      </c>
      <c r="B81" s="40"/>
      <c r="C81" s="40"/>
      <c r="D81" s="43"/>
      <c r="E81" s="43"/>
      <c r="F81" s="43"/>
      <c r="G81" s="44">
        <v>1</v>
      </c>
      <c r="H81" s="44">
        <f>ROUNDUP(($T$76-0.25)/0.15,0)</f>
        <v>11</v>
      </c>
      <c r="I81" s="44">
        <v>6</v>
      </c>
      <c r="J81" s="44">
        <f>E77+22*I81/1000</f>
        <v>0.432</v>
      </c>
      <c r="K81" s="7">
        <f t="shared" si="10"/>
        <v>4.7519999999999998</v>
      </c>
      <c r="L81" s="7" t="str">
        <f t="shared" si="18"/>
        <v/>
      </c>
      <c r="M81" s="7" t="str">
        <f t="shared" si="15"/>
        <v/>
      </c>
      <c r="N81" s="7" t="str">
        <f t="shared" si="11"/>
        <v/>
      </c>
      <c r="O81" s="7" t="str">
        <f t="shared" si="12"/>
        <v/>
      </c>
      <c r="P81" s="7" t="str">
        <f t="shared" si="16"/>
        <v/>
      </c>
      <c r="Q81" s="7" t="str">
        <f t="shared" si="13"/>
        <v/>
      </c>
      <c r="R81" s="7"/>
      <c r="S81" s="7" t="str">
        <f t="shared" si="17"/>
        <v/>
      </c>
    </row>
    <row r="82" spans="1:19" s="45" customFormat="1">
      <c r="A82"/>
      <c r="B82" s="40" t="s">
        <v>4</v>
      </c>
      <c r="C82" s="41">
        <v>2</v>
      </c>
      <c r="D82" s="43" t="s">
        <v>42</v>
      </c>
      <c r="E82" s="43">
        <v>0.4</v>
      </c>
      <c r="F82" s="43">
        <v>0.4</v>
      </c>
      <c r="G82" s="44"/>
      <c r="H82" s="44"/>
      <c r="I82" s="44"/>
      <c r="J82" s="44"/>
      <c r="K82" s="7" t="str">
        <f t="shared" si="10"/>
        <v/>
      </c>
      <c r="L82" s="7" t="str">
        <f t="shared" si="18"/>
        <v/>
      </c>
      <c r="M82" s="7" t="str">
        <f t="shared" si="15"/>
        <v/>
      </c>
      <c r="N82" s="7" t="str">
        <f t="shared" si="11"/>
        <v/>
      </c>
      <c r="O82" s="7" t="str">
        <f t="shared" si="12"/>
        <v/>
      </c>
      <c r="P82" s="7" t="str">
        <f t="shared" si="16"/>
        <v/>
      </c>
      <c r="Q82" s="7" t="str">
        <f t="shared" si="13"/>
        <v/>
      </c>
      <c r="R82" s="7"/>
      <c r="S82" s="7" t="str">
        <f t="shared" si="17"/>
        <v/>
      </c>
    </row>
    <row r="83" spans="1:19" s="45" customFormat="1">
      <c r="A83" t="s">
        <v>86</v>
      </c>
      <c r="B83" s="40"/>
      <c r="C83" s="40"/>
      <c r="D83" s="43"/>
      <c r="E83" s="43"/>
      <c r="F83" s="43"/>
      <c r="G83" s="44">
        <v>1</v>
      </c>
      <c r="H83" s="44">
        <v>4</v>
      </c>
      <c r="I83" s="44">
        <v>14</v>
      </c>
      <c r="J83" s="44">
        <f>$T$76+18*I83/1000</f>
        <v>2.052</v>
      </c>
      <c r="K83" s="7" t="str">
        <f t="shared" si="10"/>
        <v/>
      </c>
      <c r="L83" s="7" t="str">
        <f t="shared" si="18"/>
        <v/>
      </c>
      <c r="M83" s="7" t="str">
        <f t="shared" si="15"/>
        <v/>
      </c>
      <c r="N83" s="7" t="str">
        <f t="shared" si="11"/>
        <v/>
      </c>
      <c r="O83" s="7">
        <f t="shared" si="12"/>
        <v>8.2080000000000002</v>
      </c>
      <c r="P83" s="7" t="str">
        <f t="shared" si="16"/>
        <v/>
      </c>
      <c r="Q83" s="7" t="str">
        <f t="shared" si="13"/>
        <v/>
      </c>
      <c r="R83" s="7"/>
      <c r="S83" s="7" t="str">
        <f t="shared" si="17"/>
        <v/>
      </c>
    </row>
    <row r="84" spans="1:19" s="45" customFormat="1">
      <c r="A84" t="s">
        <v>86</v>
      </c>
      <c r="B84" s="40"/>
      <c r="C84" s="40"/>
      <c r="D84" s="43"/>
      <c r="E84" s="43"/>
      <c r="F84" s="43"/>
      <c r="G84" s="44">
        <v>1</v>
      </c>
      <c r="H84" s="44">
        <v>2</v>
      </c>
      <c r="I84" s="44">
        <v>14</v>
      </c>
      <c r="J84" s="44">
        <f>$T$76+18*I84/1000</f>
        <v>2.052</v>
      </c>
      <c r="K84" s="7"/>
      <c r="L84" s="7" t="str">
        <f t="shared" si="18"/>
        <v/>
      </c>
      <c r="M84" s="7" t="str">
        <f t="shared" si="15"/>
        <v/>
      </c>
      <c r="N84" s="7"/>
      <c r="O84" s="7"/>
      <c r="P84" s="7"/>
      <c r="Q84" s="7"/>
      <c r="R84" s="7"/>
      <c r="S84" s="7"/>
    </row>
    <row r="85" spans="1:19" s="45" customFormat="1">
      <c r="A85" t="s">
        <v>76</v>
      </c>
      <c r="B85" s="40"/>
      <c r="C85" s="40"/>
      <c r="D85" s="43"/>
      <c r="E85" s="43"/>
      <c r="F85" s="43"/>
      <c r="G85" s="44">
        <v>1</v>
      </c>
      <c r="H85" s="44">
        <f>ROUNDUP(($T$76-0.25)/0.15,0)</f>
        <v>11</v>
      </c>
      <c r="I85" s="44">
        <v>6</v>
      </c>
      <c r="J85" s="44">
        <f>2*(E82+F82)+20.5*I85/1000</f>
        <v>1.7230000000000001</v>
      </c>
      <c r="K85" s="7"/>
      <c r="L85" s="7" t="str">
        <f t="shared" si="18"/>
        <v/>
      </c>
      <c r="M85" s="7" t="str">
        <f t="shared" si="15"/>
        <v/>
      </c>
      <c r="N85" s="7"/>
      <c r="O85" s="7"/>
      <c r="P85" s="7" t="str">
        <f t="shared" si="16"/>
        <v/>
      </c>
      <c r="Q85" s="7"/>
      <c r="R85" s="7"/>
      <c r="S85" s="7"/>
    </row>
    <row r="86" spans="1:19" s="45" customFormat="1">
      <c r="A86" t="s">
        <v>77</v>
      </c>
      <c r="B86" s="40"/>
      <c r="C86" s="40"/>
      <c r="D86" s="43"/>
      <c r="E86" s="43"/>
      <c r="F86" s="43"/>
      <c r="G86" s="44">
        <v>1</v>
      </c>
      <c r="H86" s="44">
        <f>ROUNDUP(($T$76-0.25)/0.15,0)</f>
        <v>11</v>
      </c>
      <c r="I86" s="44">
        <v>6</v>
      </c>
      <c r="J86" s="44">
        <f>E82+22*I86/1000</f>
        <v>0.53200000000000003</v>
      </c>
      <c r="K86" s="7">
        <f t="shared" si="10"/>
        <v>5.8520000000000003</v>
      </c>
      <c r="L86" s="7" t="str">
        <f t="shared" si="18"/>
        <v/>
      </c>
      <c r="M86" s="7" t="str">
        <f t="shared" si="15"/>
        <v/>
      </c>
      <c r="N86" s="7" t="str">
        <f t="shared" si="11"/>
        <v/>
      </c>
      <c r="O86" s="7" t="str">
        <f t="shared" si="12"/>
        <v/>
      </c>
      <c r="P86" s="7" t="str">
        <f t="shared" si="16"/>
        <v/>
      </c>
      <c r="Q86" s="7" t="str">
        <f t="shared" si="13"/>
        <v/>
      </c>
      <c r="R86" s="7"/>
      <c r="S86" s="7" t="str">
        <f t="shared" si="17"/>
        <v/>
      </c>
    </row>
    <row r="87" spans="1:19" s="45" customFormat="1">
      <c r="A87"/>
      <c r="B87" s="40" t="s">
        <v>4</v>
      </c>
      <c r="C87" s="41">
        <v>4</v>
      </c>
      <c r="D87" s="43" t="s">
        <v>42</v>
      </c>
      <c r="E87" s="43">
        <v>0.4</v>
      </c>
      <c r="F87" s="43">
        <v>0.4</v>
      </c>
      <c r="G87" s="44"/>
      <c r="H87" s="44"/>
      <c r="I87" s="44"/>
      <c r="J87" s="44"/>
      <c r="K87" s="7" t="str">
        <f t="shared" si="10"/>
        <v/>
      </c>
      <c r="L87" s="7" t="str">
        <f t="shared" si="18"/>
        <v/>
      </c>
      <c r="M87" s="7" t="str">
        <f t="shared" si="15"/>
        <v/>
      </c>
      <c r="N87" s="7" t="str">
        <f t="shared" si="11"/>
        <v/>
      </c>
      <c r="O87" s="7" t="str">
        <f t="shared" si="12"/>
        <v/>
      </c>
      <c r="P87" s="7" t="str">
        <f t="shared" si="16"/>
        <v/>
      </c>
      <c r="Q87" s="7" t="str">
        <f t="shared" si="13"/>
        <v/>
      </c>
      <c r="R87" s="7"/>
      <c r="S87" s="7" t="str">
        <f t="shared" si="17"/>
        <v/>
      </c>
    </row>
    <row r="88" spans="1:19" s="45" customFormat="1">
      <c r="A88" t="s">
        <v>86</v>
      </c>
      <c r="B88" s="40"/>
      <c r="C88" s="41"/>
      <c r="D88" s="43"/>
      <c r="E88" s="43"/>
      <c r="F88" s="43"/>
      <c r="G88" s="44">
        <v>1</v>
      </c>
      <c r="H88" s="44">
        <v>4</v>
      </c>
      <c r="I88" s="44">
        <v>14</v>
      </c>
      <c r="J88" s="44">
        <f>$T$76+18*I88/1000</f>
        <v>2.052</v>
      </c>
      <c r="K88" s="7"/>
      <c r="L88" s="7" t="str">
        <f t="shared" si="18"/>
        <v/>
      </c>
      <c r="M88" s="7" t="str">
        <f t="shared" si="15"/>
        <v/>
      </c>
      <c r="N88" s="7"/>
      <c r="O88" s="7"/>
      <c r="P88" s="7" t="str">
        <f t="shared" si="16"/>
        <v/>
      </c>
      <c r="Q88" s="7"/>
      <c r="R88" s="7"/>
      <c r="S88" s="7"/>
    </row>
    <row r="89" spans="1:19" s="45" customFormat="1">
      <c r="A89" t="s">
        <v>86</v>
      </c>
      <c r="B89" s="40"/>
      <c r="C89" s="41"/>
      <c r="D89" s="43"/>
      <c r="E89" s="43"/>
      <c r="F89" s="43"/>
      <c r="G89" s="44">
        <v>1</v>
      </c>
      <c r="H89" s="44">
        <v>2</v>
      </c>
      <c r="I89" s="44">
        <v>14</v>
      </c>
      <c r="J89" s="44">
        <f>$T$76+18*I89/1000</f>
        <v>2.052</v>
      </c>
      <c r="K89" s="7"/>
      <c r="L89" s="7" t="str">
        <f t="shared" si="18"/>
        <v/>
      </c>
      <c r="M89" s="7" t="str">
        <f t="shared" si="15"/>
        <v/>
      </c>
      <c r="N89" s="7"/>
      <c r="O89" s="7"/>
      <c r="P89" s="7"/>
      <c r="Q89" s="7"/>
      <c r="R89" s="7"/>
      <c r="S89" s="7"/>
    </row>
    <row r="90" spans="1:19" s="45" customFormat="1">
      <c r="A90" t="s">
        <v>76</v>
      </c>
      <c r="B90" s="40"/>
      <c r="C90" s="40"/>
      <c r="D90" s="43"/>
      <c r="E90" s="43"/>
      <c r="F90" s="43"/>
      <c r="G90" s="44">
        <v>1</v>
      </c>
      <c r="H90" s="44">
        <f>ROUNDUP(($T$76-0.25)/0.15,0)</f>
        <v>11</v>
      </c>
      <c r="I90" s="44">
        <v>6</v>
      </c>
      <c r="J90" s="44">
        <f>2*(E87+F87)+20.5*I90/1000</f>
        <v>1.7230000000000001</v>
      </c>
      <c r="K90" s="7">
        <f t="shared" si="10"/>
        <v>18.952999999999999</v>
      </c>
      <c r="L90" s="7" t="str">
        <f t="shared" si="18"/>
        <v/>
      </c>
      <c r="M90" s="7" t="str">
        <f t="shared" si="15"/>
        <v/>
      </c>
      <c r="N90" s="7" t="str">
        <f t="shared" si="11"/>
        <v/>
      </c>
      <c r="O90" s="7" t="str">
        <f t="shared" si="12"/>
        <v/>
      </c>
      <c r="P90" s="7" t="str">
        <f t="shared" si="16"/>
        <v/>
      </c>
      <c r="Q90" s="7" t="str">
        <f t="shared" si="13"/>
        <v/>
      </c>
      <c r="R90" s="7"/>
      <c r="S90" s="7" t="str">
        <f t="shared" si="17"/>
        <v/>
      </c>
    </row>
    <row r="91" spans="1:19" s="45" customFormat="1">
      <c r="A91" t="s">
        <v>77</v>
      </c>
      <c r="B91" s="40"/>
      <c r="C91" s="40"/>
      <c r="D91" s="43"/>
      <c r="E91" s="43"/>
      <c r="F91" s="43"/>
      <c r="G91" s="44">
        <v>1</v>
      </c>
      <c r="H91" s="44">
        <f>ROUNDUP(($T$76-0.25)/0.15,0)</f>
        <v>11</v>
      </c>
      <c r="I91" s="44">
        <v>6</v>
      </c>
      <c r="J91" s="44">
        <f>E87+22*I91/1000</f>
        <v>0.53200000000000003</v>
      </c>
      <c r="K91" s="7">
        <f t="shared" si="10"/>
        <v>5.8520000000000003</v>
      </c>
      <c r="L91" s="7" t="str">
        <f t="shared" si="18"/>
        <v/>
      </c>
      <c r="M91" s="7" t="str">
        <f t="shared" si="15"/>
        <v/>
      </c>
      <c r="N91" s="7" t="str">
        <f t="shared" si="11"/>
        <v/>
      </c>
      <c r="O91" s="7" t="str">
        <f t="shared" si="12"/>
        <v/>
      </c>
      <c r="P91" s="7" t="str">
        <f t="shared" si="16"/>
        <v/>
      </c>
      <c r="Q91" s="7" t="str">
        <f t="shared" si="13"/>
        <v/>
      </c>
      <c r="R91" s="7"/>
      <c r="S91" s="7" t="str">
        <f t="shared" si="17"/>
        <v/>
      </c>
    </row>
    <row r="92" spans="1:19" s="45" customFormat="1">
      <c r="A92"/>
      <c r="B92" s="40" t="s">
        <v>4</v>
      </c>
      <c r="C92" s="40">
        <v>5</v>
      </c>
      <c r="D92" s="43" t="s">
        <v>43</v>
      </c>
      <c r="E92" s="43">
        <v>0.3</v>
      </c>
      <c r="F92" s="43">
        <v>0.3</v>
      </c>
      <c r="G92" s="44"/>
      <c r="H92" s="44"/>
      <c r="I92" s="44"/>
      <c r="J92" s="44"/>
      <c r="K92" s="7" t="str">
        <f t="shared" si="10"/>
        <v/>
      </c>
      <c r="L92" s="7" t="str">
        <f t="shared" si="18"/>
        <v/>
      </c>
      <c r="M92" s="7" t="str">
        <f t="shared" si="15"/>
        <v/>
      </c>
      <c r="N92" s="7" t="str">
        <f t="shared" si="11"/>
        <v/>
      </c>
      <c r="O92" s="7" t="str">
        <f t="shared" si="12"/>
        <v/>
      </c>
      <c r="P92" s="7" t="str">
        <f t="shared" si="16"/>
        <v/>
      </c>
      <c r="Q92" s="7" t="str">
        <f t="shared" si="13"/>
        <v/>
      </c>
      <c r="R92" s="7"/>
      <c r="S92" s="7" t="str">
        <f t="shared" si="17"/>
        <v/>
      </c>
    </row>
    <row r="93" spans="1:19" s="45" customFormat="1">
      <c r="A93" t="s">
        <v>86</v>
      </c>
      <c r="B93" s="40"/>
      <c r="C93" s="40"/>
      <c r="D93" s="43"/>
      <c r="E93" s="43"/>
      <c r="F93" s="43"/>
      <c r="G93" s="44">
        <v>1</v>
      </c>
      <c r="H93" s="44">
        <v>4</v>
      </c>
      <c r="I93" s="44">
        <v>14</v>
      </c>
      <c r="J93" s="44">
        <f>$T$76+18*I93/1000</f>
        <v>2.052</v>
      </c>
      <c r="K93" s="7" t="str">
        <f t="shared" si="10"/>
        <v/>
      </c>
      <c r="L93" s="7" t="str">
        <f t="shared" si="18"/>
        <v/>
      </c>
      <c r="M93" s="7" t="str">
        <f t="shared" si="15"/>
        <v/>
      </c>
      <c r="N93" s="7" t="str">
        <f t="shared" si="11"/>
        <v/>
      </c>
      <c r="O93" s="7">
        <f t="shared" si="12"/>
        <v>8.2080000000000002</v>
      </c>
      <c r="P93" s="7" t="str">
        <f t="shared" si="16"/>
        <v/>
      </c>
      <c r="Q93" s="7" t="str">
        <f t="shared" si="13"/>
        <v/>
      </c>
      <c r="R93" s="7"/>
      <c r="S93" s="7" t="str">
        <f t="shared" si="17"/>
        <v/>
      </c>
    </row>
    <row r="94" spans="1:19" s="45" customFormat="1">
      <c r="A94" t="s">
        <v>86</v>
      </c>
      <c r="B94" s="40"/>
      <c r="C94" s="40"/>
      <c r="D94" s="43"/>
      <c r="E94" s="43"/>
      <c r="F94" s="43"/>
      <c r="G94" s="44">
        <v>1</v>
      </c>
      <c r="H94" s="44">
        <v>2</v>
      </c>
      <c r="I94" s="44">
        <v>14</v>
      </c>
      <c r="J94" s="44">
        <f>$T$76+18*I94/1000</f>
        <v>2.052</v>
      </c>
      <c r="K94" s="7"/>
      <c r="L94" s="7" t="str">
        <f t="shared" si="18"/>
        <v/>
      </c>
      <c r="M94" s="7" t="str">
        <f t="shared" si="15"/>
        <v/>
      </c>
      <c r="N94" s="7"/>
      <c r="O94" s="7">
        <f t="shared" si="12"/>
        <v>4.1040000000000001</v>
      </c>
      <c r="P94" s="7"/>
      <c r="Q94" s="7"/>
      <c r="R94" s="7"/>
      <c r="S94" s="7"/>
    </row>
    <row r="95" spans="1:19" s="45" customFormat="1">
      <c r="A95" t="s">
        <v>76</v>
      </c>
      <c r="B95" s="40"/>
      <c r="C95" s="40"/>
      <c r="D95" s="43"/>
      <c r="E95" s="43"/>
      <c r="F95" s="43"/>
      <c r="G95" s="44">
        <v>1</v>
      </c>
      <c r="H95" s="44">
        <f>ROUNDUP(($T$76-0.25)/0.15,0)</f>
        <v>11</v>
      </c>
      <c r="I95" s="44">
        <v>6</v>
      </c>
      <c r="J95" s="44">
        <f>2*(E92+F92)+20.5*I95/1000</f>
        <v>1.323</v>
      </c>
      <c r="K95" s="7"/>
      <c r="L95" s="7" t="str">
        <f t="shared" si="18"/>
        <v/>
      </c>
      <c r="M95" s="7" t="str">
        <f t="shared" si="15"/>
        <v/>
      </c>
      <c r="N95" s="7"/>
      <c r="O95" s="7" t="str">
        <f t="shared" si="12"/>
        <v/>
      </c>
      <c r="P95" s="7" t="str">
        <f t="shared" si="16"/>
        <v/>
      </c>
      <c r="Q95" s="7"/>
      <c r="R95" s="7"/>
      <c r="S95" s="7"/>
    </row>
    <row r="96" spans="1:19" s="45" customFormat="1">
      <c r="A96" t="s">
        <v>77</v>
      </c>
      <c r="B96" s="40"/>
      <c r="C96" s="40"/>
      <c r="D96" s="43"/>
      <c r="E96" s="43"/>
      <c r="F96" s="43"/>
      <c r="G96" s="44">
        <v>1</v>
      </c>
      <c r="H96" s="44">
        <f>ROUNDUP(($T$76-0.25)/0.15,0)</f>
        <v>11</v>
      </c>
      <c r="I96" s="44">
        <v>6</v>
      </c>
      <c r="J96" s="44">
        <f>E92+22*I96/1000</f>
        <v>0.432</v>
      </c>
      <c r="K96" s="7">
        <f t="shared" si="10"/>
        <v>4.7519999999999998</v>
      </c>
      <c r="L96" s="7" t="str">
        <f t="shared" si="18"/>
        <v/>
      </c>
      <c r="M96" s="7" t="str">
        <f t="shared" si="15"/>
        <v/>
      </c>
      <c r="N96" s="7" t="str">
        <f t="shared" si="11"/>
        <v/>
      </c>
      <c r="O96" s="7" t="str">
        <f t="shared" si="12"/>
        <v/>
      </c>
      <c r="P96" s="7" t="str">
        <f t="shared" si="16"/>
        <v/>
      </c>
      <c r="Q96" s="7" t="str">
        <f t="shared" si="13"/>
        <v/>
      </c>
      <c r="R96" s="7"/>
      <c r="S96" s="7" t="str">
        <f t="shared" si="17"/>
        <v/>
      </c>
    </row>
    <row r="97" spans="1:19" s="45" customFormat="1">
      <c r="A97"/>
      <c r="B97" s="40" t="s">
        <v>4</v>
      </c>
      <c r="C97" s="41">
        <v>6</v>
      </c>
      <c r="D97" s="43" t="s">
        <v>24</v>
      </c>
      <c r="E97" s="43">
        <v>0.25</v>
      </c>
      <c r="F97" s="43">
        <v>0.35</v>
      </c>
      <c r="G97" s="44"/>
      <c r="H97" s="44"/>
      <c r="I97" s="44"/>
      <c r="J97" s="44"/>
      <c r="K97" s="7" t="str">
        <f t="shared" si="10"/>
        <v/>
      </c>
      <c r="L97" s="7" t="str">
        <f t="shared" si="18"/>
        <v/>
      </c>
      <c r="M97" s="7" t="str">
        <f t="shared" si="15"/>
        <v/>
      </c>
      <c r="N97" s="7" t="str">
        <f t="shared" si="11"/>
        <v/>
      </c>
      <c r="O97" s="7" t="str">
        <f t="shared" si="12"/>
        <v/>
      </c>
      <c r="P97" s="7" t="str">
        <f t="shared" si="16"/>
        <v/>
      </c>
      <c r="Q97" s="7" t="str">
        <f t="shared" si="13"/>
        <v/>
      </c>
      <c r="R97" s="7"/>
      <c r="S97" s="7" t="str">
        <f t="shared" si="17"/>
        <v/>
      </c>
    </row>
    <row r="98" spans="1:19" s="45" customFormat="1">
      <c r="A98" t="s">
        <v>86</v>
      </c>
      <c r="B98" s="40"/>
      <c r="C98" s="41"/>
      <c r="D98" s="43"/>
      <c r="E98" s="43"/>
      <c r="F98" s="43"/>
      <c r="G98" s="44">
        <v>1</v>
      </c>
      <c r="H98" s="44">
        <v>4</v>
      </c>
      <c r="I98" s="44">
        <v>14</v>
      </c>
      <c r="J98" s="44">
        <f>$T$76+18*I98/1000</f>
        <v>2.052</v>
      </c>
      <c r="K98" s="7"/>
      <c r="L98" s="7" t="str">
        <f t="shared" si="18"/>
        <v/>
      </c>
      <c r="M98" s="7" t="str">
        <f t="shared" si="15"/>
        <v/>
      </c>
      <c r="N98" s="7"/>
      <c r="O98" s="7">
        <f t="shared" si="12"/>
        <v>8.2080000000000002</v>
      </c>
      <c r="P98" s="7" t="str">
        <f t="shared" si="16"/>
        <v/>
      </c>
      <c r="Q98" s="7"/>
      <c r="R98" s="7"/>
      <c r="S98" s="7"/>
    </row>
    <row r="99" spans="1:19" s="45" customFormat="1">
      <c r="A99" t="s">
        <v>86</v>
      </c>
      <c r="B99" s="40"/>
      <c r="C99" s="41"/>
      <c r="D99" s="43"/>
      <c r="E99" s="43"/>
      <c r="F99" s="43"/>
      <c r="G99" s="44">
        <v>1</v>
      </c>
      <c r="H99" s="44">
        <v>2</v>
      </c>
      <c r="I99" s="44">
        <v>14</v>
      </c>
      <c r="J99" s="44">
        <f>$T$76+18*I99/1000</f>
        <v>2.052</v>
      </c>
      <c r="K99" s="7"/>
      <c r="L99" s="7" t="str">
        <f t="shared" si="18"/>
        <v/>
      </c>
      <c r="M99" s="7" t="str">
        <f t="shared" si="15"/>
        <v/>
      </c>
      <c r="N99" s="7"/>
      <c r="O99" s="7">
        <f t="shared" si="12"/>
        <v>4.1040000000000001</v>
      </c>
      <c r="P99" s="7"/>
      <c r="Q99" s="7"/>
      <c r="R99" s="7"/>
      <c r="S99" s="7"/>
    </row>
    <row r="100" spans="1:19" s="45" customFormat="1">
      <c r="A100" t="s">
        <v>76</v>
      </c>
      <c r="B100" s="40"/>
      <c r="C100" s="40"/>
      <c r="D100" s="43"/>
      <c r="E100" s="43"/>
      <c r="F100" s="43"/>
      <c r="G100" s="44">
        <v>1</v>
      </c>
      <c r="H100" s="44">
        <f>ROUNDUP(($T$76-0.25)/0.15,0)</f>
        <v>11</v>
      </c>
      <c r="I100" s="44">
        <v>6</v>
      </c>
      <c r="J100" s="44">
        <f>2*(E97+F97)+20.5*I100/1000</f>
        <v>1.323</v>
      </c>
      <c r="K100" s="7">
        <f t="shared" si="10"/>
        <v>14.552999999999999</v>
      </c>
      <c r="L100" s="7" t="str">
        <f t="shared" si="18"/>
        <v/>
      </c>
      <c r="M100" s="7" t="str">
        <f t="shared" si="15"/>
        <v/>
      </c>
      <c r="N100" s="7" t="str">
        <f t="shared" si="11"/>
        <v/>
      </c>
      <c r="O100" s="7" t="str">
        <f t="shared" si="12"/>
        <v/>
      </c>
      <c r="P100" s="7" t="str">
        <f t="shared" si="16"/>
        <v/>
      </c>
      <c r="Q100" s="7" t="str">
        <f t="shared" si="13"/>
        <v/>
      </c>
      <c r="R100" s="7"/>
      <c r="S100" s="7" t="str">
        <f t="shared" si="17"/>
        <v/>
      </c>
    </row>
    <row r="101" spans="1:19" s="45" customFormat="1">
      <c r="A101" t="s">
        <v>77</v>
      </c>
      <c r="B101" s="40"/>
      <c r="C101" s="40"/>
      <c r="D101" s="43"/>
      <c r="E101" s="43"/>
      <c r="F101" s="43"/>
      <c r="G101" s="44">
        <v>1</v>
      </c>
      <c r="H101" s="44">
        <f>ROUNDUP(($T$76-0.25)/0.15,0)</f>
        <v>11</v>
      </c>
      <c r="I101" s="44">
        <v>6</v>
      </c>
      <c r="J101" s="44">
        <f>E97+22*I101/1000</f>
        <v>0.38200000000000001</v>
      </c>
      <c r="K101" s="7">
        <f t="shared" si="10"/>
        <v>4.202</v>
      </c>
      <c r="L101" s="7" t="str">
        <f t="shared" si="18"/>
        <v/>
      </c>
      <c r="M101" s="7" t="str">
        <f t="shared" si="15"/>
        <v/>
      </c>
      <c r="N101" s="7" t="str">
        <f t="shared" si="11"/>
        <v/>
      </c>
      <c r="O101" s="7" t="str">
        <f t="shared" si="12"/>
        <v/>
      </c>
      <c r="P101" s="7" t="str">
        <f t="shared" si="16"/>
        <v/>
      </c>
      <c r="Q101" s="7" t="str">
        <f t="shared" si="13"/>
        <v/>
      </c>
      <c r="R101" s="7"/>
      <c r="S101" s="7" t="str">
        <f t="shared" si="17"/>
        <v/>
      </c>
    </row>
    <row r="102" spans="1:19" s="45" customFormat="1">
      <c r="A102"/>
      <c r="B102" s="40" t="s">
        <v>4</v>
      </c>
      <c r="C102" s="41">
        <v>7</v>
      </c>
      <c r="D102" s="43" t="s">
        <v>24</v>
      </c>
      <c r="E102" s="43">
        <v>0.25</v>
      </c>
      <c r="F102" s="43">
        <v>0.35</v>
      </c>
      <c r="G102" s="44"/>
      <c r="H102" s="44"/>
      <c r="I102" s="44"/>
      <c r="J102" s="44"/>
      <c r="K102" s="7" t="str">
        <f t="shared" si="10"/>
        <v/>
      </c>
      <c r="L102" s="7" t="str">
        <f t="shared" si="18"/>
        <v/>
      </c>
      <c r="M102" s="7" t="str">
        <f t="shared" si="15"/>
        <v/>
      </c>
      <c r="N102" s="7" t="str">
        <f t="shared" si="11"/>
        <v/>
      </c>
      <c r="O102" s="7" t="str">
        <f t="shared" si="12"/>
        <v/>
      </c>
      <c r="P102" s="7" t="str">
        <f t="shared" si="16"/>
        <v/>
      </c>
      <c r="Q102" s="7" t="str">
        <f t="shared" si="13"/>
        <v/>
      </c>
      <c r="R102" s="7"/>
      <c r="S102" s="7" t="str">
        <f t="shared" si="17"/>
        <v/>
      </c>
    </row>
    <row r="103" spans="1:19" s="45" customFormat="1">
      <c r="A103" t="s">
        <v>86</v>
      </c>
      <c r="B103" s="40"/>
      <c r="C103" s="41"/>
      <c r="D103" s="43"/>
      <c r="E103" s="43"/>
      <c r="F103" s="43"/>
      <c r="G103" s="44">
        <v>1</v>
      </c>
      <c r="H103" s="44">
        <v>4</v>
      </c>
      <c r="I103" s="44">
        <v>14</v>
      </c>
      <c r="J103" s="44">
        <f>$T$76+18*I103/1000</f>
        <v>2.052</v>
      </c>
      <c r="K103" s="7"/>
      <c r="L103" s="7" t="str">
        <f t="shared" si="18"/>
        <v/>
      </c>
      <c r="M103" s="7" t="str">
        <f t="shared" si="15"/>
        <v/>
      </c>
      <c r="N103" s="7"/>
      <c r="O103" s="7">
        <f t="shared" si="12"/>
        <v>8.2080000000000002</v>
      </c>
      <c r="P103" s="7" t="str">
        <f t="shared" si="16"/>
        <v/>
      </c>
      <c r="Q103" s="7"/>
      <c r="R103" s="7"/>
      <c r="S103" s="7"/>
    </row>
    <row r="104" spans="1:19" s="45" customFormat="1">
      <c r="A104" t="s">
        <v>86</v>
      </c>
      <c r="B104" s="40"/>
      <c r="C104" s="41"/>
      <c r="D104" s="43"/>
      <c r="E104" s="43"/>
      <c r="F104" s="43"/>
      <c r="G104" s="44">
        <v>1</v>
      </c>
      <c r="H104" s="44">
        <v>2</v>
      </c>
      <c r="I104" s="44">
        <v>14</v>
      </c>
      <c r="J104" s="44">
        <f>$T$76+18*I104/1000</f>
        <v>2.052</v>
      </c>
      <c r="K104" s="7"/>
      <c r="L104" s="7" t="str">
        <f t="shared" si="18"/>
        <v/>
      </c>
      <c r="M104" s="7" t="str">
        <f t="shared" si="15"/>
        <v/>
      </c>
      <c r="N104" s="7"/>
      <c r="O104" s="7">
        <f t="shared" si="12"/>
        <v>4.1040000000000001</v>
      </c>
      <c r="P104" s="7" t="str">
        <f t="shared" si="16"/>
        <v/>
      </c>
      <c r="Q104" s="7"/>
      <c r="R104" s="7"/>
      <c r="S104" s="7"/>
    </row>
    <row r="105" spans="1:19" s="45" customFormat="1">
      <c r="A105" t="s">
        <v>76</v>
      </c>
      <c r="B105" s="40"/>
      <c r="C105" s="40"/>
      <c r="D105" s="43"/>
      <c r="E105" s="43"/>
      <c r="F105" s="43"/>
      <c r="G105" s="44">
        <v>1</v>
      </c>
      <c r="H105" s="44">
        <f>ROUNDUP(($T$76-0.25)/0.15,0)</f>
        <v>11</v>
      </c>
      <c r="I105" s="44">
        <v>6</v>
      </c>
      <c r="J105" s="44">
        <f>2*(E102+F102)+20.5*I105/1000</f>
        <v>1.323</v>
      </c>
      <c r="K105" s="7">
        <f t="shared" si="10"/>
        <v>14.552999999999999</v>
      </c>
      <c r="L105" s="7" t="str">
        <f t="shared" si="18"/>
        <v/>
      </c>
      <c r="M105" s="7" t="str">
        <f t="shared" si="15"/>
        <v/>
      </c>
      <c r="N105" s="7" t="str">
        <f t="shared" si="11"/>
        <v/>
      </c>
      <c r="O105" s="7" t="str">
        <f t="shared" si="12"/>
        <v/>
      </c>
      <c r="P105" s="7" t="str">
        <f t="shared" si="16"/>
        <v/>
      </c>
      <c r="Q105" s="7" t="str">
        <f t="shared" si="13"/>
        <v/>
      </c>
      <c r="R105" s="7"/>
      <c r="S105" s="7" t="str">
        <f t="shared" si="17"/>
        <v/>
      </c>
    </row>
    <row r="106" spans="1:19" s="45" customFormat="1">
      <c r="A106" t="s">
        <v>77</v>
      </c>
      <c r="B106" s="40"/>
      <c r="C106" s="40"/>
      <c r="D106" s="43"/>
      <c r="E106" s="43"/>
      <c r="F106" s="43"/>
      <c r="G106" s="44">
        <v>1</v>
      </c>
      <c r="H106" s="44">
        <f>ROUNDUP(($T$76-0.25)/0.15,0)</f>
        <v>11</v>
      </c>
      <c r="I106" s="44">
        <v>6</v>
      </c>
      <c r="J106" s="44">
        <f>E102+22*I106/1000</f>
        <v>0.38200000000000001</v>
      </c>
      <c r="K106" s="7">
        <f t="shared" si="10"/>
        <v>4.202</v>
      </c>
      <c r="L106" s="7" t="str">
        <f t="shared" si="18"/>
        <v/>
      </c>
      <c r="M106" s="7" t="str">
        <f t="shared" si="15"/>
        <v/>
      </c>
      <c r="N106" s="7" t="str">
        <f t="shared" si="11"/>
        <v/>
      </c>
      <c r="O106" s="7" t="str">
        <f t="shared" si="12"/>
        <v/>
      </c>
      <c r="P106" s="7" t="str">
        <f t="shared" si="16"/>
        <v/>
      </c>
      <c r="Q106" s="7" t="str">
        <f t="shared" si="13"/>
        <v/>
      </c>
      <c r="R106" s="7"/>
      <c r="S106" s="7" t="str">
        <f t="shared" si="17"/>
        <v/>
      </c>
    </row>
    <row r="107" spans="1:19" s="45" customFormat="1">
      <c r="A107"/>
      <c r="B107" s="53" t="s">
        <v>4</v>
      </c>
      <c r="C107" s="55">
        <v>8</v>
      </c>
      <c r="D107" s="43" t="s">
        <v>24</v>
      </c>
      <c r="E107" s="43">
        <v>0.25</v>
      </c>
      <c r="F107" s="43">
        <v>0.35</v>
      </c>
      <c r="G107" s="44"/>
      <c r="H107" s="44"/>
      <c r="I107" s="44"/>
      <c r="J107" s="44"/>
      <c r="K107" s="7" t="str">
        <f t="shared" ref="K107" si="27">IF(I107=6,G107*H107*J107,"")</f>
        <v/>
      </c>
      <c r="L107" s="7" t="str">
        <f t="shared" ref="L107:L111" si="28">IF(I107=8,G107*H107*J107,"")</f>
        <v/>
      </c>
      <c r="M107" s="7" t="str">
        <f t="shared" ref="M107:M111" si="29">IF(I107=10,G107*H107*J107,"")</f>
        <v/>
      </c>
      <c r="N107" s="7" t="str">
        <f t="shared" ref="N107" si="30">IF(I107=12,G107*H107*J107,"")</f>
        <v/>
      </c>
      <c r="O107" s="7" t="str">
        <f t="shared" ref="O107:O111" si="31">IF(I107=14,G107*H107*J107,"")</f>
        <v/>
      </c>
      <c r="P107" s="7" t="str">
        <f t="shared" ref="P107:P111" si="32">IF(I107=16,G107*H107*J107,"")</f>
        <v/>
      </c>
      <c r="Q107" s="7" t="str">
        <f t="shared" ref="Q107" si="33">IF(I107=20,G107*H107*J107,"")</f>
        <v/>
      </c>
      <c r="R107" s="7"/>
      <c r="S107" s="7" t="str">
        <f t="shared" ref="S107" si="34">IF(I107=32,G107*H107*J107,"")</f>
        <v/>
      </c>
    </row>
    <row r="108" spans="1:19" s="45" customFormat="1">
      <c r="A108" t="s">
        <v>86</v>
      </c>
      <c r="B108" s="53"/>
      <c r="C108" s="55"/>
      <c r="D108" s="43"/>
      <c r="E108" s="43"/>
      <c r="F108" s="43"/>
      <c r="G108" s="44">
        <v>1</v>
      </c>
      <c r="H108" s="44">
        <v>4</v>
      </c>
      <c r="I108" s="44">
        <v>14</v>
      </c>
      <c r="J108" s="44">
        <f>$T$76+18*I108/1000</f>
        <v>2.052</v>
      </c>
      <c r="K108" s="7"/>
      <c r="L108" s="7" t="str">
        <f t="shared" si="28"/>
        <v/>
      </c>
      <c r="M108" s="7" t="str">
        <f t="shared" si="29"/>
        <v/>
      </c>
      <c r="N108" s="7"/>
      <c r="O108" s="7">
        <f t="shared" si="31"/>
        <v>8.2080000000000002</v>
      </c>
      <c r="P108" s="7" t="str">
        <f t="shared" si="32"/>
        <v/>
      </c>
      <c r="Q108" s="7"/>
      <c r="R108" s="7"/>
      <c r="S108" s="7"/>
    </row>
    <row r="109" spans="1:19" s="45" customFormat="1">
      <c r="A109" t="s">
        <v>86</v>
      </c>
      <c r="B109" s="53"/>
      <c r="C109" s="55"/>
      <c r="D109" s="43"/>
      <c r="E109" s="43"/>
      <c r="F109" s="43"/>
      <c r="G109" s="44">
        <v>1</v>
      </c>
      <c r="H109" s="44">
        <v>2</v>
      </c>
      <c r="I109" s="44">
        <v>14</v>
      </c>
      <c r="J109" s="44">
        <f>$T$76+18*I109/1000</f>
        <v>2.052</v>
      </c>
      <c r="K109" s="7"/>
      <c r="L109" s="7" t="str">
        <f t="shared" si="28"/>
        <v/>
      </c>
      <c r="M109" s="7" t="str">
        <f t="shared" si="29"/>
        <v/>
      </c>
      <c r="N109" s="7"/>
      <c r="O109" s="7">
        <f t="shared" si="31"/>
        <v>4.1040000000000001</v>
      </c>
      <c r="P109" s="7" t="str">
        <f t="shared" si="32"/>
        <v/>
      </c>
      <c r="Q109" s="7"/>
      <c r="R109" s="7"/>
      <c r="S109" s="7"/>
    </row>
    <row r="110" spans="1:19" s="45" customFormat="1">
      <c r="A110" t="s">
        <v>76</v>
      </c>
      <c r="B110" s="53"/>
      <c r="C110" s="53"/>
      <c r="D110" s="43"/>
      <c r="E110" s="43"/>
      <c r="F110" s="43"/>
      <c r="G110" s="44">
        <v>1</v>
      </c>
      <c r="H110" s="44">
        <f>ROUNDUP(($T$76-0.25)/0.15,0)</f>
        <v>11</v>
      </c>
      <c r="I110" s="44">
        <v>6</v>
      </c>
      <c r="J110" s="44">
        <f>2*(E107+F107)+20.5*I110/1000</f>
        <v>1.323</v>
      </c>
      <c r="K110" s="7">
        <f t="shared" ref="K110:K111" si="35">IF(I110=6,G110*H110*J110,"")</f>
        <v>14.552999999999999</v>
      </c>
      <c r="L110" s="7" t="str">
        <f t="shared" si="28"/>
        <v/>
      </c>
      <c r="M110" s="7" t="str">
        <f t="shared" si="29"/>
        <v/>
      </c>
      <c r="N110" s="7" t="str">
        <f t="shared" ref="N110:N111" si="36">IF(I110=12,G110*H110*J110,"")</f>
        <v/>
      </c>
      <c r="O110" s="7" t="str">
        <f t="shared" si="31"/>
        <v/>
      </c>
      <c r="P110" s="7" t="str">
        <f t="shared" si="32"/>
        <v/>
      </c>
      <c r="Q110" s="7" t="str">
        <f t="shared" ref="Q110:Q111" si="37">IF(I110=20,G110*H110*J110,"")</f>
        <v/>
      </c>
      <c r="R110" s="7"/>
      <c r="S110" s="7" t="str">
        <f t="shared" ref="S110:S111" si="38">IF(I110=32,G110*H110*J110,"")</f>
        <v/>
      </c>
    </row>
    <row r="111" spans="1:19" s="45" customFormat="1">
      <c r="A111" t="s">
        <v>77</v>
      </c>
      <c r="B111" s="53"/>
      <c r="C111" s="53"/>
      <c r="D111" s="43"/>
      <c r="E111" s="43"/>
      <c r="F111" s="43"/>
      <c r="G111" s="44">
        <v>1</v>
      </c>
      <c r="H111" s="44">
        <f>ROUNDUP(($T$76-0.25)/0.15,0)</f>
        <v>11</v>
      </c>
      <c r="I111" s="44">
        <v>6</v>
      </c>
      <c r="J111" s="44">
        <f>E107+22*I111/1000</f>
        <v>0.38200000000000001</v>
      </c>
      <c r="K111" s="7">
        <f t="shared" si="35"/>
        <v>4.202</v>
      </c>
      <c r="L111" s="7" t="str">
        <f t="shared" si="28"/>
        <v/>
      </c>
      <c r="M111" s="7" t="str">
        <f t="shared" si="29"/>
        <v/>
      </c>
      <c r="N111" s="7" t="str">
        <f t="shared" si="36"/>
        <v/>
      </c>
      <c r="O111" s="7" t="str">
        <f t="shared" si="31"/>
        <v/>
      </c>
      <c r="P111" s="7" t="str">
        <f t="shared" si="32"/>
        <v/>
      </c>
      <c r="Q111" s="7" t="str">
        <f t="shared" si="37"/>
        <v/>
      </c>
      <c r="R111" s="7"/>
      <c r="S111" s="7" t="str">
        <f t="shared" si="38"/>
        <v/>
      </c>
    </row>
    <row r="112" spans="1:19" s="45" customFormat="1">
      <c r="A112"/>
      <c r="B112" s="40" t="s">
        <v>6</v>
      </c>
      <c r="C112" s="40">
        <v>5</v>
      </c>
      <c r="D112" s="43" t="s">
        <v>44</v>
      </c>
      <c r="E112" s="43">
        <v>0.35</v>
      </c>
      <c r="F112" s="43">
        <v>0.35</v>
      </c>
      <c r="G112" s="44"/>
      <c r="H112" s="44"/>
      <c r="I112" s="44"/>
      <c r="J112" s="44"/>
      <c r="K112" s="7" t="str">
        <f t="shared" si="10"/>
        <v/>
      </c>
      <c r="L112" s="7" t="str">
        <f t="shared" si="18"/>
        <v/>
      </c>
      <c r="M112" s="7" t="str">
        <f t="shared" si="15"/>
        <v/>
      </c>
      <c r="N112" s="7" t="str">
        <f t="shared" si="11"/>
        <v/>
      </c>
      <c r="O112" s="7" t="str">
        <f t="shared" si="12"/>
        <v/>
      </c>
      <c r="P112" s="7" t="str">
        <f t="shared" si="16"/>
        <v/>
      </c>
      <c r="Q112" s="7" t="str">
        <f t="shared" si="13"/>
        <v/>
      </c>
      <c r="R112" s="7"/>
      <c r="S112" s="7" t="str">
        <f t="shared" si="17"/>
        <v/>
      </c>
    </row>
    <row r="113" spans="1:19" s="45" customFormat="1">
      <c r="A113" t="s">
        <v>86</v>
      </c>
      <c r="B113" s="40"/>
      <c r="C113" s="40"/>
      <c r="D113" s="43"/>
      <c r="E113" s="43"/>
      <c r="F113" s="43"/>
      <c r="G113" s="44">
        <v>1</v>
      </c>
      <c r="H113" s="44">
        <v>6</v>
      </c>
      <c r="I113" s="44">
        <v>14</v>
      </c>
      <c r="J113" s="44">
        <f>$T$76+18*I113/1000</f>
        <v>2.052</v>
      </c>
      <c r="K113" s="7"/>
      <c r="L113" s="7" t="str">
        <f t="shared" si="18"/>
        <v/>
      </c>
      <c r="M113" s="7" t="str">
        <f t="shared" si="15"/>
        <v/>
      </c>
      <c r="N113" s="7"/>
      <c r="O113" s="7">
        <f t="shared" si="12"/>
        <v>12.312000000000001</v>
      </c>
      <c r="P113" s="7" t="str">
        <f t="shared" si="16"/>
        <v/>
      </c>
      <c r="Q113" s="7"/>
      <c r="R113" s="7"/>
      <c r="S113" s="7"/>
    </row>
    <row r="114" spans="1:19" s="45" customFormat="1">
      <c r="A114" t="s">
        <v>76</v>
      </c>
      <c r="B114" s="40"/>
      <c r="C114" s="40"/>
      <c r="D114" s="43"/>
      <c r="E114" s="43"/>
      <c r="F114" s="43"/>
      <c r="G114" s="44">
        <v>1</v>
      </c>
      <c r="H114" s="44">
        <f>ROUNDUP(($T$76-0.25)/0.15,0)</f>
        <v>11</v>
      </c>
      <c r="I114" s="44">
        <v>6</v>
      </c>
      <c r="J114" s="44">
        <f>2*(E112+F112)+20.5*I114/1000</f>
        <v>1.5229999999999999</v>
      </c>
      <c r="K114" s="7">
        <f t="shared" si="10"/>
        <v>16.753</v>
      </c>
      <c r="L114" s="7" t="str">
        <f t="shared" si="18"/>
        <v/>
      </c>
      <c r="M114" s="7" t="str">
        <f t="shared" si="15"/>
        <v/>
      </c>
      <c r="N114" s="7" t="str">
        <f t="shared" si="11"/>
        <v/>
      </c>
      <c r="O114" s="7" t="str">
        <f t="shared" si="12"/>
        <v/>
      </c>
      <c r="P114" s="7" t="str">
        <f t="shared" si="16"/>
        <v/>
      </c>
      <c r="Q114" s="7" t="str">
        <f t="shared" si="13"/>
        <v/>
      </c>
      <c r="R114" s="7"/>
      <c r="S114" s="7" t="str">
        <f t="shared" si="17"/>
        <v/>
      </c>
    </row>
    <row r="115" spans="1:19" s="45" customFormat="1">
      <c r="A115" t="s">
        <v>77</v>
      </c>
      <c r="B115" s="40"/>
      <c r="C115" s="40"/>
      <c r="D115" s="43"/>
      <c r="E115" s="43"/>
      <c r="F115" s="43"/>
      <c r="G115" s="44">
        <v>1</v>
      </c>
      <c r="H115" s="44">
        <f>ROUNDUP(($T$76-0.25)/0.15,0)</f>
        <v>11</v>
      </c>
      <c r="I115" s="44">
        <v>6</v>
      </c>
      <c r="J115" s="44">
        <f>E112+22*I115/1000</f>
        <v>0.48199999999999998</v>
      </c>
      <c r="K115" s="7">
        <f t="shared" si="10"/>
        <v>5.3019999999999996</v>
      </c>
      <c r="L115" s="7" t="str">
        <f t="shared" si="18"/>
        <v/>
      </c>
      <c r="M115" s="7" t="str">
        <f t="shared" si="15"/>
        <v/>
      </c>
      <c r="N115" s="7" t="str">
        <f t="shared" si="11"/>
        <v/>
      </c>
      <c r="O115" s="7" t="str">
        <f t="shared" si="12"/>
        <v/>
      </c>
      <c r="P115" s="7" t="str">
        <f t="shared" si="16"/>
        <v/>
      </c>
      <c r="Q115" s="7" t="str">
        <f t="shared" si="13"/>
        <v/>
      </c>
      <c r="R115" s="7"/>
      <c r="S115" s="7" t="str">
        <f t="shared" si="17"/>
        <v/>
      </c>
    </row>
    <row r="116" spans="1:19" s="45" customFormat="1">
      <c r="A116"/>
      <c r="B116" s="40" t="s">
        <v>7</v>
      </c>
      <c r="C116" s="40">
        <v>6</v>
      </c>
      <c r="D116" s="43" t="s">
        <v>24</v>
      </c>
      <c r="E116" s="43">
        <v>0.25</v>
      </c>
      <c r="F116" s="43">
        <v>0.35</v>
      </c>
      <c r="G116" s="44"/>
      <c r="H116" s="44"/>
      <c r="I116" s="44"/>
      <c r="J116" s="44"/>
      <c r="K116" s="7" t="str">
        <f t="shared" si="10"/>
        <v/>
      </c>
      <c r="L116" s="7" t="str">
        <f t="shared" si="18"/>
        <v/>
      </c>
      <c r="M116" s="7" t="str">
        <f t="shared" si="15"/>
        <v/>
      </c>
      <c r="N116" s="7" t="str">
        <f t="shared" si="11"/>
        <v/>
      </c>
      <c r="O116" s="7" t="str">
        <f t="shared" si="12"/>
        <v/>
      </c>
      <c r="P116" s="7" t="str">
        <f t="shared" si="16"/>
        <v/>
      </c>
      <c r="Q116" s="7" t="str">
        <f t="shared" si="13"/>
        <v/>
      </c>
      <c r="R116" s="7"/>
      <c r="S116" s="7" t="str">
        <f t="shared" si="17"/>
        <v/>
      </c>
    </row>
    <row r="117" spans="1:19" s="45" customFormat="1">
      <c r="A117" t="s">
        <v>86</v>
      </c>
      <c r="B117" s="40"/>
      <c r="C117" s="40"/>
      <c r="D117" s="43"/>
      <c r="E117" s="43"/>
      <c r="F117" s="43"/>
      <c r="G117" s="44">
        <v>1</v>
      </c>
      <c r="H117" s="44">
        <v>4</v>
      </c>
      <c r="I117" s="44">
        <v>14</v>
      </c>
      <c r="J117" s="44">
        <f>$T$76+18*I117/1000</f>
        <v>2.052</v>
      </c>
      <c r="K117" s="7"/>
      <c r="L117" s="7" t="str">
        <f t="shared" si="18"/>
        <v/>
      </c>
      <c r="M117" s="7" t="str">
        <f t="shared" si="15"/>
        <v/>
      </c>
      <c r="N117" s="7"/>
      <c r="O117" s="7">
        <f t="shared" si="12"/>
        <v>8.2080000000000002</v>
      </c>
      <c r="P117" s="7" t="str">
        <f t="shared" si="16"/>
        <v/>
      </c>
      <c r="Q117" s="7"/>
      <c r="R117" s="7"/>
      <c r="S117" s="7"/>
    </row>
    <row r="118" spans="1:19" s="45" customFormat="1">
      <c r="A118" t="s">
        <v>86</v>
      </c>
      <c r="B118" s="40"/>
      <c r="C118" s="40"/>
      <c r="D118" s="43"/>
      <c r="E118" s="43"/>
      <c r="F118" s="43"/>
      <c r="G118" s="44">
        <v>1</v>
      </c>
      <c r="H118" s="44">
        <v>2</v>
      </c>
      <c r="I118" s="44">
        <v>14</v>
      </c>
      <c r="J118" s="44">
        <f>$T$76+18*I118/1000</f>
        <v>2.052</v>
      </c>
      <c r="K118" s="7"/>
      <c r="L118" s="7" t="str">
        <f t="shared" si="18"/>
        <v/>
      </c>
      <c r="M118" s="7" t="str">
        <f t="shared" si="15"/>
        <v/>
      </c>
      <c r="N118" s="7"/>
      <c r="O118" s="7">
        <f t="shared" si="12"/>
        <v>4.1040000000000001</v>
      </c>
      <c r="P118" s="7"/>
      <c r="Q118" s="7"/>
      <c r="R118" s="7"/>
      <c r="S118" s="7"/>
    </row>
    <row r="119" spans="1:19" s="45" customFormat="1">
      <c r="A119" t="s">
        <v>76</v>
      </c>
      <c r="B119" s="40"/>
      <c r="C119" s="40"/>
      <c r="D119" s="43"/>
      <c r="E119" s="43"/>
      <c r="F119" s="43"/>
      <c r="G119" s="44">
        <v>1</v>
      </c>
      <c r="H119" s="44">
        <f>ROUNDUP(($T$76-0.25)/0.15,0)</f>
        <v>11</v>
      </c>
      <c r="I119" s="44">
        <v>6</v>
      </c>
      <c r="J119" s="44">
        <f>2*(E116+F116)+20.5*I119/1000</f>
        <v>1.323</v>
      </c>
      <c r="K119" s="7">
        <f t="shared" si="10"/>
        <v>14.552999999999999</v>
      </c>
      <c r="L119" s="7" t="str">
        <f t="shared" si="18"/>
        <v/>
      </c>
      <c r="M119" s="7" t="str">
        <f t="shared" si="15"/>
        <v/>
      </c>
      <c r="N119" s="7" t="str">
        <f t="shared" si="11"/>
        <v/>
      </c>
      <c r="O119" s="7" t="str">
        <f t="shared" si="12"/>
        <v/>
      </c>
      <c r="P119" s="7" t="str">
        <f t="shared" si="16"/>
        <v/>
      </c>
      <c r="Q119" s="7" t="str">
        <f t="shared" si="13"/>
        <v/>
      </c>
      <c r="R119" s="7"/>
      <c r="S119" s="7" t="str">
        <f t="shared" si="17"/>
        <v/>
      </c>
    </row>
    <row r="120" spans="1:19" s="45" customFormat="1">
      <c r="A120" t="s">
        <v>77</v>
      </c>
      <c r="B120" s="40"/>
      <c r="C120" s="40"/>
      <c r="D120" s="43"/>
      <c r="E120" s="43"/>
      <c r="F120" s="43"/>
      <c r="G120" s="44">
        <v>1</v>
      </c>
      <c r="H120" s="44">
        <f>ROUNDUP(($T$76-0.25)/0.15,0)</f>
        <v>11</v>
      </c>
      <c r="I120" s="44">
        <v>6</v>
      </c>
      <c r="J120" s="44">
        <f>E116+22*I120/1000</f>
        <v>0.38200000000000001</v>
      </c>
      <c r="K120" s="7">
        <f t="shared" si="10"/>
        <v>4.202</v>
      </c>
      <c r="L120" s="7" t="str">
        <f t="shared" si="18"/>
        <v/>
      </c>
      <c r="M120" s="7" t="str">
        <f t="shared" si="15"/>
        <v/>
      </c>
      <c r="N120" s="7" t="str">
        <f t="shared" si="11"/>
        <v/>
      </c>
      <c r="O120" s="7" t="str">
        <f t="shared" si="12"/>
        <v/>
      </c>
      <c r="P120" s="7" t="str">
        <f t="shared" si="16"/>
        <v/>
      </c>
      <c r="Q120" s="7" t="str">
        <f t="shared" si="13"/>
        <v/>
      </c>
      <c r="R120" s="7"/>
      <c r="S120" s="7" t="str">
        <f t="shared" si="17"/>
        <v/>
      </c>
    </row>
    <row r="121" spans="1:19" s="45" customFormat="1">
      <c r="A121"/>
      <c r="B121" s="40" t="s">
        <v>7</v>
      </c>
      <c r="C121" s="40">
        <v>7</v>
      </c>
      <c r="D121" s="43" t="s">
        <v>24</v>
      </c>
      <c r="E121" s="43">
        <v>0.25</v>
      </c>
      <c r="F121" s="43">
        <v>0.35</v>
      </c>
      <c r="G121" s="44"/>
      <c r="H121" s="44"/>
      <c r="I121" s="44"/>
      <c r="J121" s="44"/>
      <c r="K121" s="7" t="str">
        <f t="shared" si="10"/>
        <v/>
      </c>
      <c r="L121" s="7" t="str">
        <f t="shared" si="18"/>
        <v/>
      </c>
      <c r="M121" s="7" t="str">
        <f t="shared" si="15"/>
        <v/>
      </c>
      <c r="N121" s="7" t="str">
        <f t="shared" si="11"/>
        <v/>
      </c>
      <c r="O121" s="7" t="str">
        <f t="shared" si="12"/>
        <v/>
      </c>
      <c r="P121" s="7" t="str">
        <f t="shared" si="16"/>
        <v/>
      </c>
      <c r="Q121" s="7" t="str">
        <f t="shared" si="13"/>
        <v/>
      </c>
      <c r="R121" s="7"/>
      <c r="S121" s="7" t="str">
        <f t="shared" si="17"/>
        <v/>
      </c>
    </row>
    <row r="122" spans="1:19" s="45" customFormat="1">
      <c r="A122" t="s">
        <v>86</v>
      </c>
      <c r="B122" s="40"/>
      <c r="C122" s="40"/>
      <c r="D122" s="43"/>
      <c r="E122" s="43"/>
      <c r="F122" s="43"/>
      <c r="G122" s="44">
        <v>1</v>
      </c>
      <c r="H122" s="44">
        <v>6</v>
      </c>
      <c r="I122" s="44">
        <v>14</v>
      </c>
      <c r="J122" s="44">
        <f>$T$76+18*I122/1000</f>
        <v>2.052</v>
      </c>
      <c r="K122" s="7"/>
      <c r="L122" s="7" t="str">
        <f t="shared" si="18"/>
        <v/>
      </c>
      <c r="M122" s="7" t="str">
        <f t="shared" si="15"/>
        <v/>
      </c>
      <c r="N122" s="7"/>
      <c r="O122" s="7">
        <f t="shared" si="12"/>
        <v>12.312000000000001</v>
      </c>
      <c r="P122" s="7" t="str">
        <f t="shared" si="16"/>
        <v/>
      </c>
      <c r="Q122" s="7"/>
      <c r="R122" s="7"/>
      <c r="S122" s="7"/>
    </row>
    <row r="123" spans="1:19" s="45" customFormat="1">
      <c r="A123" t="s">
        <v>76</v>
      </c>
      <c r="B123" s="40"/>
      <c r="C123" s="40"/>
      <c r="D123" s="43"/>
      <c r="E123" s="43"/>
      <c r="F123" s="43"/>
      <c r="G123" s="44">
        <v>1</v>
      </c>
      <c r="H123" s="44">
        <f>ROUNDUP(($T$76-0.25)/0.15,0)</f>
        <v>11</v>
      </c>
      <c r="I123" s="44">
        <v>6</v>
      </c>
      <c r="J123" s="44">
        <f>2*(E121+F121)+20.5*I123/1000</f>
        <v>1.323</v>
      </c>
      <c r="K123" s="7">
        <f t="shared" si="10"/>
        <v>14.552999999999999</v>
      </c>
      <c r="L123" s="7" t="str">
        <f t="shared" si="18"/>
        <v/>
      </c>
      <c r="M123" s="7" t="str">
        <f t="shared" si="15"/>
        <v/>
      </c>
      <c r="N123" s="7" t="str">
        <f t="shared" si="11"/>
        <v/>
      </c>
      <c r="O123" s="7" t="str">
        <f t="shared" si="12"/>
        <v/>
      </c>
      <c r="P123" s="7" t="str">
        <f t="shared" si="16"/>
        <v/>
      </c>
      <c r="Q123" s="7" t="str">
        <f t="shared" si="13"/>
        <v/>
      </c>
      <c r="R123" s="7"/>
      <c r="S123" s="7" t="str">
        <f t="shared" si="17"/>
        <v/>
      </c>
    </row>
    <row r="124" spans="1:19" s="45" customFormat="1">
      <c r="A124" t="s">
        <v>77</v>
      </c>
      <c r="B124" s="40"/>
      <c r="C124" s="40"/>
      <c r="D124" s="43"/>
      <c r="E124" s="43"/>
      <c r="F124" s="43"/>
      <c r="G124" s="44">
        <v>1</v>
      </c>
      <c r="H124" s="44">
        <f>ROUNDUP(($T$76-0.25)/0.15,0)</f>
        <v>11</v>
      </c>
      <c r="I124" s="44">
        <v>6</v>
      </c>
      <c r="J124" s="44">
        <f>E120+22*I124/1000</f>
        <v>0.13200000000000001</v>
      </c>
      <c r="K124" s="7">
        <f t="shared" si="10"/>
        <v>1.452</v>
      </c>
      <c r="L124" s="7" t="str">
        <f t="shared" si="18"/>
        <v/>
      </c>
      <c r="M124" s="7" t="str">
        <f t="shared" si="15"/>
        <v/>
      </c>
      <c r="N124" s="7" t="str">
        <f t="shared" si="11"/>
        <v/>
      </c>
      <c r="O124" s="7" t="str">
        <f t="shared" si="12"/>
        <v/>
      </c>
      <c r="P124" s="7" t="str">
        <f t="shared" si="16"/>
        <v/>
      </c>
      <c r="Q124" s="7" t="str">
        <f t="shared" si="13"/>
        <v/>
      </c>
      <c r="R124" s="7"/>
      <c r="S124" s="7" t="str">
        <f t="shared" si="17"/>
        <v/>
      </c>
    </row>
    <row r="125" spans="1:19" s="45" customFormat="1">
      <c r="A125"/>
      <c r="B125" s="40" t="s">
        <v>7</v>
      </c>
      <c r="C125" s="40">
        <v>8</v>
      </c>
      <c r="D125" s="43" t="s">
        <v>24</v>
      </c>
      <c r="E125" s="43">
        <v>0.25</v>
      </c>
      <c r="F125" s="43">
        <v>0.35</v>
      </c>
      <c r="G125" s="44"/>
      <c r="H125" s="44"/>
      <c r="I125" s="44"/>
      <c r="J125" s="44"/>
      <c r="K125" s="7" t="str">
        <f t="shared" si="10"/>
        <v/>
      </c>
      <c r="L125" s="7" t="str">
        <f t="shared" si="18"/>
        <v/>
      </c>
      <c r="M125" s="7" t="str">
        <f t="shared" si="15"/>
        <v/>
      </c>
      <c r="N125" s="7" t="str">
        <f t="shared" si="11"/>
        <v/>
      </c>
      <c r="O125" s="7" t="str">
        <f t="shared" si="12"/>
        <v/>
      </c>
      <c r="P125" s="7" t="str">
        <f t="shared" si="16"/>
        <v/>
      </c>
      <c r="Q125" s="7" t="str">
        <f t="shared" si="13"/>
        <v/>
      </c>
      <c r="R125" s="7"/>
      <c r="S125" s="7" t="str">
        <f t="shared" si="17"/>
        <v/>
      </c>
    </row>
    <row r="126" spans="1:19" s="45" customFormat="1">
      <c r="A126" t="s">
        <v>86</v>
      </c>
      <c r="B126" s="40"/>
      <c r="C126" s="40"/>
      <c r="D126" s="43"/>
      <c r="E126" s="43"/>
      <c r="F126" s="43"/>
      <c r="G126" s="44">
        <v>1</v>
      </c>
      <c r="H126" s="44">
        <v>4</v>
      </c>
      <c r="I126" s="44">
        <v>14</v>
      </c>
      <c r="J126" s="44">
        <f>$T$76+18*I126/1000</f>
        <v>2.052</v>
      </c>
      <c r="K126" s="7"/>
      <c r="L126" s="7" t="str">
        <f t="shared" si="18"/>
        <v/>
      </c>
      <c r="M126" s="7" t="str">
        <f t="shared" si="15"/>
        <v/>
      </c>
      <c r="N126" s="7"/>
      <c r="O126" s="7">
        <f t="shared" si="12"/>
        <v>8.2080000000000002</v>
      </c>
      <c r="P126" s="7" t="str">
        <f t="shared" si="16"/>
        <v/>
      </c>
      <c r="Q126" s="7"/>
      <c r="R126" s="7"/>
      <c r="S126" s="7"/>
    </row>
    <row r="127" spans="1:19" s="45" customFormat="1">
      <c r="A127" t="s">
        <v>86</v>
      </c>
      <c r="B127" s="40"/>
      <c r="C127" s="40"/>
      <c r="D127" s="43"/>
      <c r="E127" s="43"/>
      <c r="F127" s="43"/>
      <c r="G127" s="44">
        <v>1</v>
      </c>
      <c r="H127" s="44">
        <v>2</v>
      </c>
      <c r="I127" s="44">
        <v>14</v>
      </c>
      <c r="J127" s="44">
        <f>$T$76+18*I127/1000</f>
        <v>2.052</v>
      </c>
      <c r="K127" s="7"/>
      <c r="L127" s="7" t="str">
        <f t="shared" si="18"/>
        <v/>
      </c>
      <c r="M127" s="7" t="str">
        <f t="shared" si="15"/>
        <v/>
      </c>
      <c r="N127" s="7"/>
      <c r="O127" s="7">
        <f t="shared" si="12"/>
        <v>4.1040000000000001</v>
      </c>
      <c r="P127" s="7"/>
      <c r="Q127" s="7"/>
      <c r="R127" s="7"/>
      <c r="S127" s="7"/>
    </row>
    <row r="128" spans="1:19" s="45" customFormat="1">
      <c r="A128" t="s">
        <v>76</v>
      </c>
      <c r="B128" s="40"/>
      <c r="C128" s="40"/>
      <c r="D128" s="43"/>
      <c r="E128" s="43"/>
      <c r="F128" s="43"/>
      <c r="G128" s="44">
        <v>1</v>
      </c>
      <c r="H128" s="44">
        <f>ROUNDUP(($T$76-0.25)/0.15,0)</f>
        <v>11</v>
      </c>
      <c r="I128" s="44">
        <v>6</v>
      </c>
      <c r="J128" s="44">
        <f>2*(E125+F125)+20.5*I128/1000</f>
        <v>1.323</v>
      </c>
      <c r="K128" s="7">
        <f t="shared" si="10"/>
        <v>14.552999999999999</v>
      </c>
      <c r="L128" s="7" t="str">
        <f t="shared" si="18"/>
        <v/>
      </c>
      <c r="M128" s="7" t="str">
        <f t="shared" si="15"/>
        <v/>
      </c>
      <c r="N128" s="7" t="str">
        <f t="shared" si="11"/>
        <v/>
      </c>
      <c r="O128" s="7" t="str">
        <f t="shared" si="12"/>
        <v/>
      </c>
      <c r="P128" s="7" t="str">
        <f t="shared" si="16"/>
        <v/>
      </c>
      <c r="Q128" s="7" t="str">
        <f t="shared" si="13"/>
        <v/>
      </c>
      <c r="R128" s="7"/>
      <c r="S128" s="7" t="str">
        <f t="shared" si="17"/>
        <v/>
      </c>
    </row>
    <row r="129" spans="1:19" s="45" customFormat="1">
      <c r="A129" t="s">
        <v>77</v>
      </c>
      <c r="B129" s="40"/>
      <c r="C129" s="40"/>
      <c r="D129" s="43"/>
      <c r="E129" s="43"/>
      <c r="F129" s="43"/>
      <c r="G129" s="44">
        <v>1</v>
      </c>
      <c r="H129" s="44">
        <f>ROUNDUP(($T$76-0.25)/0.15,0)</f>
        <v>11</v>
      </c>
      <c r="I129" s="44">
        <v>6</v>
      </c>
      <c r="J129" s="44">
        <f>E125+22*I129/1000</f>
        <v>0.38200000000000001</v>
      </c>
      <c r="K129" s="7">
        <f t="shared" si="10"/>
        <v>4.202</v>
      </c>
      <c r="L129" s="7" t="str">
        <f t="shared" si="18"/>
        <v/>
      </c>
      <c r="M129" s="7" t="str">
        <f t="shared" si="15"/>
        <v/>
      </c>
      <c r="N129" s="7" t="str">
        <f t="shared" si="11"/>
        <v/>
      </c>
      <c r="O129" s="7" t="str">
        <f t="shared" si="12"/>
        <v/>
      </c>
      <c r="P129" s="7" t="str">
        <f t="shared" si="16"/>
        <v/>
      </c>
      <c r="Q129" s="7" t="str">
        <f t="shared" si="13"/>
        <v/>
      </c>
      <c r="R129" s="7"/>
      <c r="S129" s="7" t="str">
        <f t="shared" si="17"/>
        <v/>
      </c>
    </row>
    <row r="130" spans="1:19" s="45" customFormat="1">
      <c r="A130"/>
      <c r="B130" s="40" t="s">
        <v>10</v>
      </c>
      <c r="C130" s="40">
        <v>5</v>
      </c>
      <c r="D130" s="43" t="s">
        <v>44</v>
      </c>
      <c r="E130" s="43">
        <v>0.35</v>
      </c>
      <c r="F130" s="43">
        <v>0.35</v>
      </c>
      <c r="G130" s="44"/>
      <c r="H130" s="44"/>
      <c r="I130" s="44"/>
      <c r="J130" s="44"/>
      <c r="K130" s="7" t="str">
        <f t="shared" si="10"/>
        <v/>
      </c>
      <c r="L130" s="7" t="str">
        <f t="shared" si="18"/>
        <v/>
      </c>
      <c r="M130" s="7" t="str">
        <f t="shared" si="15"/>
        <v/>
      </c>
      <c r="N130" s="7" t="str">
        <f t="shared" si="11"/>
        <v/>
      </c>
      <c r="O130" s="7" t="str">
        <f t="shared" si="12"/>
        <v/>
      </c>
      <c r="P130" s="7" t="str">
        <f t="shared" si="16"/>
        <v/>
      </c>
      <c r="Q130" s="7" t="str">
        <f t="shared" si="13"/>
        <v/>
      </c>
      <c r="R130" s="7"/>
      <c r="S130" s="7" t="str">
        <f t="shared" si="17"/>
        <v/>
      </c>
    </row>
    <row r="131" spans="1:19" s="45" customFormat="1">
      <c r="A131" t="s">
        <v>86</v>
      </c>
      <c r="B131" s="40"/>
      <c r="C131" s="40"/>
      <c r="D131" s="43"/>
      <c r="E131" s="43"/>
      <c r="F131" s="43"/>
      <c r="G131" s="44">
        <v>1</v>
      </c>
      <c r="H131" s="44">
        <v>6</v>
      </c>
      <c r="I131" s="44">
        <v>14</v>
      </c>
      <c r="J131" s="44">
        <f>$T$76+18*I131/1000</f>
        <v>2.052</v>
      </c>
      <c r="K131" s="7"/>
      <c r="L131" s="7" t="str">
        <f t="shared" si="18"/>
        <v/>
      </c>
      <c r="M131" s="7" t="str">
        <f t="shared" si="15"/>
        <v/>
      </c>
      <c r="N131" s="7"/>
      <c r="O131" s="7">
        <f t="shared" si="12"/>
        <v>12.312000000000001</v>
      </c>
      <c r="P131" s="7" t="str">
        <f t="shared" si="16"/>
        <v/>
      </c>
      <c r="Q131" s="7"/>
      <c r="R131" s="7"/>
      <c r="S131" s="7"/>
    </row>
    <row r="132" spans="1:19" s="45" customFormat="1">
      <c r="A132" t="s">
        <v>76</v>
      </c>
      <c r="B132" s="40"/>
      <c r="C132" s="40"/>
      <c r="D132" s="43"/>
      <c r="E132" s="43"/>
      <c r="F132" s="43"/>
      <c r="G132" s="44">
        <v>1</v>
      </c>
      <c r="H132" s="44">
        <f>ROUNDUP(($T$76-0.25)/0.15,0)</f>
        <v>11</v>
      </c>
      <c r="I132" s="44">
        <v>6</v>
      </c>
      <c r="J132" s="44">
        <f>2*(E130+F130)+20.5*I132/1000</f>
        <v>1.5229999999999999</v>
      </c>
      <c r="K132" s="7">
        <f t="shared" si="10"/>
        <v>16.753</v>
      </c>
      <c r="L132" s="7" t="str">
        <f t="shared" si="18"/>
        <v/>
      </c>
      <c r="M132" s="7" t="str">
        <f t="shared" si="15"/>
        <v/>
      </c>
      <c r="N132" s="7" t="str">
        <f t="shared" si="11"/>
        <v/>
      </c>
      <c r="O132" s="7" t="str">
        <f t="shared" si="12"/>
        <v/>
      </c>
      <c r="P132" s="7" t="str">
        <f t="shared" si="16"/>
        <v/>
      </c>
      <c r="Q132" s="7" t="str">
        <f t="shared" si="13"/>
        <v/>
      </c>
      <c r="R132" s="7"/>
      <c r="S132" s="7" t="str">
        <f t="shared" si="17"/>
        <v/>
      </c>
    </row>
    <row r="133" spans="1:19" s="45" customFormat="1">
      <c r="A133" t="s">
        <v>77</v>
      </c>
      <c r="B133" s="40"/>
      <c r="C133" s="40"/>
      <c r="D133" s="43"/>
      <c r="E133" s="43"/>
      <c r="F133" s="43"/>
      <c r="G133" s="44">
        <v>1</v>
      </c>
      <c r="H133" s="44">
        <f>ROUNDUP(($T$76-0.25)/0.15,0)</f>
        <v>11</v>
      </c>
      <c r="I133" s="44">
        <v>6</v>
      </c>
      <c r="J133" s="44">
        <f>E130+22*I133/1000</f>
        <v>0.48199999999999998</v>
      </c>
      <c r="K133" s="7">
        <f t="shared" si="10"/>
        <v>5.3019999999999996</v>
      </c>
      <c r="L133" s="7" t="str">
        <f t="shared" si="18"/>
        <v/>
      </c>
      <c r="M133" s="7" t="str">
        <f t="shared" si="15"/>
        <v/>
      </c>
      <c r="N133" s="7" t="str">
        <f t="shared" si="11"/>
        <v/>
      </c>
      <c r="O133" s="7" t="str">
        <f t="shared" si="12"/>
        <v/>
      </c>
      <c r="P133" s="7" t="str">
        <f t="shared" si="16"/>
        <v/>
      </c>
      <c r="Q133" s="7" t="str">
        <f t="shared" si="13"/>
        <v/>
      </c>
      <c r="R133" s="7"/>
      <c r="S133" s="7" t="str">
        <f t="shared" si="17"/>
        <v/>
      </c>
    </row>
    <row r="134" spans="1:19" s="45" customFormat="1">
      <c r="A134"/>
      <c r="B134" s="40" t="s">
        <v>9</v>
      </c>
      <c r="C134" s="40">
        <v>6</v>
      </c>
      <c r="D134" s="43" t="s">
        <v>24</v>
      </c>
      <c r="E134" s="43">
        <v>0.25</v>
      </c>
      <c r="F134" s="43">
        <v>0.35</v>
      </c>
      <c r="G134" s="44"/>
      <c r="H134" s="44"/>
      <c r="I134" s="44"/>
      <c r="J134" s="44"/>
      <c r="K134" s="7" t="str">
        <f t="shared" si="10"/>
        <v/>
      </c>
      <c r="L134" s="7" t="str">
        <f t="shared" si="18"/>
        <v/>
      </c>
      <c r="M134" s="7" t="str">
        <f t="shared" si="15"/>
        <v/>
      </c>
      <c r="N134" s="7" t="str">
        <f t="shared" si="11"/>
        <v/>
      </c>
      <c r="O134" s="7" t="str">
        <f t="shared" si="12"/>
        <v/>
      </c>
      <c r="P134" s="7" t="str">
        <f t="shared" si="16"/>
        <v/>
      </c>
      <c r="Q134" s="7" t="str">
        <f t="shared" si="13"/>
        <v/>
      </c>
      <c r="R134" s="7"/>
      <c r="S134" s="7" t="str">
        <f t="shared" si="17"/>
        <v/>
      </c>
    </row>
    <row r="135" spans="1:19" s="45" customFormat="1">
      <c r="A135" t="s">
        <v>86</v>
      </c>
      <c r="B135" s="40"/>
      <c r="C135" s="40"/>
      <c r="D135" s="43"/>
      <c r="E135" s="43"/>
      <c r="F135" s="43"/>
      <c r="G135" s="44">
        <v>1</v>
      </c>
      <c r="H135" s="44">
        <v>6</v>
      </c>
      <c r="I135" s="44">
        <v>14</v>
      </c>
      <c r="J135" s="44">
        <f>$T$76+18*I135/1000</f>
        <v>2.052</v>
      </c>
      <c r="K135" s="7"/>
      <c r="L135" s="7" t="str">
        <f t="shared" ref="L135:L181" si="39">IF(I135=8,G135*H135*J135,"")</f>
        <v/>
      </c>
      <c r="M135" s="7" t="str">
        <f t="shared" si="15"/>
        <v/>
      </c>
      <c r="N135" s="7"/>
      <c r="O135" s="7">
        <f t="shared" si="12"/>
        <v>12.312000000000001</v>
      </c>
      <c r="P135" s="7" t="str">
        <f t="shared" si="16"/>
        <v/>
      </c>
      <c r="Q135" s="7"/>
      <c r="R135" s="7"/>
      <c r="S135" s="7"/>
    </row>
    <row r="136" spans="1:19" s="45" customFormat="1">
      <c r="A136" t="s">
        <v>76</v>
      </c>
      <c r="B136" s="40"/>
      <c r="C136" s="40"/>
      <c r="D136" s="43"/>
      <c r="E136" s="43"/>
      <c r="F136" s="43"/>
      <c r="G136" s="44">
        <v>1</v>
      </c>
      <c r="H136" s="44">
        <f>ROUNDUP(($T$76-0.25)/0.15,0)</f>
        <v>11</v>
      </c>
      <c r="I136" s="44">
        <v>6</v>
      </c>
      <c r="J136" s="44">
        <f>2*(E134+F134)+20.5*I136/1000</f>
        <v>1.323</v>
      </c>
      <c r="K136" s="7">
        <f t="shared" si="10"/>
        <v>14.552999999999999</v>
      </c>
      <c r="L136" s="7" t="str">
        <f t="shared" si="39"/>
        <v/>
      </c>
      <c r="M136" s="7" t="str">
        <f t="shared" si="15"/>
        <v/>
      </c>
      <c r="N136" s="7" t="str">
        <f t="shared" si="11"/>
        <v/>
      </c>
      <c r="O136" s="7" t="str">
        <f t="shared" si="12"/>
        <v/>
      </c>
      <c r="P136" s="7" t="str">
        <f t="shared" si="16"/>
        <v/>
      </c>
      <c r="Q136" s="7" t="str">
        <f t="shared" si="13"/>
        <v/>
      </c>
      <c r="R136" s="7"/>
      <c r="S136" s="7" t="str">
        <f t="shared" si="17"/>
        <v/>
      </c>
    </row>
    <row r="137" spans="1:19" s="45" customFormat="1">
      <c r="A137" t="s">
        <v>77</v>
      </c>
      <c r="B137" s="40"/>
      <c r="C137" s="40"/>
      <c r="D137" s="43"/>
      <c r="E137" s="43"/>
      <c r="F137" s="43"/>
      <c r="G137" s="44">
        <v>1</v>
      </c>
      <c r="H137" s="44">
        <f>ROUNDUP(($T$76-0.25)/0.15,0)</f>
        <v>11</v>
      </c>
      <c r="I137" s="44">
        <v>6</v>
      </c>
      <c r="J137" s="44">
        <f>E134+22*I137/1000</f>
        <v>0.38200000000000001</v>
      </c>
      <c r="K137" s="7">
        <f t="shared" si="10"/>
        <v>4.202</v>
      </c>
      <c r="L137" s="7" t="str">
        <f t="shared" si="39"/>
        <v/>
      </c>
      <c r="M137" s="7" t="str">
        <f t="shared" si="15"/>
        <v/>
      </c>
      <c r="N137" s="7" t="str">
        <f t="shared" si="11"/>
        <v/>
      </c>
      <c r="O137" s="7" t="str">
        <f t="shared" si="12"/>
        <v/>
      </c>
      <c r="P137" s="7" t="str">
        <f t="shared" si="16"/>
        <v/>
      </c>
      <c r="Q137" s="7" t="str">
        <f t="shared" si="13"/>
        <v/>
      </c>
      <c r="R137" s="7"/>
      <c r="S137" s="7" t="str">
        <f t="shared" si="17"/>
        <v/>
      </c>
    </row>
    <row r="138" spans="1:19" s="45" customFormat="1">
      <c r="A138"/>
      <c r="B138" s="40" t="s">
        <v>9</v>
      </c>
      <c r="C138" s="40">
        <v>7</v>
      </c>
      <c r="D138" s="43" t="s">
        <v>24</v>
      </c>
      <c r="E138" s="43">
        <v>0.25</v>
      </c>
      <c r="F138" s="43">
        <v>0.35</v>
      </c>
      <c r="G138" s="44"/>
      <c r="H138" s="44"/>
      <c r="I138" s="44"/>
      <c r="J138" s="44"/>
      <c r="K138" s="7" t="str">
        <f t="shared" si="10"/>
        <v/>
      </c>
      <c r="L138" s="7" t="str">
        <f t="shared" si="39"/>
        <v/>
      </c>
      <c r="M138" s="7" t="str">
        <f t="shared" si="15"/>
        <v/>
      </c>
      <c r="N138" s="7" t="str">
        <f t="shared" si="11"/>
        <v/>
      </c>
      <c r="O138" s="7" t="str">
        <f t="shared" si="12"/>
        <v/>
      </c>
      <c r="P138" s="7" t="str">
        <f t="shared" si="16"/>
        <v/>
      </c>
      <c r="Q138" s="7" t="str">
        <f t="shared" si="13"/>
        <v/>
      </c>
      <c r="R138" s="7"/>
      <c r="S138" s="7" t="str">
        <f t="shared" si="17"/>
        <v/>
      </c>
    </row>
    <row r="139" spans="1:19" s="45" customFormat="1">
      <c r="A139" t="s">
        <v>86</v>
      </c>
      <c r="B139" s="40"/>
      <c r="C139" s="40"/>
      <c r="D139" s="43"/>
      <c r="E139" s="43"/>
      <c r="F139" s="43"/>
      <c r="G139" s="44">
        <v>1</v>
      </c>
      <c r="H139" s="44">
        <v>6</v>
      </c>
      <c r="I139" s="44">
        <v>14</v>
      </c>
      <c r="J139" s="44">
        <f>$T$76+18*I139/1000</f>
        <v>2.052</v>
      </c>
      <c r="K139" s="7"/>
      <c r="L139" s="7" t="str">
        <f t="shared" si="39"/>
        <v/>
      </c>
      <c r="M139" s="7" t="str">
        <f t="shared" si="15"/>
        <v/>
      </c>
      <c r="N139" s="7"/>
      <c r="O139" s="7">
        <f t="shared" si="12"/>
        <v>12.312000000000001</v>
      </c>
      <c r="P139" s="7" t="str">
        <f t="shared" si="16"/>
        <v/>
      </c>
      <c r="Q139" s="7"/>
      <c r="R139" s="7"/>
      <c r="S139" s="7"/>
    </row>
    <row r="140" spans="1:19" s="45" customFormat="1">
      <c r="A140" t="s">
        <v>76</v>
      </c>
      <c r="B140" s="40"/>
      <c r="C140" s="40"/>
      <c r="D140" s="43"/>
      <c r="E140" s="43"/>
      <c r="F140" s="43"/>
      <c r="G140" s="44">
        <v>1</v>
      </c>
      <c r="H140" s="44">
        <f>ROUNDUP(($T$76-0.25)/0.15,0)</f>
        <v>11</v>
      </c>
      <c r="I140" s="44">
        <v>6</v>
      </c>
      <c r="J140" s="44">
        <f>2*(E138+F138)+20.5*I140/1000</f>
        <v>1.323</v>
      </c>
      <c r="K140" s="7">
        <f t="shared" si="10"/>
        <v>14.552999999999999</v>
      </c>
      <c r="L140" s="7" t="str">
        <f t="shared" si="39"/>
        <v/>
      </c>
      <c r="M140" s="7" t="str">
        <f t="shared" si="15"/>
        <v/>
      </c>
      <c r="N140" s="7" t="str">
        <f t="shared" si="11"/>
        <v/>
      </c>
      <c r="O140" s="7" t="str">
        <f t="shared" si="12"/>
        <v/>
      </c>
      <c r="P140" s="7" t="str">
        <f t="shared" si="16"/>
        <v/>
      </c>
      <c r="Q140" s="7" t="str">
        <f t="shared" si="13"/>
        <v/>
      </c>
      <c r="R140" s="7"/>
      <c r="S140" s="7" t="str">
        <f t="shared" si="17"/>
        <v/>
      </c>
    </row>
    <row r="141" spans="1:19" s="45" customFormat="1">
      <c r="A141" t="s">
        <v>77</v>
      </c>
      <c r="B141" s="40"/>
      <c r="C141" s="40"/>
      <c r="D141" s="43"/>
      <c r="E141" s="43"/>
      <c r="F141" s="43"/>
      <c r="G141" s="44">
        <v>1</v>
      </c>
      <c r="H141" s="44">
        <f>ROUNDUP(($T$76-0.25)/0.15,0)</f>
        <v>11</v>
      </c>
      <c r="I141" s="44">
        <v>6</v>
      </c>
      <c r="J141" s="44">
        <f>E138+22*I141/1000</f>
        <v>0.38200000000000001</v>
      </c>
      <c r="K141" s="7">
        <f t="shared" si="10"/>
        <v>4.202</v>
      </c>
      <c r="L141" s="7" t="str">
        <f t="shared" si="39"/>
        <v/>
      </c>
      <c r="M141" s="7" t="str">
        <f t="shared" si="15"/>
        <v/>
      </c>
      <c r="N141" s="7" t="str">
        <f t="shared" si="11"/>
        <v/>
      </c>
      <c r="O141" s="7" t="str">
        <f t="shared" si="12"/>
        <v/>
      </c>
      <c r="P141" s="7" t="str">
        <f t="shared" ref="P141:P206" si="40">IF(I141=16,G141*H141*J141,"")</f>
        <v/>
      </c>
      <c r="Q141" s="7" t="str">
        <f t="shared" si="13"/>
        <v/>
      </c>
      <c r="R141" s="7"/>
      <c r="S141" s="7" t="str">
        <f t="shared" si="17"/>
        <v/>
      </c>
    </row>
    <row r="142" spans="1:19" s="45" customFormat="1">
      <c r="A142"/>
      <c r="B142" s="40" t="s">
        <v>9</v>
      </c>
      <c r="C142" s="40">
        <v>8</v>
      </c>
      <c r="D142" s="43" t="s">
        <v>24</v>
      </c>
      <c r="E142" s="43">
        <v>0.25</v>
      </c>
      <c r="F142" s="43">
        <v>0.35</v>
      </c>
      <c r="G142" s="44"/>
      <c r="H142" s="44"/>
      <c r="I142" s="44"/>
      <c r="J142" s="44"/>
      <c r="K142" s="7" t="str">
        <f t="shared" si="10"/>
        <v/>
      </c>
      <c r="L142" s="7" t="str">
        <f t="shared" si="39"/>
        <v/>
      </c>
      <c r="M142" s="7" t="str">
        <f t="shared" si="15"/>
        <v/>
      </c>
      <c r="N142" s="7" t="str">
        <f t="shared" si="11"/>
        <v/>
      </c>
      <c r="O142" s="7" t="str">
        <f t="shared" si="12"/>
        <v/>
      </c>
      <c r="P142" s="7" t="str">
        <f t="shared" si="40"/>
        <v/>
      </c>
      <c r="Q142" s="7" t="str">
        <f t="shared" si="13"/>
        <v/>
      </c>
      <c r="R142" s="7"/>
      <c r="S142" s="7" t="str">
        <f t="shared" si="17"/>
        <v/>
      </c>
    </row>
    <row r="143" spans="1:19" s="45" customFormat="1">
      <c r="A143" t="s">
        <v>86</v>
      </c>
      <c r="B143" s="40"/>
      <c r="C143" s="40"/>
      <c r="D143" s="43"/>
      <c r="E143" s="43"/>
      <c r="F143" s="43"/>
      <c r="G143" s="44">
        <v>1</v>
      </c>
      <c r="H143" s="44">
        <v>6</v>
      </c>
      <c r="I143" s="44">
        <v>14</v>
      </c>
      <c r="J143" s="44">
        <f>$T$76+18*I143/1000</f>
        <v>2.052</v>
      </c>
      <c r="K143" s="7"/>
      <c r="L143" s="7" t="str">
        <f t="shared" si="39"/>
        <v/>
      </c>
      <c r="M143" s="7" t="str">
        <f t="shared" si="15"/>
        <v/>
      </c>
      <c r="N143" s="7"/>
      <c r="O143" s="7">
        <f t="shared" si="12"/>
        <v>12.312000000000001</v>
      </c>
      <c r="P143" s="7" t="str">
        <f t="shared" si="40"/>
        <v/>
      </c>
      <c r="Q143" s="7"/>
      <c r="R143" s="7"/>
      <c r="S143" s="7"/>
    </row>
    <row r="144" spans="1:19" s="45" customFormat="1">
      <c r="A144" t="s">
        <v>76</v>
      </c>
      <c r="B144" s="40"/>
      <c r="C144" s="40"/>
      <c r="D144" s="43"/>
      <c r="E144" s="43"/>
      <c r="F144" s="43"/>
      <c r="G144" s="44">
        <v>1</v>
      </c>
      <c r="H144" s="44">
        <f>ROUNDUP(($T$76-0.25)/0.15,0)</f>
        <v>11</v>
      </c>
      <c r="I144" s="44">
        <v>6</v>
      </c>
      <c r="J144" s="44">
        <f>2*(E142+F142)+20.5*I144/1000</f>
        <v>1.323</v>
      </c>
      <c r="K144" s="7"/>
      <c r="L144" s="7" t="str">
        <f t="shared" si="39"/>
        <v/>
      </c>
      <c r="M144" s="7" t="str">
        <f t="shared" si="15"/>
        <v/>
      </c>
      <c r="N144" s="7"/>
      <c r="O144" s="7" t="str">
        <f t="shared" si="12"/>
        <v/>
      </c>
      <c r="P144" s="7"/>
      <c r="Q144" s="7"/>
      <c r="R144" s="7"/>
      <c r="S144" s="7"/>
    </row>
    <row r="145" spans="1:19" s="45" customFormat="1">
      <c r="A145" t="s">
        <v>77</v>
      </c>
      <c r="B145" s="40"/>
      <c r="C145" s="40"/>
      <c r="D145" s="43"/>
      <c r="E145" s="43"/>
      <c r="F145" s="43"/>
      <c r="G145" s="44">
        <v>1</v>
      </c>
      <c r="H145" s="44">
        <f>ROUNDUP(($T$76-0.25)/0.15,0)</f>
        <v>11</v>
      </c>
      <c r="I145" s="44">
        <v>6</v>
      </c>
      <c r="J145" s="44">
        <f>E142+22*I145/1000</f>
        <v>0.38200000000000001</v>
      </c>
      <c r="K145" s="7">
        <f t="shared" si="10"/>
        <v>4.202</v>
      </c>
      <c r="L145" s="7" t="str">
        <f t="shared" si="39"/>
        <v/>
      </c>
      <c r="M145" s="7" t="str">
        <f t="shared" si="15"/>
        <v/>
      </c>
      <c r="N145" s="7" t="str">
        <f t="shared" si="11"/>
        <v/>
      </c>
      <c r="O145" s="7" t="str">
        <f t="shared" si="12"/>
        <v/>
      </c>
      <c r="P145" s="7" t="str">
        <f t="shared" si="40"/>
        <v/>
      </c>
      <c r="Q145" s="7" t="str">
        <f t="shared" si="13"/>
        <v/>
      </c>
      <c r="R145" s="7"/>
      <c r="S145" s="7" t="str">
        <f t="shared" si="17"/>
        <v/>
      </c>
    </row>
    <row r="146" spans="1:19" s="45" customFormat="1">
      <c r="B146" s="40" t="s">
        <v>11</v>
      </c>
      <c r="C146" s="40">
        <v>1</v>
      </c>
      <c r="D146" s="43" t="s">
        <v>43</v>
      </c>
      <c r="E146" s="43">
        <v>0.3</v>
      </c>
      <c r="F146" s="43">
        <v>0.3</v>
      </c>
      <c r="G146" s="44"/>
      <c r="H146" s="44"/>
      <c r="I146" s="44"/>
      <c r="J146" s="44"/>
      <c r="K146" s="7" t="str">
        <f t="shared" si="10"/>
        <v/>
      </c>
      <c r="L146" s="7" t="str">
        <f t="shared" si="39"/>
        <v/>
      </c>
      <c r="M146" s="7" t="str">
        <f t="shared" si="15"/>
        <v/>
      </c>
      <c r="N146" s="7" t="str">
        <f t="shared" si="11"/>
        <v/>
      </c>
      <c r="O146" s="7" t="str">
        <f t="shared" si="12"/>
        <v/>
      </c>
      <c r="P146" s="7" t="str">
        <f t="shared" si="40"/>
        <v/>
      </c>
      <c r="Q146" s="7" t="str">
        <f t="shared" si="13"/>
        <v/>
      </c>
      <c r="R146" s="7"/>
      <c r="S146" s="7" t="str">
        <f t="shared" si="17"/>
        <v/>
      </c>
    </row>
    <row r="147" spans="1:19" s="45" customFormat="1">
      <c r="A147" t="s">
        <v>86</v>
      </c>
      <c r="B147" s="40"/>
      <c r="C147" s="40"/>
      <c r="D147" s="43"/>
      <c r="E147" s="43"/>
      <c r="F147" s="43"/>
      <c r="G147" s="44">
        <v>1</v>
      </c>
      <c r="H147" s="44">
        <v>6</v>
      </c>
      <c r="I147" s="44">
        <v>14</v>
      </c>
      <c r="J147" s="44">
        <f>$T$76+18*I147/1000</f>
        <v>2.052</v>
      </c>
      <c r="K147" s="7" t="str">
        <f t="shared" si="10"/>
        <v/>
      </c>
      <c r="L147" s="7" t="str">
        <f t="shared" si="39"/>
        <v/>
      </c>
      <c r="M147" s="7" t="str">
        <f t="shared" si="15"/>
        <v/>
      </c>
      <c r="N147" s="7"/>
      <c r="O147" s="7">
        <f t="shared" si="12"/>
        <v>12.312000000000001</v>
      </c>
      <c r="P147" s="7" t="str">
        <f t="shared" si="40"/>
        <v/>
      </c>
      <c r="Q147" s="7"/>
      <c r="R147" s="7"/>
      <c r="S147" s="7"/>
    </row>
    <row r="148" spans="1:19" s="45" customFormat="1">
      <c r="A148" t="s">
        <v>76</v>
      </c>
      <c r="B148" s="40"/>
      <c r="C148" s="40"/>
      <c r="D148" s="43"/>
      <c r="E148" s="43"/>
      <c r="F148" s="43"/>
      <c r="G148" s="44">
        <v>1</v>
      </c>
      <c r="H148" s="44">
        <f>ROUNDUP(($T$76-0.25)/0.15,0)</f>
        <v>11</v>
      </c>
      <c r="I148" s="44">
        <v>6</v>
      </c>
      <c r="J148" s="44">
        <f>2*(E146+F146)+20.5*I148/1000</f>
        <v>1.323</v>
      </c>
      <c r="K148" s="7">
        <f t="shared" si="10"/>
        <v>14.552999999999999</v>
      </c>
      <c r="L148" s="7" t="str">
        <f t="shared" si="39"/>
        <v/>
      </c>
      <c r="M148" s="7" t="str">
        <f t="shared" si="15"/>
        <v/>
      </c>
      <c r="N148" s="7"/>
      <c r="O148" s="7" t="str">
        <f t="shared" si="12"/>
        <v/>
      </c>
      <c r="P148" s="7"/>
      <c r="Q148" s="7"/>
      <c r="R148" s="7"/>
      <c r="S148" s="7"/>
    </row>
    <row r="149" spans="1:19" s="45" customFormat="1">
      <c r="A149" t="s">
        <v>77</v>
      </c>
      <c r="B149" s="40"/>
      <c r="C149" s="40"/>
      <c r="D149" s="43"/>
      <c r="E149" s="43"/>
      <c r="F149" s="43"/>
      <c r="G149" s="44">
        <v>1</v>
      </c>
      <c r="H149" s="44">
        <f>ROUNDUP(($T$76-0.25)/0.15,0)</f>
        <v>11</v>
      </c>
      <c r="I149" s="44">
        <v>6</v>
      </c>
      <c r="J149" s="44">
        <f>E146+22*I149/1000</f>
        <v>0.432</v>
      </c>
      <c r="K149" s="7">
        <f t="shared" si="10"/>
        <v>4.7519999999999998</v>
      </c>
      <c r="L149" s="7" t="str">
        <f t="shared" si="39"/>
        <v/>
      </c>
      <c r="M149" s="7" t="str">
        <f t="shared" si="15"/>
        <v/>
      </c>
      <c r="N149" s="7"/>
      <c r="O149" s="7" t="str">
        <f t="shared" si="12"/>
        <v/>
      </c>
      <c r="P149" s="7" t="str">
        <f t="shared" si="40"/>
        <v/>
      </c>
      <c r="Q149" s="7"/>
      <c r="R149" s="7"/>
      <c r="S149" s="7"/>
    </row>
    <row r="150" spans="1:19" s="45" customFormat="1">
      <c r="B150" s="40" t="s">
        <v>11</v>
      </c>
      <c r="C150" s="40">
        <v>2</v>
      </c>
      <c r="D150" s="43" t="s">
        <v>42</v>
      </c>
      <c r="E150" s="43">
        <v>0.4</v>
      </c>
      <c r="F150" s="43">
        <v>0.4</v>
      </c>
      <c r="G150" s="44"/>
      <c r="H150" s="44"/>
      <c r="I150" s="44"/>
      <c r="J150" s="44"/>
      <c r="K150" s="7" t="str">
        <f t="shared" si="10"/>
        <v/>
      </c>
      <c r="L150" s="7" t="str">
        <f t="shared" si="39"/>
        <v/>
      </c>
      <c r="M150" s="7" t="str">
        <f t="shared" si="15"/>
        <v/>
      </c>
      <c r="N150" s="7"/>
      <c r="O150" s="7" t="str">
        <f t="shared" si="12"/>
        <v/>
      </c>
      <c r="P150" s="7" t="str">
        <f t="shared" si="40"/>
        <v/>
      </c>
      <c r="Q150" s="7"/>
      <c r="R150" s="7"/>
      <c r="S150" s="7"/>
    </row>
    <row r="151" spans="1:19" s="45" customFormat="1">
      <c r="A151" t="s">
        <v>86</v>
      </c>
      <c r="B151" s="40"/>
      <c r="C151" s="40"/>
      <c r="D151" s="43"/>
      <c r="E151" s="43"/>
      <c r="F151" s="43"/>
      <c r="G151" s="44">
        <v>1</v>
      </c>
      <c r="H151" s="44">
        <v>6</v>
      </c>
      <c r="I151" s="44">
        <v>14</v>
      </c>
      <c r="J151" s="44">
        <f>$T$76+18*I151/1000</f>
        <v>2.052</v>
      </c>
      <c r="K151" s="7" t="str">
        <f t="shared" si="10"/>
        <v/>
      </c>
      <c r="L151" s="7" t="str">
        <f t="shared" si="39"/>
        <v/>
      </c>
      <c r="M151" s="7" t="str">
        <f t="shared" si="15"/>
        <v/>
      </c>
      <c r="N151" s="7"/>
      <c r="O151" s="7">
        <f t="shared" si="12"/>
        <v>12.312000000000001</v>
      </c>
      <c r="P151" s="7" t="str">
        <f t="shared" si="40"/>
        <v/>
      </c>
      <c r="Q151" s="7"/>
      <c r="R151" s="7"/>
      <c r="S151" s="7"/>
    </row>
    <row r="152" spans="1:19" s="45" customFormat="1">
      <c r="A152" t="s">
        <v>76</v>
      </c>
      <c r="B152" s="40"/>
      <c r="C152" s="40"/>
      <c r="D152" s="43"/>
      <c r="E152" s="43"/>
      <c r="F152" s="43"/>
      <c r="G152" s="44">
        <v>1</v>
      </c>
      <c r="H152" s="44">
        <f>ROUNDUP(($T$76-0.25)/0.15,0)</f>
        <v>11</v>
      </c>
      <c r="I152" s="44">
        <v>6</v>
      </c>
      <c r="J152" s="44">
        <f>2*(E150+F150)+20.5*I152/1000</f>
        <v>1.7230000000000001</v>
      </c>
      <c r="K152" s="7">
        <f t="shared" si="10"/>
        <v>18.952999999999999</v>
      </c>
      <c r="L152" s="7" t="str">
        <f t="shared" si="39"/>
        <v/>
      </c>
      <c r="M152" s="7" t="str">
        <f t="shared" si="15"/>
        <v/>
      </c>
      <c r="N152" s="7"/>
      <c r="O152" s="7" t="str">
        <f t="shared" si="12"/>
        <v/>
      </c>
      <c r="P152" s="7"/>
      <c r="Q152" s="7"/>
      <c r="R152" s="7"/>
      <c r="S152" s="7"/>
    </row>
    <row r="153" spans="1:19" s="45" customFormat="1">
      <c r="A153" t="s">
        <v>77</v>
      </c>
      <c r="B153" s="40"/>
      <c r="C153" s="40"/>
      <c r="D153" s="43"/>
      <c r="E153" s="43"/>
      <c r="F153" s="43"/>
      <c r="G153" s="44">
        <v>1</v>
      </c>
      <c r="H153" s="44">
        <f>ROUNDUP(($T$76-0.25)/0.15,0)</f>
        <v>11</v>
      </c>
      <c r="I153" s="44">
        <v>6</v>
      </c>
      <c r="J153" s="44">
        <f>E150+22*I153/1000</f>
        <v>0.53200000000000003</v>
      </c>
      <c r="K153" s="7">
        <f t="shared" si="10"/>
        <v>5.8520000000000003</v>
      </c>
      <c r="L153" s="7" t="str">
        <f t="shared" si="39"/>
        <v/>
      </c>
      <c r="M153" s="7" t="str">
        <f t="shared" si="15"/>
        <v/>
      </c>
      <c r="N153" s="7"/>
      <c r="O153" s="7" t="str">
        <f t="shared" si="12"/>
        <v/>
      </c>
      <c r="P153" s="7" t="str">
        <f t="shared" si="40"/>
        <v/>
      </c>
      <c r="Q153" s="7"/>
      <c r="R153" s="7"/>
      <c r="S153" s="7"/>
    </row>
    <row r="154" spans="1:19" s="45" customFormat="1">
      <c r="B154" s="40"/>
      <c r="C154" s="40"/>
      <c r="D154" s="43"/>
      <c r="E154" s="43"/>
      <c r="F154" s="43"/>
      <c r="G154" s="44"/>
      <c r="H154" s="44"/>
      <c r="I154" s="44"/>
      <c r="J154" s="44"/>
      <c r="K154" s="7" t="str">
        <f t="shared" si="10"/>
        <v/>
      </c>
      <c r="L154" s="7" t="str">
        <f t="shared" si="39"/>
        <v/>
      </c>
      <c r="M154" s="7" t="str">
        <f t="shared" si="15"/>
        <v/>
      </c>
      <c r="N154" s="7"/>
      <c r="O154" s="7" t="str">
        <f t="shared" si="12"/>
        <v/>
      </c>
      <c r="P154" s="7" t="str">
        <f t="shared" si="40"/>
        <v/>
      </c>
      <c r="Q154" s="7"/>
      <c r="R154" s="7"/>
      <c r="S154" s="7"/>
    </row>
    <row r="155" spans="1:19" s="45" customFormat="1">
      <c r="A155"/>
      <c r="B155" s="40" t="s">
        <v>11</v>
      </c>
      <c r="C155" s="40">
        <v>3</v>
      </c>
      <c r="D155" s="43" t="s">
        <v>42</v>
      </c>
      <c r="E155" s="43">
        <v>0.4</v>
      </c>
      <c r="F155" s="43">
        <v>0.4</v>
      </c>
      <c r="G155" s="44"/>
      <c r="H155" s="44"/>
      <c r="I155" s="44"/>
      <c r="J155" s="44"/>
      <c r="K155" s="7" t="str">
        <f t="shared" si="10"/>
        <v/>
      </c>
      <c r="L155" s="7" t="str">
        <f t="shared" si="39"/>
        <v/>
      </c>
      <c r="M155" s="7" t="str">
        <f t="shared" si="15"/>
        <v/>
      </c>
      <c r="N155" s="7"/>
      <c r="O155" s="7" t="str">
        <f t="shared" si="12"/>
        <v/>
      </c>
      <c r="P155" s="7" t="str">
        <f t="shared" si="40"/>
        <v/>
      </c>
      <c r="Q155" s="7"/>
      <c r="R155" s="7"/>
      <c r="S155" s="7"/>
    </row>
    <row r="156" spans="1:19" s="45" customFormat="1">
      <c r="A156" t="s">
        <v>86</v>
      </c>
      <c r="B156" s="40"/>
      <c r="C156" s="40"/>
      <c r="D156" s="43"/>
      <c r="E156" s="43"/>
      <c r="F156" s="43"/>
      <c r="G156" s="44">
        <v>1</v>
      </c>
      <c r="H156" s="44">
        <v>4</v>
      </c>
      <c r="I156" s="44">
        <v>14</v>
      </c>
      <c r="J156" s="44">
        <f>$T$76+18*I156/1000</f>
        <v>2.052</v>
      </c>
      <c r="K156" s="7" t="str">
        <f t="shared" si="10"/>
        <v/>
      </c>
      <c r="L156" s="7" t="str">
        <f t="shared" si="39"/>
        <v/>
      </c>
      <c r="M156" s="7" t="str">
        <f t="shared" si="15"/>
        <v/>
      </c>
      <c r="N156" s="7"/>
      <c r="O156" s="7">
        <f t="shared" si="12"/>
        <v>8.2080000000000002</v>
      </c>
      <c r="P156" s="7" t="str">
        <f t="shared" si="40"/>
        <v/>
      </c>
      <c r="Q156" s="7"/>
      <c r="R156" s="7"/>
      <c r="S156" s="7"/>
    </row>
    <row r="157" spans="1:19" s="45" customFormat="1">
      <c r="A157" t="s">
        <v>86</v>
      </c>
      <c r="B157" s="40"/>
      <c r="C157" s="40"/>
      <c r="D157" s="43"/>
      <c r="E157" s="43"/>
      <c r="F157" s="43"/>
      <c r="G157" s="44">
        <v>1</v>
      </c>
      <c r="H157" s="44">
        <v>2</v>
      </c>
      <c r="I157" s="44">
        <v>14</v>
      </c>
      <c r="J157" s="44">
        <f>$T$76+18*I157/1000</f>
        <v>2.052</v>
      </c>
      <c r="K157" s="7" t="str">
        <f t="shared" si="10"/>
        <v/>
      </c>
      <c r="L157" s="7" t="str">
        <f t="shared" si="39"/>
        <v/>
      </c>
      <c r="M157" s="7" t="str">
        <f t="shared" si="15"/>
        <v/>
      </c>
      <c r="N157" s="7"/>
      <c r="O157" s="7">
        <f t="shared" si="12"/>
        <v>4.1040000000000001</v>
      </c>
      <c r="P157" s="7"/>
      <c r="Q157" s="7"/>
      <c r="R157" s="7"/>
      <c r="S157" s="7"/>
    </row>
    <row r="158" spans="1:19" s="45" customFormat="1">
      <c r="A158" t="s">
        <v>76</v>
      </c>
      <c r="B158" s="40"/>
      <c r="C158" s="40"/>
      <c r="D158" s="43"/>
      <c r="E158" s="43"/>
      <c r="F158" s="43"/>
      <c r="G158" s="44">
        <v>1</v>
      </c>
      <c r="H158" s="44">
        <f>ROUNDUP(($T$76-0.25)/0.15,0)</f>
        <v>11</v>
      </c>
      <c r="I158" s="44">
        <v>6</v>
      </c>
      <c r="J158" s="44">
        <f>2*(E155+F155)+20.5*I158/1000</f>
        <v>1.7230000000000001</v>
      </c>
      <c r="K158" s="7">
        <f t="shared" si="10"/>
        <v>18.952999999999999</v>
      </c>
      <c r="L158" s="7" t="str">
        <f t="shared" si="39"/>
        <v/>
      </c>
      <c r="M158" s="7" t="str">
        <f t="shared" si="15"/>
        <v/>
      </c>
      <c r="N158" s="7"/>
      <c r="O158" s="7" t="str">
        <f t="shared" si="12"/>
        <v/>
      </c>
      <c r="P158" s="7" t="str">
        <f t="shared" si="40"/>
        <v/>
      </c>
      <c r="Q158" s="7"/>
      <c r="R158" s="7"/>
      <c r="S158" s="7"/>
    </row>
    <row r="159" spans="1:19" s="45" customFormat="1">
      <c r="A159" t="s">
        <v>77</v>
      </c>
      <c r="B159" s="40"/>
      <c r="C159" s="40"/>
      <c r="D159" s="43"/>
      <c r="E159" s="43"/>
      <c r="F159" s="43"/>
      <c r="G159" s="44">
        <v>1</v>
      </c>
      <c r="H159" s="44">
        <f>ROUNDUP(($T$76-0.25)/0.15,0)</f>
        <v>11</v>
      </c>
      <c r="I159" s="44">
        <v>6</v>
      </c>
      <c r="J159" s="44">
        <f>E155+22*I159/1000</f>
        <v>0.53200000000000003</v>
      </c>
      <c r="K159" s="7">
        <f t="shared" si="10"/>
        <v>5.8520000000000003</v>
      </c>
      <c r="L159" s="7" t="str">
        <f t="shared" si="39"/>
        <v/>
      </c>
      <c r="M159" s="7" t="str">
        <f t="shared" si="15"/>
        <v/>
      </c>
      <c r="N159" s="7"/>
      <c r="O159" s="7" t="str">
        <f t="shared" si="12"/>
        <v/>
      </c>
      <c r="P159" s="7" t="str">
        <f t="shared" si="40"/>
        <v/>
      </c>
      <c r="Q159" s="7"/>
      <c r="R159" s="7"/>
      <c r="S159" s="7"/>
    </row>
    <row r="160" spans="1:19" s="45" customFormat="1">
      <c r="A160"/>
      <c r="B160" s="40" t="s">
        <v>11</v>
      </c>
      <c r="C160" s="40">
        <v>5</v>
      </c>
      <c r="D160" s="43" t="s">
        <v>43</v>
      </c>
      <c r="E160" s="43">
        <v>0.3</v>
      </c>
      <c r="F160" s="43">
        <v>0.3</v>
      </c>
      <c r="G160" s="44"/>
      <c r="H160" s="44"/>
      <c r="I160" s="44"/>
      <c r="J160" s="44"/>
      <c r="K160" s="7" t="str">
        <f t="shared" si="10"/>
        <v/>
      </c>
      <c r="L160" s="7" t="str">
        <f t="shared" si="39"/>
        <v/>
      </c>
      <c r="M160" s="7" t="str">
        <f t="shared" si="15"/>
        <v/>
      </c>
      <c r="N160" s="7"/>
      <c r="O160" s="7" t="str">
        <f t="shared" si="12"/>
        <v/>
      </c>
      <c r="P160" s="7" t="str">
        <f t="shared" si="40"/>
        <v/>
      </c>
      <c r="Q160" s="7"/>
      <c r="R160" s="7"/>
      <c r="S160" s="7"/>
    </row>
    <row r="161" spans="1:19" s="45" customFormat="1">
      <c r="A161" t="s">
        <v>86</v>
      </c>
      <c r="B161" s="40"/>
      <c r="C161" s="40"/>
      <c r="D161" s="43"/>
      <c r="E161" s="43"/>
      <c r="F161" s="43"/>
      <c r="G161" s="44">
        <v>1</v>
      </c>
      <c r="H161" s="44">
        <v>6</v>
      </c>
      <c r="I161" s="44">
        <v>14</v>
      </c>
      <c r="J161" s="44">
        <f>$T$76+18*I161/1000</f>
        <v>2.052</v>
      </c>
      <c r="K161" s="7" t="str">
        <f t="shared" si="10"/>
        <v/>
      </c>
      <c r="L161" s="7" t="str">
        <f t="shared" si="39"/>
        <v/>
      </c>
      <c r="M161" s="7" t="str">
        <f t="shared" si="15"/>
        <v/>
      </c>
      <c r="N161" s="7"/>
      <c r="O161" s="7">
        <f t="shared" si="12"/>
        <v>12.312000000000001</v>
      </c>
      <c r="P161" s="7" t="str">
        <f t="shared" si="40"/>
        <v/>
      </c>
      <c r="Q161" s="7"/>
      <c r="R161" s="7"/>
      <c r="S161" s="7"/>
    </row>
    <row r="162" spans="1:19" s="45" customFormat="1">
      <c r="A162" t="s">
        <v>76</v>
      </c>
      <c r="B162" s="40"/>
      <c r="C162" s="40"/>
      <c r="D162" s="43"/>
      <c r="E162" s="43"/>
      <c r="F162" s="43"/>
      <c r="G162" s="44">
        <v>1</v>
      </c>
      <c r="H162" s="44">
        <f>ROUNDUP(($T$76-0.25)/0.15,0)</f>
        <v>11</v>
      </c>
      <c r="I162" s="44">
        <v>6</v>
      </c>
      <c r="J162" s="44">
        <f>2*(E160+F160)+20.5*I162/1000</f>
        <v>1.323</v>
      </c>
      <c r="K162" s="7">
        <f t="shared" si="10"/>
        <v>14.552999999999999</v>
      </c>
      <c r="L162" s="7" t="str">
        <f t="shared" si="39"/>
        <v/>
      </c>
      <c r="M162" s="7" t="str">
        <f t="shared" si="15"/>
        <v/>
      </c>
      <c r="N162" s="7"/>
      <c r="O162" s="7" t="str">
        <f t="shared" si="12"/>
        <v/>
      </c>
      <c r="P162" s="7" t="str">
        <f t="shared" si="40"/>
        <v/>
      </c>
      <c r="Q162" s="7"/>
      <c r="R162" s="7"/>
      <c r="S162" s="7"/>
    </row>
    <row r="163" spans="1:19" s="45" customFormat="1">
      <c r="A163" t="s">
        <v>77</v>
      </c>
      <c r="B163" s="40"/>
      <c r="C163" s="40"/>
      <c r="D163" s="43"/>
      <c r="E163" s="43"/>
      <c r="F163" s="43"/>
      <c r="G163" s="44">
        <v>1</v>
      </c>
      <c r="H163" s="44">
        <f>ROUNDUP(($T$76-0.25)/0.15,0)</f>
        <v>11</v>
      </c>
      <c r="I163" s="44">
        <v>6</v>
      </c>
      <c r="J163" s="44">
        <f>E160+22*I163/1000</f>
        <v>0.432</v>
      </c>
      <c r="K163" s="7">
        <f t="shared" si="10"/>
        <v>4.7519999999999998</v>
      </c>
      <c r="L163" s="7" t="str">
        <f t="shared" si="39"/>
        <v/>
      </c>
      <c r="M163" s="7" t="str">
        <f t="shared" si="15"/>
        <v/>
      </c>
      <c r="N163" s="7"/>
      <c r="O163" s="7" t="str">
        <f t="shared" si="12"/>
        <v/>
      </c>
      <c r="P163" s="7" t="str">
        <f t="shared" si="40"/>
        <v/>
      </c>
      <c r="Q163" s="7"/>
      <c r="R163" s="7"/>
      <c r="S163" s="7"/>
    </row>
    <row r="164" spans="1:19" s="45" customFormat="1">
      <c r="A164"/>
      <c r="B164" s="40" t="s">
        <v>11</v>
      </c>
      <c r="C164" s="40">
        <v>6</v>
      </c>
      <c r="D164" s="43" t="s">
        <v>24</v>
      </c>
      <c r="E164" s="43">
        <v>0.25</v>
      </c>
      <c r="F164" s="43">
        <v>0.35</v>
      </c>
      <c r="G164" s="44"/>
      <c r="H164" s="44"/>
      <c r="I164" s="44"/>
      <c r="J164" s="44"/>
      <c r="K164" s="7" t="str">
        <f t="shared" si="10"/>
        <v/>
      </c>
      <c r="L164" s="7" t="str">
        <f t="shared" si="39"/>
        <v/>
      </c>
      <c r="M164" s="7" t="str">
        <f t="shared" si="15"/>
        <v/>
      </c>
      <c r="N164" s="7"/>
      <c r="O164" s="7" t="str">
        <f t="shared" si="12"/>
        <v/>
      </c>
      <c r="P164" s="7" t="str">
        <f t="shared" si="40"/>
        <v/>
      </c>
      <c r="Q164" s="7"/>
      <c r="R164" s="7"/>
      <c r="S164" s="7"/>
    </row>
    <row r="165" spans="1:19" s="45" customFormat="1">
      <c r="A165" t="s">
        <v>86</v>
      </c>
      <c r="B165" s="40"/>
      <c r="C165" s="40"/>
      <c r="D165" s="43"/>
      <c r="E165" s="43"/>
      <c r="F165" s="43"/>
      <c r="G165" s="44">
        <v>1</v>
      </c>
      <c r="H165" s="44">
        <v>6</v>
      </c>
      <c r="I165" s="44">
        <v>14</v>
      </c>
      <c r="J165" s="44">
        <f>$T$76+18*I165/1000</f>
        <v>2.052</v>
      </c>
      <c r="K165" s="7" t="str">
        <f t="shared" si="10"/>
        <v/>
      </c>
      <c r="L165" s="7" t="str">
        <f t="shared" si="39"/>
        <v/>
      </c>
      <c r="M165" s="7" t="str">
        <f t="shared" si="15"/>
        <v/>
      </c>
      <c r="N165" s="7"/>
      <c r="O165" s="7">
        <f t="shared" si="12"/>
        <v>12.312000000000001</v>
      </c>
      <c r="P165" s="7" t="str">
        <f t="shared" si="40"/>
        <v/>
      </c>
      <c r="Q165" s="7"/>
      <c r="R165" s="7"/>
      <c r="S165" s="7"/>
    </row>
    <row r="166" spans="1:19" s="45" customFormat="1">
      <c r="A166" t="s">
        <v>76</v>
      </c>
      <c r="B166" s="40"/>
      <c r="C166" s="40"/>
      <c r="D166" s="43"/>
      <c r="E166" s="43"/>
      <c r="F166" s="43"/>
      <c r="G166" s="44">
        <v>1</v>
      </c>
      <c r="H166" s="44">
        <f>ROUNDUP(($T$76-0.25)/0.15,0)</f>
        <v>11</v>
      </c>
      <c r="I166" s="44">
        <v>6</v>
      </c>
      <c r="J166" s="44">
        <f>2*(E164+F164)+20.5*I166/1000</f>
        <v>1.323</v>
      </c>
      <c r="K166" s="7">
        <f t="shared" si="10"/>
        <v>14.552999999999999</v>
      </c>
      <c r="L166" s="7" t="str">
        <f t="shared" si="39"/>
        <v/>
      </c>
      <c r="M166" s="7" t="str">
        <f t="shared" si="15"/>
        <v/>
      </c>
      <c r="N166" s="7"/>
      <c r="O166" s="7" t="str">
        <f t="shared" si="12"/>
        <v/>
      </c>
      <c r="P166" s="7" t="str">
        <f t="shared" si="40"/>
        <v/>
      </c>
      <c r="Q166" s="7"/>
      <c r="R166" s="7"/>
      <c r="S166" s="7"/>
    </row>
    <row r="167" spans="1:19" s="45" customFormat="1">
      <c r="A167" t="s">
        <v>77</v>
      </c>
      <c r="B167" s="40"/>
      <c r="C167" s="40"/>
      <c r="D167" s="43"/>
      <c r="E167" s="43"/>
      <c r="F167" s="43"/>
      <c r="G167" s="44">
        <v>1</v>
      </c>
      <c r="H167" s="44">
        <f>ROUNDUP(($T$76-0.25)/0.15,0)</f>
        <v>11</v>
      </c>
      <c r="I167" s="44">
        <v>6</v>
      </c>
      <c r="J167" s="44">
        <f>E164+22*I167/1000</f>
        <v>0.38200000000000001</v>
      </c>
      <c r="K167" s="7">
        <f t="shared" si="10"/>
        <v>4.202</v>
      </c>
      <c r="L167" s="7" t="str">
        <f t="shared" si="39"/>
        <v/>
      </c>
      <c r="M167" s="7" t="str">
        <f t="shared" si="15"/>
        <v/>
      </c>
      <c r="N167" s="7"/>
      <c r="O167" s="7" t="str">
        <f t="shared" si="12"/>
        <v/>
      </c>
      <c r="P167" s="7" t="str">
        <f t="shared" si="40"/>
        <v/>
      </c>
      <c r="Q167" s="7"/>
      <c r="R167" s="7"/>
      <c r="S167" s="7"/>
    </row>
    <row r="168" spans="1:19" s="45" customFormat="1">
      <c r="A168"/>
      <c r="B168" s="40" t="s">
        <v>11</v>
      </c>
      <c r="C168" s="40">
        <v>7</v>
      </c>
      <c r="D168" s="43" t="s">
        <v>24</v>
      </c>
      <c r="E168" s="43">
        <v>0.25</v>
      </c>
      <c r="F168" s="43">
        <v>0.35</v>
      </c>
      <c r="G168" s="44"/>
      <c r="H168" s="44"/>
      <c r="I168" s="44"/>
      <c r="J168" s="44"/>
      <c r="K168" s="7" t="str">
        <f t="shared" si="10"/>
        <v/>
      </c>
      <c r="L168" s="7" t="str">
        <f t="shared" si="39"/>
        <v/>
      </c>
      <c r="M168" s="7" t="str">
        <f t="shared" si="15"/>
        <v/>
      </c>
      <c r="N168" s="7"/>
      <c r="O168" s="7" t="str">
        <f t="shared" si="12"/>
        <v/>
      </c>
      <c r="P168" s="7" t="str">
        <f t="shared" si="40"/>
        <v/>
      </c>
      <c r="Q168" s="7"/>
      <c r="R168" s="7"/>
      <c r="S168" s="7"/>
    </row>
    <row r="169" spans="1:19" s="45" customFormat="1">
      <c r="A169" t="s">
        <v>86</v>
      </c>
      <c r="B169" s="40"/>
      <c r="C169" s="40"/>
      <c r="D169" s="43"/>
      <c r="E169" s="43"/>
      <c r="F169" s="43"/>
      <c r="G169" s="44">
        <v>1</v>
      </c>
      <c r="H169" s="44">
        <v>6</v>
      </c>
      <c r="I169" s="44">
        <v>14</v>
      </c>
      <c r="J169" s="44">
        <f>$T$76+18*I169/1000</f>
        <v>2.052</v>
      </c>
      <c r="K169" s="7" t="str">
        <f t="shared" si="10"/>
        <v/>
      </c>
      <c r="L169" s="7" t="str">
        <f t="shared" si="39"/>
        <v/>
      </c>
      <c r="M169" s="7" t="str">
        <f t="shared" si="15"/>
        <v/>
      </c>
      <c r="N169" s="7"/>
      <c r="O169" s="7">
        <f t="shared" si="12"/>
        <v>12.312000000000001</v>
      </c>
      <c r="P169" s="7" t="str">
        <f t="shared" si="40"/>
        <v/>
      </c>
      <c r="Q169" s="7"/>
      <c r="R169" s="7"/>
      <c r="S169" s="7"/>
    </row>
    <row r="170" spans="1:19" s="45" customFormat="1">
      <c r="A170" t="s">
        <v>76</v>
      </c>
      <c r="B170" s="40"/>
      <c r="C170" s="40"/>
      <c r="D170" s="43"/>
      <c r="E170" s="43"/>
      <c r="F170" s="43"/>
      <c r="G170" s="44">
        <v>1</v>
      </c>
      <c r="H170" s="44">
        <f>ROUNDUP(($T$76-0.25)/0.15,0)</f>
        <v>11</v>
      </c>
      <c r="I170" s="44">
        <v>6</v>
      </c>
      <c r="J170" s="44">
        <f>2*(E168+F168)+20.5*I170/1000</f>
        <v>1.323</v>
      </c>
      <c r="K170" s="7">
        <f t="shared" si="10"/>
        <v>14.552999999999999</v>
      </c>
      <c r="L170" s="7" t="str">
        <f t="shared" si="39"/>
        <v/>
      </c>
      <c r="M170" s="7" t="str">
        <f t="shared" si="15"/>
        <v/>
      </c>
      <c r="N170" s="7"/>
      <c r="O170" s="7" t="str">
        <f t="shared" si="12"/>
        <v/>
      </c>
      <c r="P170" s="7" t="str">
        <f t="shared" si="40"/>
        <v/>
      </c>
      <c r="Q170" s="7"/>
      <c r="R170" s="7"/>
      <c r="S170" s="7"/>
    </row>
    <row r="171" spans="1:19" s="45" customFormat="1">
      <c r="A171" t="s">
        <v>77</v>
      </c>
      <c r="B171" s="40"/>
      <c r="C171" s="40"/>
      <c r="D171" s="43"/>
      <c r="E171" s="43"/>
      <c r="F171" s="43"/>
      <c r="G171" s="44">
        <v>1</v>
      </c>
      <c r="H171" s="44">
        <f>ROUNDUP(($T$76-0.25)/0.15,0)</f>
        <v>11</v>
      </c>
      <c r="I171" s="44">
        <v>6</v>
      </c>
      <c r="J171" s="44">
        <f>E168+22*I171/1000</f>
        <v>0.38200000000000001</v>
      </c>
      <c r="K171" s="7">
        <f t="shared" si="10"/>
        <v>4.202</v>
      </c>
      <c r="L171" s="7" t="str">
        <f t="shared" si="39"/>
        <v/>
      </c>
      <c r="M171" s="7" t="str">
        <f t="shared" si="15"/>
        <v/>
      </c>
      <c r="N171" s="7"/>
      <c r="O171" s="7" t="str">
        <f t="shared" si="12"/>
        <v/>
      </c>
      <c r="P171" s="7" t="str">
        <f t="shared" si="40"/>
        <v/>
      </c>
      <c r="Q171" s="7"/>
      <c r="R171" s="7"/>
      <c r="S171" s="7"/>
    </row>
    <row r="172" spans="1:19" s="45" customFormat="1">
      <c r="A172"/>
      <c r="B172" s="40" t="s">
        <v>11</v>
      </c>
      <c r="C172" s="40">
        <v>8</v>
      </c>
      <c r="D172" s="43" t="s">
        <v>24</v>
      </c>
      <c r="E172" s="43">
        <v>0.25</v>
      </c>
      <c r="F172" s="43">
        <v>0.35</v>
      </c>
      <c r="G172" s="44"/>
      <c r="H172" s="44"/>
      <c r="I172" s="44"/>
      <c r="J172" s="44"/>
      <c r="K172" s="7" t="str">
        <f t="shared" si="10"/>
        <v/>
      </c>
      <c r="L172" s="7" t="str">
        <f t="shared" si="39"/>
        <v/>
      </c>
      <c r="M172" s="7" t="str">
        <f t="shared" si="15"/>
        <v/>
      </c>
      <c r="N172" s="7"/>
      <c r="O172" s="7" t="str">
        <f t="shared" si="12"/>
        <v/>
      </c>
      <c r="P172" s="7" t="str">
        <f t="shared" si="40"/>
        <v/>
      </c>
      <c r="Q172" s="7"/>
      <c r="R172" s="7"/>
      <c r="S172" s="7"/>
    </row>
    <row r="173" spans="1:19" s="45" customFormat="1">
      <c r="A173" t="s">
        <v>86</v>
      </c>
      <c r="B173" s="40"/>
      <c r="C173" s="40"/>
      <c r="D173" s="43"/>
      <c r="E173" s="43"/>
      <c r="F173" s="43"/>
      <c r="G173" s="44">
        <v>1</v>
      </c>
      <c r="H173" s="44">
        <v>4</v>
      </c>
      <c r="I173" s="44">
        <v>14</v>
      </c>
      <c r="J173" s="44">
        <f>$T$76+18*I173/1000</f>
        <v>2.052</v>
      </c>
      <c r="K173" s="7" t="str">
        <f t="shared" si="10"/>
        <v/>
      </c>
      <c r="L173" s="7" t="str">
        <f t="shared" si="39"/>
        <v/>
      </c>
      <c r="M173" s="7" t="str">
        <f t="shared" si="15"/>
        <v/>
      </c>
      <c r="N173" s="7"/>
      <c r="O173" s="7">
        <f t="shared" si="12"/>
        <v>8.2080000000000002</v>
      </c>
      <c r="P173" s="7" t="str">
        <f t="shared" si="40"/>
        <v/>
      </c>
      <c r="Q173" s="7"/>
      <c r="R173" s="7"/>
      <c r="S173" s="7"/>
    </row>
    <row r="174" spans="1:19" s="45" customFormat="1">
      <c r="A174" t="s">
        <v>86</v>
      </c>
      <c r="B174" s="40"/>
      <c r="C174" s="40"/>
      <c r="D174" s="43"/>
      <c r="E174" s="43"/>
      <c r="F174" s="43"/>
      <c r="G174" s="44">
        <v>1</v>
      </c>
      <c r="H174" s="44">
        <v>2</v>
      </c>
      <c r="I174" s="44">
        <v>14</v>
      </c>
      <c r="J174" s="44">
        <f>$T$76+18*I174/1000</f>
        <v>2.052</v>
      </c>
      <c r="K174" s="7" t="str">
        <f t="shared" si="10"/>
        <v/>
      </c>
      <c r="L174" s="7" t="str">
        <f t="shared" si="39"/>
        <v/>
      </c>
      <c r="M174" s="7" t="str">
        <f t="shared" si="15"/>
        <v/>
      </c>
      <c r="N174" s="7"/>
      <c r="O174" s="7">
        <f t="shared" si="12"/>
        <v>4.1040000000000001</v>
      </c>
      <c r="P174" s="7"/>
      <c r="Q174" s="7"/>
      <c r="R174" s="7"/>
      <c r="S174" s="7"/>
    </row>
    <row r="175" spans="1:19" s="45" customFormat="1">
      <c r="A175" t="s">
        <v>76</v>
      </c>
      <c r="B175" s="40"/>
      <c r="C175" s="40"/>
      <c r="D175" s="43"/>
      <c r="E175" s="43"/>
      <c r="F175" s="43"/>
      <c r="G175" s="44">
        <v>1</v>
      </c>
      <c r="H175" s="44">
        <f>ROUNDUP(($T$76-0.25)/0.15,0)</f>
        <v>11</v>
      </c>
      <c r="I175" s="44">
        <v>6</v>
      </c>
      <c r="J175" s="44">
        <f>2*(E172+F172)+20.5*I175/1000</f>
        <v>1.323</v>
      </c>
      <c r="K175" s="7">
        <f t="shared" si="10"/>
        <v>14.552999999999999</v>
      </c>
      <c r="L175" s="7" t="str">
        <f t="shared" si="39"/>
        <v/>
      </c>
      <c r="M175" s="7" t="str">
        <f t="shared" si="15"/>
        <v/>
      </c>
      <c r="N175" s="7"/>
      <c r="O175" s="7" t="str">
        <f t="shared" si="12"/>
        <v/>
      </c>
      <c r="P175" s="7" t="str">
        <f t="shared" si="40"/>
        <v/>
      </c>
      <c r="Q175" s="7"/>
      <c r="R175" s="7"/>
      <c r="S175" s="7"/>
    </row>
    <row r="176" spans="1:19" s="45" customFormat="1">
      <c r="A176" t="s">
        <v>77</v>
      </c>
      <c r="B176" s="40"/>
      <c r="C176" s="40"/>
      <c r="D176" s="43"/>
      <c r="E176" s="43"/>
      <c r="F176" s="43"/>
      <c r="G176" s="44">
        <v>1</v>
      </c>
      <c r="H176" s="44">
        <f>ROUNDUP(($T$76-0.25)/0.15,0)</f>
        <v>11</v>
      </c>
      <c r="I176" s="44">
        <v>6</v>
      </c>
      <c r="J176" s="44">
        <f>E172+22*I176/1000</f>
        <v>0.38200000000000001</v>
      </c>
      <c r="K176" s="7">
        <f t="shared" si="10"/>
        <v>4.202</v>
      </c>
      <c r="L176" s="7" t="str">
        <f t="shared" si="39"/>
        <v/>
      </c>
      <c r="M176" s="7" t="str">
        <f t="shared" si="15"/>
        <v/>
      </c>
      <c r="N176" s="7"/>
      <c r="O176" s="7" t="str">
        <f t="shared" si="12"/>
        <v/>
      </c>
      <c r="P176" s="7" t="str">
        <f t="shared" si="40"/>
        <v/>
      </c>
      <c r="Q176" s="7"/>
      <c r="R176" s="7"/>
      <c r="S176" s="7"/>
    </row>
    <row r="177" spans="1:19">
      <c r="A177" s="154" t="s">
        <v>56</v>
      </c>
      <c r="B177" s="154"/>
      <c r="C177" s="154"/>
      <c r="D177" s="3"/>
      <c r="E177" s="3"/>
      <c r="F177" s="3"/>
      <c r="K177" s="7" t="str">
        <f t="shared" ref="K177" si="41">IF(I177=6,G177*H177*J177,"")</f>
        <v/>
      </c>
      <c r="L177" s="7" t="str">
        <f t="shared" si="39"/>
        <v/>
      </c>
      <c r="M177" s="7" t="str">
        <f t="shared" ref="M177:M219" si="42">IF(I177=10,G177*H177*J177,"")</f>
        <v/>
      </c>
      <c r="N177" s="7" t="str">
        <f t="shared" ref="N177:N231" si="43">IF(I177=12,G177*H177*J177,"")</f>
        <v/>
      </c>
      <c r="O177" s="7" t="str">
        <f t="shared" si="12"/>
        <v/>
      </c>
      <c r="P177" s="7" t="str">
        <f t="shared" si="40"/>
        <v/>
      </c>
      <c r="Q177" s="7" t="str">
        <f t="shared" ref="Q177:Q231" si="44">IF(I177=20,G177*H177*J177,"")</f>
        <v/>
      </c>
      <c r="S177" s="7" t="str">
        <f t="shared" ref="S177:S232" si="45">IF(I177=32,G177*H177*J177,"")</f>
        <v/>
      </c>
    </row>
    <row r="178" spans="1:19">
      <c r="A178" s="2" t="s">
        <v>2</v>
      </c>
      <c r="B178" s="2" t="s">
        <v>3</v>
      </c>
      <c r="C178" s="2" t="s">
        <v>12</v>
      </c>
      <c r="D178" s="22"/>
      <c r="E178" s="12"/>
      <c r="F178" s="12"/>
      <c r="K178" s="7" t="str">
        <f t="shared" ref="K178:K231" si="46">IF(I178=6,G178*H178*J178,"")</f>
        <v/>
      </c>
      <c r="L178" s="7" t="str">
        <f t="shared" si="39"/>
        <v/>
      </c>
      <c r="M178" s="7" t="str">
        <f t="shared" si="42"/>
        <v/>
      </c>
      <c r="N178" s="7" t="str">
        <f t="shared" si="43"/>
        <v/>
      </c>
      <c r="O178" s="7" t="str">
        <f t="shared" si="12"/>
        <v/>
      </c>
      <c r="P178" s="7" t="str">
        <f t="shared" si="40"/>
        <v/>
      </c>
      <c r="Q178" s="7" t="str">
        <f t="shared" si="44"/>
        <v/>
      </c>
      <c r="S178" s="7" t="str">
        <f t="shared" si="45"/>
        <v/>
      </c>
    </row>
    <row r="179" spans="1:19">
      <c r="A179" s="47" t="s">
        <v>7</v>
      </c>
      <c r="B179" s="23" t="s">
        <v>70</v>
      </c>
      <c r="C179" s="4" t="s">
        <v>116</v>
      </c>
      <c r="D179" s="12">
        <v>4.8</v>
      </c>
      <c r="E179" s="12">
        <v>0.2</v>
      </c>
      <c r="F179" s="12">
        <v>0.4</v>
      </c>
      <c r="K179" s="7" t="str">
        <f t="shared" si="46"/>
        <v/>
      </c>
      <c r="L179" s="7" t="str">
        <f t="shared" si="39"/>
        <v/>
      </c>
      <c r="M179" s="7" t="str">
        <f t="shared" si="42"/>
        <v/>
      </c>
      <c r="N179" s="7" t="str">
        <f t="shared" si="43"/>
        <v/>
      </c>
      <c r="O179" s="7" t="str">
        <f t="shared" ref="O179:O255" si="47">IF(I179=14,G179*H179*J179,"")</f>
        <v/>
      </c>
      <c r="P179" s="7" t="str">
        <f t="shared" si="40"/>
        <v/>
      </c>
      <c r="Q179" s="7" t="str">
        <f t="shared" si="44"/>
        <v/>
      </c>
      <c r="S179" s="7" t="str">
        <f t="shared" si="45"/>
        <v/>
      </c>
    </row>
    <row r="180" spans="1:19">
      <c r="A180" s="46" t="s">
        <v>74</v>
      </c>
      <c r="B180" s="23"/>
      <c r="C180" s="40"/>
      <c r="D180" s="41"/>
      <c r="E180" s="41"/>
      <c r="F180" s="41"/>
      <c r="G180" s="9">
        <v>1</v>
      </c>
      <c r="H180" s="9">
        <v>3</v>
      </c>
      <c r="I180" s="9">
        <v>12</v>
      </c>
      <c r="J180" s="9">
        <f>D179+36*I180/1000</f>
        <v>5.2320000000000002</v>
      </c>
      <c r="K180" s="7" t="str">
        <f t="shared" si="46"/>
        <v/>
      </c>
      <c r="L180" s="7" t="str">
        <f t="shared" si="39"/>
        <v/>
      </c>
      <c r="M180" s="7" t="str">
        <f t="shared" si="42"/>
        <v/>
      </c>
      <c r="N180" s="7">
        <f t="shared" si="43"/>
        <v>15.696000000000002</v>
      </c>
      <c r="O180" s="7" t="str">
        <f t="shared" si="47"/>
        <v/>
      </c>
      <c r="P180" s="7" t="str">
        <f t="shared" si="40"/>
        <v/>
      </c>
      <c r="Q180" s="7" t="str">
        <f t="shared" si="44"/>
        <v/>
      </c>
      <c r="S180" s="7" t="str">
        <f t="shared" si="45"/>
        <v/>
      </c>
    </row>
    <row r="181" spans="1:19">
      <c r="A181" s="46" t="s">
        <v>75</v>
      </c>
      <c r="B181" s="23"/>
      <c r="C181" s="40"/>
      <c r="D181" s="41"/>
      <c r="E181" s="41"/>
      <c r="F181" s="41"/>
      <c r="G181" s="9">
        <v>1</v>
      </c>
      <c r="H181" s="9">
        <v>3</v>
      </c>
      <c r="I181" s="9">
        <v>10</v>
      </c>
      <c r="J181" s="9">
        <f>$D$179+36*I181/1000</f>
        <v>5.16</v>
      </c>
      <c r="K181" s="7" t="str">
        <f t="shared" si="46"/>
        <v/>
      </c>
      <c r="L181" s="7" t="str">
        <f t="shared" si="39"/>
        <v/>
      </c>
      <c r="M181" s="7">
        <f t="shared" si="42"/>
        <v>15.48</v>
      </c>
      <c r="N181" s="7" t="str">
        <f t="shared" si="43"/>
        <v/>
      </c>
      <c r="O181" s="7" t="str">
        <f t="shared" si="47"/>
        <v/>
      </c>
      <c r="P181" s="7" t="str">
        <f t="shared" si="40"/>
        <v/>
      </c>
      <c r="Q181" s="7" t="str">
        <f t="shared" si="44"/>
        <v/>
      </c>
      <c r="S181" s="7" t="str">
        <f t="shared" si="45"/>
        <v/>
      </c>
    </row>
    <row r="182" spans="1:19">
      <c r="A182" s="46" t="s">
        <v>76</v>
      </c>
      <c r="B182" s="23"/>
      <c r="C182" s="40"/>
      <c r="D182" s="41"/>
      <c r="E182" s="41"/>
      <c r="F182" s="41"/>
      <c r="G182" s="9">
        <v>1</v>
      </c>
      <c r="H182" s="9">
        <f>ROUNDUP((D179/0.2)+10,0)</f>
        <v>34</v>
      </c>
      <c r="I182" s="9">
        <v>6</v>
      </c>
      <c r="J182" s="9">
        <f>2*(E179-0.025+F179-0.025)+20.5*I182/1000</f>
        <v>1.2230000000000001</v>
      </c>
      <c r="K182" s="7">
        <f t="shared" si="46"/>
        <v>41.582000000000001</v>
      </c>
      <c r="L182" s="7" t="str">
        <f t="shared" ref="L182:L258" si="48">IF(I182=8,G182*H182*J182,"")</f>
        <v/>
      </c>
      <c r="M182" s="7" t="str">
        <f t="shared" si="42"/>
        <v/>
      </c>
      <c r="N182" s="7" t="str">
        <f t="shared" si="43"/>
        <v/>
      </c>
      <c r="O182" s="7" t="str">
        <f t="shared" si="47"/>
        <v/>
      </c>
      <c r="P182" s="7" t="str">
        <f t="shared" si="40"/>
        <v/>
      </c>
      <c r="Q182" s="7" t="str">
        <f t="shared" si="44"/>
        <v/>
      </c>
      <c r="S182" s="7" t="str">
        <f t="shared" si="45"/>
        <v/>
      </c>
    </row>
    <row r="183" spans="1:19">
      <c r="A183" s="46" t="s">
        <v>77</v>
      </c>
      <c r="B183" s="23"/>
      <c r="C183" s="40"/>
      <c r="D183" s="41"/>
      <c r="E183" s="41"/>
      <c r="F183" s="41"/>
      <c r="G183" s="9">
        <v>1</v>
      </c>
      <c r="H183" s="9">
        <f>ROUNDUP((D179/0.2)+10,0)</f>
        <v>34</v>
      </c>
      <c r="I183" s="9">
        <v>6</v>
      </c>
      <c r="J183" s="9">
        <f>2*(E179-0.025+F179-0.025)+22*I183*4/1000</f>
        <v>1.6280000000000001</v>
      </c>
      <c r="K183" s="7">
        <f t="shared" si="46"/>
        <v>55.352000000000004</v>
      </c>
      <c r="L183" s="7" t="str">
        <f t="shared" si="48"/>
        <v/>
      </c>
      <c r="M183" s="7" t="str">
        <f t="shared" si="42"/>
        <v/>
      </c>
      <c r="N183" s="7" t="str">
        <f t="shared" si="43"/>
        <v/>
      </c>
      <c r="O183" s="7" t="str">
        <f t="shared" si="47"/>
        <v/>
      </c>
      <c r="P183" s="7" t="str">
        <f t="shared" si="40"/>
        <v/>
      </c>
      <c r="Q183" s="7" t="str">
        <f t="shared" si="44"/>
        <v/>
      </c>
      <c r="S183" s="7" t="str">
        <f t="shared" si="45"/>
        <v/>
      </c>
    </row>
    <row r="184" spans="1:19">
      <c r="A184" s="47" t="s">
        <v>7</v>
      </c>
      <c r="B184" s="23" t="s">
        <v>110</v>
      </c>
      <c r="C184" s="53" t="s">
        <v>116</v>
      </c>
      <c r="D184" s="12">
        <v>2.65</v>
      </c>
      <c r="E184" s="55">
        <v>0.2</v>
      </c>
      <c r="F184" s="55">
        <v>0.4</v>
      </c>
      <c r="K184" s="7" t="str">
        <f t="shared" si="46"/>
        <v/>
      </c>
      <c r="L184" s="7" t="str">
        <f t="shared" si="48"/>
        <v/>
      </c>
      <c r="M184" s="7" t="str">
        <f t="shared" si="42"/>
        <v/>
      </c>
      <c r="N184" s="7" t="str">
        <f t="shared" si="43"/>
        <v/>
      </c>
      <c r="O184" s="7" t="str">
        <f t="shared" si="47"/>
        <v/>
      </c>
      <c r="P184" s="7" t="str">
        <f t="shared" si="40"/>
        <v/>
      </c>
      <c r="Q184" s="7" t="str">
        <f t="shared" si="44"/>
        <v/>
      </c>
      <c r="S184" s="7" t="str">
        <f t="shared" si="45"/>
        <v/>
      </c>
    </row>
    <row r="185" spans="1:19">
      <c r="A185" s="46" t="s">
        <v>74</v>
      </c>
      <c r="B185" s="23"/>
      <c r="C185" s="40"/>
      <c r="D185" s="41"/>
      <c r="E185" s="41"/>
      <c r="F185" s="41"/>
      <c r="G185" s="9">
        <v>1</v>
      </c>
      <c r="H185" s="9">
        <v>3</v>
      </c>
      <c r="I185" s="9">
        <v>12</v>
      </c>
      <c r="J185" s="9">
        <f>D184+36*I185/1000</f>
        <v>3.0819999999999999</v>
      </c>
      <c r="K185" s="7" t="str">
        <f t="shared" si="46"/>
        <v/>
      </c>
      <c r="L185" s="7" t="str">
        <f t="shared" si="48"/>
        <v/>
      </c>
      <c r="M185" s="7" t="str">
        <f t="shared" si="42"/>
        <v/>
      </c>
      <c r="N185" s="7">
        <f t="shared" si="43"/>
        <v>9.2459999999999987</v>
      </c>
      <c r="O185" s="7" t="str">
        <f t="shared" si="47"/>
        <v/>
      </c>
      <c r="P185" s="7" t="str">
        <f t="shared" si="40"/>
        <v/>
      </c>
      <c r="Q185" s="7" t="str">
        <f t="shared" si="44"/>
        <v/>
      </c>
      <c r="S185" s="7" t="str">
        <f t="shared" si="45"/>
        <v/>
      </c>
    </row>
    <row r="186" spans="1:19">
      <c r="A186" s="46" t="s">
        <v>75</v>
      </c>
      <c r="B186" s="23"/>
      <c r="C186" s="40"/>
      <c r="D186" s="41"/>
      <c r="E186" s="41"/>
      <c r="F186" s="41"/>
      <c r="G186" s="9">
        <v>1</v>
      </c>
      <c r="H186" s="9">
        <v>3</v>
      </c>
      <c r="I186" s="9">
        <v>10</v>
      </c>
      <c r="J186" s="9">
        <f>$D$179+36*I186/1000</f>
        <v>5.16</v>
      </c>
      <c r="K186" s="7" t="str">
        <f t="shared" si="46"/>
        <v/>
      </c>
      <c r="L186" s="7" t="str">
        <f t="shared" si="48"/>
        <v/>
      </c>
      <c r="M186" s="7">
        <f t="shared" si="42"/>
        <v>15.48</v>
      </c>
      <c r="N186" s="7" t="str">
        <f t="shared" si="43"/>
        <v/>
      </c>
      <c r="O186" s="7" t="str">
        <f t="shared" si="47"/>
        <v/>
      </c>
      <c r="P186" s="7" t="str">
        <f t="shared" si="40"/>
        <v/>
      </c>
      <c r="Q186" s="7" t="str">
        <f t="shared" si="44"/>
        <v/>
      </c>
      <c r="S186" s="7" t="str">
        <f t="shared" si="45"/>
        <v/>
      </c>
    </row>
    <row r="187" spans="1:19">
      <c r="A187" s="46" t="s">
        <v>76</v>
      </c>
      <c r="B187" s="23"/>
      <c r="C187" s="40"/>
      <c r="D187" s="41"/>
      <c r="E187" s="41"/>
      <c r="F187" s="41"/>
      <c r="G187" s="9">
        <v>1</v>
      </c>
      <c r="H187" s="9">
        <f>ROUNDUP((D184/0.2)+10,0)</f>
        <v>24</v>
      </c>
      <c r="I187" s="9">
        <v>6</v>
      </c>
      <c r="J187" s="9">
        <f>2*(E184-0.025+F184-0.025)+20.5*I187/1000</f>
        <v>1.2230000000000001</v>
      </c>
      <c r="K187" s="7">
        <f t="shared" si="46"/>
        <v>29.352000000000004</v>
      </c>
      <c r="L187" s="7" t="str">
        <f t="shared" si="48"/>
        <v/>
      </c>
      <c r="M187" s="7" t="str">
        <f t="shared" si="42"/>
        <v/>
      </c>
      <c r="N187" s="7" t="str">
        <f t="shared" si="43"/>
        <v/>
      </c>
      <c r="O187" s="7" t="str">
        <f t="shared" si="47"/>
        <v/>
      </c>
      <c r="P187" s="7" t="str">
        <f t="shared" si="40"/>
        <v/>
      </c>
      <c r="Q187" s="7" t="str">
        <f t="shared" si="44"/>
        <v/>
      </c>
      <c r="S187" s="7" t="str">
        <f t="shared" si="45"/>
        <v/>
      </c>
    </row>
    <row r="188" spans="1:19">
      <c r="A188" s="46" t="s">
        <v>77</v>
      </c>
      <c r="B188" s="23"/>
      <c r="C188" s="40"/>
      <c r="D188" s="41"/>
      <c r="E188" s="41"/>
      <c r="F188" s="41"/>
      <c r="G188" s="9">
        <v>1</v>
      </c>
      <c r="H188" s="9">
        <f>ROUNDUP((D184/0.2)+10,0)</f>
        <v>24</v>
      </c>
      <c r="I188" s="9">
        <v>6</v>
      </c>
      <c r="J188" s="9">
        <f>2*(E184-0.025+F184-0.025)+22*I188*4/1000</f>
        <v>1.6280000000000001</v>
      </c>
      <c r="K188" s="7">
        <f t="shared" si="46"/>
        <v>39.072000000000003</v>
      </c>
      <c r="L188" s="7" t="str">
        <f t="shared" si="48"/>
        <v/>
      </c>
      <c r="M188" s="7" t="str">
        <f t="shared" si="42"/>
        <v/>
      </c>
      <c r="N188" s="7" t="str">
        <f t="shared" si="43"/>
        <v/>
      </c>
      <c r="O188" s="7" t="str">
        <f t="shared" si="47"/>
        <v/>
      </c>
      <c r="P188" s="7" t="str">
        <f t="shared" si="40"/>
        <v/>
      </c>
      <c r="Q188" s="7" t="str">
        <f t="shared" si="44"/>
        <v/>
      </c>
      <c r="S188" s="7" t="str">
        <f t="shared" si="45"/>
        <v/>
      </c>
    </row>
    <row r="189" spans="1:19">
      <c r="A189" s="47" t="s">
        <v>7</v>
      </c>
      <c r="B189" s="23" t="s">
        <v>111</v>
      </c>
      <c r="C189" s="53" t="s">
        <v>116</v>
      </c>
      <c r="D189" s="55">
        <v>4.5999999999999996</v>
      </c>
      <c r="E189" s="55">
        <v>0.2</v>
      </c>
      <c r="F189" s="55">
        <v>0.4</v>
      </c>
      <c r="K189" s="7" t="str">
        <f t="shared" ref="K189:K193" si="49">IF(I189=6,G189*H189*J189,"")</f>
        <v/>
      </c>
      <c r="L189" s="7" t="str">
        <f t="shared" ref="L189:L193" si="50">IF(I189=8,G189*H189*J189,"")</f>
        <v/>
      </c>
      <c r="M189" s="7" t="str">
        <f t="shared" ref="M189:M193" si="51">IF(I189=10,G189*H189*J189,"")</f>
        <v/>
      </c>
      <c r="N189" s="7" t="str">
        <f t="shared" ref="N189:N193" si="52">IF(I189=12,G189*H189*J189,"")</f>
        <v/>
      </c>
      <c r="O189" s="7" t="str">
        <f t="shared" ref="O189:O193" si="53">IF(I189=14,G189*H189*J189,"")</f>
        <v/>
      </c>
      <c r="P189" s="7" t="str">
        <f t="shared" ref="P189:P193" si="54">IF(I189=16,G189*H189*J189,"")</f>
        <v/>
      </c>
      <c r="Q189" s="7" t="str">
        <f t="shared" ref="Q189:Q193" si="55">IF(I189=20,G189*H189*J189,"")</f>
        <v/>
      </c>
      <c r="S189" s="7" t="str">
        <f t="shared" ref="S189:S193" si="56">IF(I189=32,G189*H189*J189,"")</f>
        <v/>
      </c>
    </row>
    <row r="190" spans="1:19">
      <c r="A190" s="46" t="s">
        <v>74</v>
      </c>
      <c r="B190" s="23"/>
      <c r="C190" s="53"/>
      <c r="D190" s="55"/>
      <c r="E190" s="55"/>
      <c r="F190" s="55"/>
      <c r="G190" s="9">
        <v>1</v>
      </c>
      <c r="H190" s="9">
        <v>3</v>
      </c>
      <c r="I190" s="9">
        <v>12</v>
      </c>
      <c r="J190" s="9">
        <f>D189+36*I190/1000</f>
        <v>5.032</v>
      </c>
      <c r="K190" s="7" t="str">
        <f t="shared" si="49"/>
        <v/>
      </c>
      <c r="L190" s="7" t="str">
        <f t="shared" si="50"/>
        <v/>
      </c>
      <c r="M190" s="7" t="str">
        <f t="shared" si="51"/>
        <v/>
      </c>
      <c r="N190" s="7">
        <f t="shared" si="52"/>
        <v>15.096</v>
      </c>
      <c r="O190" s="7" t="str">
        <f t="shared" si="53"/>
        <v/>
      </c>
      <c r="P190" s="7" t="str">
        <f t="shared" si="54"/>
        <v/>
      </c>
      <c r="Q190" s="7" t="str">
        <f t="shared" si="55"/>
        <v/>
      </c>
      <c r="S190" s="7" t="str">
        <f t="shared" si="56"/>
        <v/>
      </c>
    </row>
    <row r="191" spans="1:19">
      <c r="A191" s="46" t="s">
        <v>75</v>
      </c>
      <c r="B191" s="23"/>
      <c r="C191" s="53"/>
      <c r="D191" s="55"/>
      <c r="E191" s="55"/>
      <c r="F191" s="55"/>
      <c r="G191" s="9">
        <v>1</v>
      </c>
      <c r="H191" s="9">
        <v>3</v>
      </c>
      <c r="I191" s="9">
        <v>10</v>
      </c>
      <c r="J191" s="9">
        <f>$D$179+36*I191/1000</f>
        <v>5.16</v>
      </c>
      <c r="K191" s="7" t="str">
        <f t="shared" si="49"/>
        <v/>
      </c>
      <c r="L191" s="7" t="str">
        <f t="shared" si="50"/>
        <v/>
      </c>
      <c r="M191" s="7">
        <f t="shared" si="51"/>
        <v>15.48</v>
      </c>
      <c r="N191" s="7" t="str">
        <f t="shared" si="52"/>
        <v/>
      </c>
      <c r="O191" s="7" t="str">
        <f t="shared" si="53"/>
        <v/>
      </c>
      <c r="P191" s="7" t="str">
        <f t="shared" si="54"/>
        <v/>
      </c>
      <c r="Q191" s="7" t="str">
        <f t="shared" si="55"/>
        <v/>
      </c>
      <c r="S191" s="7" t="str">
        <f t="shared" si="56"/>
        <v/>
      </c>
    </row>
    <row r="192" spans="1:19">
      <c r="A192" s="46" t="s">
        <v>76</v>
      </c>
      <c r="B192" s="23"/>
      <c r="C192" s="53"/>
      <c r="D192" s="55"/>
      <c r="E192" s="55"/>
      <c r="F192" s="55"/>
      <c r="G192" s="9">
        <v>1</v>
      </c>
      <c r="H192" s="9">
        <f>ROUNDUP((D189/0.2)+10,0)</f>
        <v>33</v>
      </c>
      <c r="I192" s="9">
        <v>6</v>
      </c>
      <c r="J192" s="9">
        <f>2*(E189-0.025+F189-0.025)+20.5*I192/1000</f>
        <v>1.2230000000000001</v>
      </c>
      <c r="K192" s="7">
        <f t="shared" si="49"/>
        <v>40.359000000000002</v>
      </c>
      <c r="L192" s="7" t="str">
        <f t="shared" si="50"/>
        <v/>
      </c>
      <c r="M192" s="7" t="str">
        <f t="shared" si="51"/>
        <v/>
      </c>
      <c r="N192" s="7" t="str">
        <f t="shared" si="52"/>
        <v/>
      </c>
      <c r="O192" s="7" t="str">
        <f t="shared" si="53"/>
        <v/>
      </c>
      <c r="P192" s="7" t="str">
        <f t="shared" si="54"/>
        <v/>
      </c>
      <c r="Q192" s="7" t="str">
        <f t="shared" si="55"/>
        <v/>
      </c>
      <c r="S192" s="7" t="str">
        <f t="shared" si="56"/>
        <v/>
      </c>
    </row>
    <row r="193" spans="1:19">
      <c r="A193" s="46" t="s">
        <v>77</v>
      </c>
      <c r="B193" s="23"/>
      <c r="C193" s="53"/>
      <c r="D193" s="55"/>
      <c r="E193" s="55"/>
      <c r="F193" s="55"/>
      <c r="G193" s="9">
        <v>1</v>
      </c>
      <c r="H193" s="9">
        <f>ROUNDUP((D189/0.2)+10,0)</f>
        <v>33</v>
      </c>
      <c r="I193" s="9">
        <v>6</v>
      </c>
      <c r="J193" s="9">
        <f>2*(E189-0.025+F189-0.025)+22*I193*4/1000</f>
        <v>1.6280000000000001</v>
      </c>
      <c r="K193" s="7">
        <f t="shared" si="49"/>
        <v>53.724000000000004</v>
      </c>
      <c r="L193" s="7" t="str">
        <f t="shared" si="50"/>
        <v/>
      </c>
      <c r="M193" s="7" t="str">
        <f t="shared" si="51"/>
        <v/>
      </c>
      <c r="N193" s="7" t="str">
        <f t="shared" si="52"/>
        <v/>
      </c>
      <c r="O193" s="7" t="str">
        <f t="shared" si="53"/>
        <v/>
      </c>
      <c r="P193" s="7" t="str">
        <f t="shared" si="54"/>
        <v/>
      </c>
      <c r="Q193" s="7" t="str">
        <f t="shared" si="55"/>
        <v/>
      </c>
      <c r="S193" s="7" t="str">
        <f t="shared" si="56"/>
        <v/>
      </c>
    </row>
    <row r="194" spans="1:19">
      <c r="A194" s="47" t="s">
        <v>8</v>
      </c>
      <c r="B194" s="23" t="s">
        <v>71</v>
      </c>
      <c r="C194" s="53" t="s">
        <v>14</v>
      </c>
      <c r="D194" s="55">
        <v>2.48</v>
      </c>
      <c r="E194" s="55">
        <v>0.2</v>
      </c>
      <c r="F194" s="55">
        <v>0.4</v>
      </c>
      <c r="K194" s="7" t="str">
        <f t="shared" ref="K194:K198" si="57">IF(I194=6,G194*H194*J194,"")</f>
        <v/>
      </c>
      <c r="L194" s="7" t="str">
        <f t="shared" ref="L194:L198" si="58">IF(I194=8,G194*H194*J194,"")</f>
        <v/>
      </c>
      <c r="M194" s="7" t="str">
        <f t="shared" ref="M194:M198" si="59">IF(I194=10,G194*H194*J194,"")</f>
        <v/>
      </c>
      <c r="N194" s="7" t="str">
        <f t="shared" ref="N194:N198" si="60">IF(I194=12,G194*H194*J194,"")</f>
        <v/>
      </c>
      <c r="O194" s="7" t="str">
        <f t="shared" ref="O194:O198" si="61">IF(I194=14,G194*H194*J194,"")</f>
        <v/>
      </c>
      <c r="P194" s="7" t="str">
        <f t="shared" ref="P194:P198" si="62">IF(I194=16,G194*H194*J194,"")</f>
        <v/>
      </c>
      <c r="Q194" s="7" t="str">
        <f t="shared" ref="Q194:Q198" si="63">IF(I194=20,G194*H194*J194,"")</f>
        <v/>
      </c>
      <c r="S194" s="7" t="str">
        <f t="shared" ref="S194:S198" si="64">IF(I194=32,G194*H194*J194,"")</f>
        <v/>
      </c>
    </row>
    <row r="195" spans="1:19">
      <c r="A195" s="46" t="s">
        <v>74</v>
      </c>
      <c r="B195" s="23"/>
      <c r="C195" s="53"/>
      <c r="D195" s="55"/>
      <c r="E195" s="55"/>
      <c r="F195" s="55"/>
      <c r="G195" s="9">
        <v>1</v>
      </c>
      <c r="H195" s="9">
        <v>3</v>
      </c>
      <c r="I195" s="9">
        <v>12</v>
      </c>
      <c r="J195" s="9">
        <f>D194+36*I195/1000</f>
        <v>2.9119999999999999</v>
      </c>
      <c r="K195" s="7" t="str">
        <f t="shared" si="57"/>
        <v/>
      </c>
      <c r="L195" s="7" t="str">
        <f t="shared" si="58"/>
        <v/>
      </c>
      <c r="M195" s="7" t="str">
        <f t="shared" si="59"/>
        <v/>
      </c>
      <c r="N195" s="7">
        <f t="shared" si="60"/>
        <v>8.7360000000000007</v>
      </c>
      <c r="O195" s="7" t="str">
        <f t="shared" si="61"/>
        <v/>
      </c>
      <c r="P195" s="7" t="str">
        <f t="shared" si="62"/>
        <v/>
      </c>
      <c r="Q195" s="7" t="str">
        <f t="shared" si="63"/>
        <v/>
      </c>
      <c r="S195" s="7" t="str">
        <f t="shared" si="64"/>
        <v/>
      </c>
    </row>
    <row r="196" spans="1:19">
      <c r="A196" s="46" t="s">
        <v>75</v>
      </c>
      <c r="B196" s="23"/>
      <c r="C196" s="53"/>
      <c r="D196" s="55"/>
      <c r="E196" s="55"/>
      <c r="F196" s="55"/>
      <c r="G196" s="9">
        <v>1</v>
      </c>
      <c r="H196" s="9">
        <v>3</v>
      </c>
      <c r="I196" s="9">
        <v>10</v>
      </c>
      <c r="J196" s="9">
        <f>$D$179+36*I196/1000</f>
        <v>5.16</v>
      </c>
      <c r="K196" s="7" t="str">
        <f t="shared" si="57"/>
        <v/>
      </c>
      <c r="L196" s="7" t="str">
        <f t="shared" si="58"/>
        <v/>
      </c>
      <c r="M196" s="7">
        <f t="shared" si="59"/>
        <v>15.48</v>
      </c>
      <c r="N196" s="7" t="str">
        <f t="shared" si="60"/>
        <v/>
      </c>
      <c r="O196" s="7" t="str">
        <f t="shared" si="61"/>
        <v/>
      </c>
      <c r="P196" s="7" t="str">
        <f t="shared" si="62"/>
        <v/>
      </c>
      <c r="Q196" s="7" t="str">
        <f t="shared" si="63"/>
        <v/>
      </c>
      <c r="S196" s="7" t="str">
        <f t="shared" si="64"/>
        <v/>
      </c>
    </row>
    <row r="197" spans="1:19">
      <c r="A197" s="46" t="s">
        <v>76</v>
      </c>
      <c r="B197" s="23"/>
      <c r="C197" s="53"/>
      <c r="D197" s="55"/>
      <c r="E197" s="55"/>
      <c r="F197" s="55"/>
      <c r="G197" s="9">
        <v>1</v>
      </c>
      <c r="H197" s="9">
        <f>ROUNDUP((D194/0.2)+10,0)</f>
        <v>23</v>
      </c>
      <c r="I197" s="9">
        <v>6</v>
      </c>
      <c r="J197" s="9">
        <f>2*(E194-0.025+F194-0.025)+20.5*I197/1000</f>
        <v>1.2230000000000001</v>
      </c>
      <c r="K197" s="7">
        <f t="shared" si="57"/>
        <v>28.129000000000001</v>
      </c>
      <c r="L197" s="7" t="str">
        <f t="shared" si="58"/>
        <v/>
      </c>
      <c r="M197" s="7" t="str">
        <f t="shared" si="59"/>
        <v/>
      </c>
      <c r="N197" s="7" t="str">
        <f t="shared" si="60"/>
        <v/>
      </c>
      <c r="O197" s="7" t="str">
        <f t="shared" si="61"/>
        <v/>
      </c>
      <c r="P197" s="7" t="str">
        <f t="shared" si="62"/>
        <v/>
      </c>
      <c r="Q197" s="7" t="str">
        <f t="shared" si="63"/>
        <v/>
      </c>
      <c r="S197" s="7" t="str">
        <f t="shared" si="64"/>
        <v/>
      </c>
    </row>
    <row r="198" spans="1:19">
      <c r="A198" s="46" t="s">
        <v>77</v>
      </c>
      <c r="B198" s="23"/>
      <c r="C198" s="53"/>
      <c r="D198" s="55"/>
      <c r="E198" s="55"/>
      <c r="F198" s="55"/>
      <c r="G198" s="9">
        <v>1</v>
      </c>
      <c r="H198" s="9">
        <f>ROUNDUP((D194/0.2)+10,0)</f>
        <v>23</v>
      </c>
      <c r="I198" s="9">
        <v>6</v>
      </c>
      <c r="J198" s="9">
        <f>2*(E194-0.025+F194-0.025)+22*I198*4/1000</f>
        <v>1.6280000000000001</v>
      </c>
      <c r="K198" s="7">
        <f t="shared" si="57"/>
        <v>37.444000000000003</v>
      </c>
      <c r="L198" s="7" t="str">
        <f t="shared" si="58"/>
        <v/>
      </c>
      <c r="M198" s="7" t="str">
        <f t="shared" si="59"/>
        <v/>
      </c>
      <c r="N198" s="7" t="str">
        <f t="shared" si="60"/>
        <v/>
      </c>
      <c r="O198" s="7" t="str">
        <f t="shared" si="61"/>
        <v/>
      </c>
      <c r="P198" s="7" t="str">
        <f t="shared" si="62"/>
        <v/>
      </c>
      <c r="Q198" s="7" t="str">
        <f t="shared" si="63"/>
        <v/>
      </c>
      <c r="S198" s="7" t="str">
        <f t="shared" si="64"/>
        <v/>
      </c>
    </row>
    <row r="199" spans="1:19">
      <c r="A199" s="47" t="s">
        <v>8</v>
      </c>
      <c r="B199" s="23" t="s">
        <v>72</v>
      </c>
      <c r="C199" s="53" t="s">
        <v>14</v>
      </c>
      <c r="D199" s="55">
        <v>3.7</v>
      </c>
      <c r="E199" s="55">
        <v>0.2</v>
      </c>
      <c r="F199" s="55">
        <v>0.4</v>
      </c>
      <c r="I199" s="9">
        <v>12</v>
      </c>
      <c r="K199" s="7" t="str">
        <f t="shared" ref="K199:K203" si="65">IF(I199=6,G199*H199*J199,"")</f>
        <v/>
      </c>
      <c r="L199" s="7" t="str">
        <f t="shared" ref="L199:L203" si="66">IF(I199=8,G199*H199*J199,"")</f>
        <v/>
      </c>
      <c r="M199" s="7" t="str">
        <f t="shared" ref="M199:M203" si="67">IF(I199=10,G199*H199*J199,"")</f>
        <v/>
      </c>
      <c r="N199" s="7">
        <f t="shared" ref="N199:N203" si="68">IF(I199=12,G199*H199*J199,"")</f>
        <v>0</v>
      </c>
      <c r="O199" s="7" t="str">
        <f t="shared" ref="O199:O203" si="69">IF(I199=14,G199*H199*J199,"")</f>
        <v/>
      </c>
      <c r="P199" s="7" t="str">
        <f t="shared" ref="P199:P203" si="70">IF(I199=16,G199*H199*J199,"")</f>
        <v/>
      </c>
      <c r="Q199" s="7" t="str">
        <f t="shared" ref="Q199:Q203" si="71">IF(I199=20,G199*H199*J199,"")</f>
        <v/>
      </c>
      <c r="S199" s="7" t="str">
        <f t="shared" ref="S199:S203" si="72">IF(I199=32,G199*H199*J199,"")</f>
        <v/>
      </c>
    </row>
    <row r="200" spans="1:19">
      <c r="A200" s="46" t="s">
        <v>74</v>
      </c>
      <c r="B200" s="23"/>
      <c r="C200" s="53"/>
      <c r="D200" s="55"/>
      <c r="E200" s="55"/>
      <c r="F200" s="55"/>
      <c r="G200" s="9">
        <v>1</v>
      </c>
      <c r="H200" s="9">
        <v>3</v>
      </c>
      <c r="I200" s="9">
        <v>10</v>
      </c>
      <c r="J200" s="9">
        <f>D199+36*I200/1000</f>
        <v>4.0600000000000005</v>
      </c>
      <c r="K200" s="7" t="str">
        <f t="shared" si="65"/>
        <v/>
      </c>
      <c r="L200" s="7" t="str">
        <f t="shared" si="66"/>
        <v/>
      </c>
      <c r="M200" s="7">
        <f t="shared" si="67"/>
        <v>12.180000000000001</v>
      </c>
      <c r="N200" s="7" t="str">
        <f t="shared" si="68"/>
        <v/>
      </c>
      <c r="O200" s="7" t="str">
        <f t="shared" si="69"/>
        <v/>
      </c>
      <c r="P200" s="7" t="str">
        <f t="shared" si="70"/>
        <v/>
      </c>
      <c r="Q200" s="7" t="str">
        <f t="shared" si="71"/>
        <v/>
      </c>
      <c r="S200" s="7" t="str">
        <f t="shared" si="72"/>
        <v/>
      </c>
    </row>
    <row r="201" spans="1:19">
      <c r="A201" s="46" t="s">
        <v>75</v>
      </c>
      <c r="B201" s="23"/>
      <c r="C201" s="53"/>
      <c r="D201" s="55"/>
      <c r="E201" s="55"/>
      <c r="F201" s="55"/>
      <c r="G201" s="9">
        <v>1</v>
      </c>
      <c r="H201" s="9">
        <v>3</v>
      </c>
      <c r="I201" s="9">
        <v>12</v>
      </c>
      <c r="J201" s="9">
        <f>$D$179+36*I201/1000</f>
        <v>5.2320000000000002</v>
      </c>
      <c r="K201" s="7" t="str">
        <f t="shared" si="65"/>
        <v/>
      </c>
      <c r="L201" s="7" t="str">
        <f t="shared" si="66"/>
        <v/>
      </c>
      <c r="M201" s="7" t="str">
        <f t="shared" si="67"/>
        <v/>
      </c>
      <c r="N201" s="7">
        <f t="shared" si="68"/>
        <v>15.696000000000002</v>
      </c>
      <c r="O201" s="7" t="str">
        <f t="shared" si="69"/>
        <v/>
      </c>
      <c r="P201" s="7" t="str">
        <f t="shared" si="70"/>
        <v/>
      </c>
      <c r="Q201" s="7" t="str">
        <f t="shared" si="71"/>
        <v/>
      </c>
      <c r="S201" s="7" t="str">
        <f t="shared" si="72"/>
        <v/>
      </c>
    </row>
    <row r="202" spans="1:19">
      <c r="A202" s="46" t="s">
        <v>76</v>
      </c>
      <c r="B202" s="23"/>
      <c r="C202" s="53"/>
      <c r="D202" s="55"/>
      <c r="E202" s="55"/>
      <c r="F202" s="55"/>
      <c r="G202" s="9">
        <v>1</v>
      </c>
      <c r="H202" s="9">
        <f>ROUNDUP((D199/0.2)+10,0)</f>
        <v>29</v>
      </c>
      <c r="I202" s="9">
        <v>6</v>
      </c>
      <c r="J202" s="9">
        <f>2*(E199-0.025+F199-0.025)+20.5*I202/1000</f>
        <v>1.2230000000000001</v>
      </c>
      <c r="K202" s="7">
        <f t="shared" si="65"/>
        <v>35.467000000000006</v>
      </c>
      <c r="L202" s="7" t="str">
        <f t="shared" si="66"/>
        <v/>
      </c>
      <c r="M202" s="7" t="str">
        <f t="shared" si="67"/>
        <v/>
      </c>
      <c r="N202" s="7" t="str">
        <f t="shared" si="68"/>
        <v/>
      </c>
      <c r="O202" s="7" t="str">
        <f t="shared" si="69"/>
        <v/>
      </c>
      <c r="P202" s="7" t="str">
        <f t="shared" si="70"/>
        <v/>
      </c>
      <c r="Q202" s="7" t="str">
        <f t="shared" si="71"/>
        <v/>
      </c>
      <c r="S202" s="7" t="str">
        <f t="shared" si="72"/>
        <v/>
      </c>
    </row>
    <row r="203" spans="1:19">
      <c r="A203" s="46" t="s">
        <v>77</v>
      </c>
      <c r="B203" s="23"/>
      <c r="C203" s="53"/>
      <c r="D203" s="55"/>
      <c r="E203" s="55"/>
      <c r="F203" s="55"/>
      <c r="G203" s="9">
        <v>1</v>
      </c>
      <c r="H203" s="9">
        <f>ROUNDUP((D199/0.2)+10,0)</f>
        <v>29</v>
      </c>
      <c r="I203" s="9">
        <v>6</v>
      </c>
      <c r="J203" s="9">
        <f>2*(E199-0.025+F199-0.025)+22*I203*4/1000</f>
        <v>1.6280000000000001</v>
      </c>
      <c r="K203" s="7">
        <f t="shared" si="65"/>
        <v>47.212000000000003</v>
      </c>
      <c r="L203" s="7" t="str">
        <f t="shared" si="66"/>
        <v/>
      </c>
      <c r="M203" s="7" t="str">
        <f t="shared" si="67"/>
        <v/>
      </c>
      <c r="N203" s="7" t="str">
        <f t="shared" si="68"/>
        <v/>
      </c>
      <c r="O203" s="7" t="str">
        <f t="shared" si="69"/>
        <v/>
      </c>
      <c r="P203" s="7" t="str">
        <f t="shared" si="70"/>
        <v/>
      </c>
      <c r="Q203" s="7" t="str">
        <f t="shared" si="71"/>
        <v/>
      </c>
      <c r="S203" s="7" t="str">
        <f t="shared" si="72"/>
        <v/>
      </c>
    </row>
    <row r="204" spans="1:19">
      <c r="A204" s="46"/>
      <c r="B204" s="23"/>
      <c r="C204" s="53"/>
      <c r="D204" s="55"/>
      <c r="E204" s="55"/>
      <c r="F204" s="55"/>
    </row>
    <row r="205" spans="1:19">
      <c r="A205" s="47" t="s">
        <v>8</v>
      </c>
      <c r="B205" s="23" t="s">
        <v>73</v>
      </c>
      <c r="C205" s="53" t="s">
        <v>14</v>
      </c>
      <c r="D205" s="12">
        <v>3.7</v>
      </c>
      <c r="E205" s="41">
        <v>0.2</v>
      </c>
      <c r="F205" s="41">
        <v>0.4</v>
      </c>
      <c r="K205" s="7" t="str">
        <f t="shared" si="46"/>
        <v/>
      </c>
      <c r="L205" s="7" t="str">
        <f t="shared" si="48"/>
        <v/>
      </c>
      <c r="M205" s="7" t="str">
        <f t="shared" si="42"/>
        <v/>
      </c>
      <c r="N205" s="7" t="str">
        <f t="shared" si="43"/>
        <v/>
      </c>
      <c r="O205" s="7" t="str">
        <f t="shared" si="47"/>
        <v/>
      </c>
      <c r="P205" s="7" t="str">
        <f t="shared" si="40"/>
        <v/>
      </c>
      <c r="Q205" s="7" t="str">
        <f t="shared" si="44"/>
        <v/>
      </c>
      <c r="S205" s="7" t="str">
        <f t="shared" si="45"/>
        <v/>
      </c>
    </row>
    <row r="206" spans="1:19">
      <c r="A206" s="46" t="s">
        <v>74</v>
      </c>
      <c r="B206" s="23"/>
      <c r="C206" s="40"/>
      <c r="D206" s="41"/>
      <c r="E206" s="41"/>
      <c r="F206" s="41"/>
      <c r="G206" s="9">
        <v>1</v>
      </c>
      <c r="H206" s="9">
        <v>3</v>
      </c>
      <c r="I206" s="9">
        <v>12</v>
      </c>
      <c r="J206" s="9">
        <f>D205+36*I206/1000</f>
        <v>4.1320000000000006</v>
      </c>
      <c r="K206" s="7" t="str">
        <f t="shared" si="46"/>
        <v/>
      </c>
      <c r="L206" s="7" t="str">
        <f t="shared" si="48"/>
        <v/>
      </c>
      <c r="M206" s="7" t="str">
        <f t="shared" si="42"/>
        <v/>
      </c>
      <c r="N206" s="7">
        <f t="shared" si="43"/>
        <v>12.396000000000001</v>
      </c>
      <c r="O206" s="7" t="str">
        <f t="shared" si="47"/>
        <v/>
      </c>
      <c r="P206" s="7" t="str">
        <f t="shared" si="40"/>
        <v/>
      </c>
      <c r="Q206" s="7" t="str">
        <f t="shared" si="44"/>
        <v/>
      </c>
      <c r="S206" s="7" t="str">
        <f t="shared" si="45"/>
        <v/>
      </c>
    </row>
    <row r="207" spans="1:19">
      <c r="A207" s="46" t="s">
        <v>75</v>
      </c>
      <c r="B207" s="23"/>
      <c r="C207" s="40"/>
      <c r="D207" s="41"/>
      <c r="E207" s="41"/>
      <c r="F207" s="41"/>
      <c r="G207" s="9">
        <v>1</v>
      </c>
      <c r="H207" s="9">
        <v>3</v>
      </c>
      <c r="I207" s="9">
        <v>10</v>
      </c>
      <c r="J207" s="9">
        <f>$D$179+36*I207/1000</f>
        <v>5.16</v>
      </c>
      <c r="K207" s="7" t="str">
        <f t="shared" si="46"/>
        <v/>
      </c>
      <c r="L207" s="7" t="str">
        <f t="shared" si="48"/>
        <v/>
      </c>
      <c r="M207" s="7">
        <f t="shared" si="42"/>
        <v>15.48</v>
      </c>
      <c r="N207" s="7" t="str">
        <f t="shared" si="43"/>
        <v/>
      </c>
      <c r="O207" s="7" t="str">
        <f t="shared" si="47"/>
        <v/>
      </c>
      <c r="P207" s="7" t="str">
        <f t="shared" ref="P207:P266" si="73">IF(I207=16,G207*H207*J207,"")</f>
        <v/>
      </c>
      <c r="Q207" s="7" t="str">
        <f t="shared" si="44"/>
        <v/>
      </c>
      <c r="S207" s="7" t="str">
        <f t="shared" si="45"/>
        <v/>
      </c>
    </row>
    <row r="208" spans="1:19">
      <c r="A208" s="46" t="s">
        <v>76</v>
      </c>
      <c r="B208" s="23"/>
      <c r="C208" s="40"/>
      <c r="D208" s="41"/>
      <c r="E208" s="41"/>
      <c r="F208" s="41"/>
      <c r="G208" s="9">
        <v>1</v>
      </c>
      <c r="H208" s="9">
        <f>ROUNDUP((D205/0.2)+10,0)</f>
        <v>29</v>
      </c>
      <c r="I208" s="9">
        <v>6</v>
      </c>
      <c r="J208" s="9">
        <f>2*(E205-0.025+F205-0.025)+20.5*I208/1000</f>
        <v>1.2230000000000001</v>
      </c>
      <c r="K208" s="7">
        <f t="shared" si="46"/>
        <v>35.467000000000006</v>
      </c>
      <c r="L208" s="7" t="str">
        <f t="shared" si="48"/>
        <v/>
      </c>
      <c r="M208" s="7" t="str">
        <f t="shared" si="42"/>
        <v/>
      </c>
      <c r="N208" s="7" t="str">
        <f t="shared" si="43"/>
        <v/>
      </c>
      <c r="O208" s="7" t="str">
        <f t="shared" si="47"/>
        <v/>
      </c>
      <c r="P208" s="7" t="str">
        <f t="shared" si="73"/>
        <v/>
      </c>
      <c r="Q208" s="7" t="str">
        <f t="shared" si="44"/>
        <v/>
      </c>
      <c r="S208" s="7" t="str">
        <f t="shared" si="45"/>
        <v/>
      </c>
    </row>
    <row r="209" spans="1:19">
      <c r="A209" s="46" t="s">
        <v>77</v>
      </c>
      <c r="B209" s="23"/>
      <c r="C209" s="40"/>
      <c r="D209" s="41"/>
      <c r="E209" s="41"/>
      <c r="F209" s="41"/>
      <c r="G209" s="9">
        <v>1</v>
      </c>
      <c r="H209" s="9">
        <f>ROUNDUP((D205/0.2)+10,0)</f>
        <v>29</v>
      </c>
      <c r="I209" s="9">
        <v>6</v>
      </c>
      <c r="J209" s="9">
        <f>2*(E205-0.025+F205-0.025)+22*I209*4/1000</f>
        <v>1.6280000000000001</v>
      </c>
      <c r="K209" s="7">
        <f t="shared" si="46"/>
        <v>47.212000000000003</v>
      </c>
      <c r="L209" s="7" t="str">
        <f t="shared" si="48"/>
        <v/>
      </c>
      <c r="M209" s="7" t="str">
        <f t="shared" si="42"/>
        <v/>
      </c>
      <c r="N209" s="7" t="str">
        <f t="shared" si="43"/>
        <v/>
      </c>
      <c r="O209" s="7" t="str">
        <f t="shared" si="47"/>
        <v/>
      </c>
      <c r="P209" s="7" t="str">
        <f t="shared" si="73"/>
        <v/>
      </c>
      <c r="Q209" s="7" t="str">
        <f t="shared" si="44"/>
        <v/>
      </c>
      <c r="S209" s="7" t="str">
        <f t="shared" si="45"/>
        <v/>
      </c>
    </row>
    <row r="210" spans="1:19">
      <c r="A210" s="47" t="s">
        <v>8</v>
      </c>
      <c r="B210" s="23" t="s">
        <v>69</v>
      </c>
      <c r="C210" s="53" t="s">
        <v>14</v>
      </c>
      <c r="D210" s="41">
        <v>2.38</v>
      </c>
      <c r="E210" s="41">
        <v>0.2</v>
      </c>
      <c r="F210" s="41">
        <v>0.4</v>
      </c>
      <c r="K210" s="7" t="str">
        <f t="shared" si="46"/>
        <v/>
      </c>
      <c r="L210" s="7" t="str">
        <f t="shared" si="48"/>
        <v/>
      </c>
      <c r="M210" s="7" t="str">
        <f t="shared" si="42"/>
        <v/>
      </c>
      <c r="N210" s="7" t="str">
        <f t="shared" si="43"/>
        <v/>
      </c>
      <c r="O210" s="7" t="str">
        <f t="shared" si="47"/>
        <v/>
      </c>
      <c r="P210" s="7" t="str">
        <f t="shared" si="73"/>
        <v/>
      </c>
      <c r="Q210" s="7" t="str">
        <f t="shared" si="44"/>
        <v/>
      </c>
      <c r="S210" s="7" t="str">
        <f t="shared" si="45"/>
        <v/>
      </c>
    </row>
    <row r="211" spans="1:19">
      <c r="A211" s="46" t="s">
        <v>74</v>
      </c>
      <c r="B211" s="23"/>
      <c r="C211" s="40"/>
      <c r="D211" s="41"/>
      <c r="E211" s="41"/>
      <c r="F211" s="41"/>
      <c r="G211" s="9">
        <v>1</v>
      </c>
      <c r="H211" s="9">
        <v>3</v>
      </c>
      <c r="I211" s="9">
        <v>12</v>
      </c>
      <c r="J211" s="9">
        <f>D210+36*I211/1000</f>
        <v>2.8119999999999998</v>
      </c>
      <c r="K211" s="7" t="str">
        <f t="shared" si="46"/>
        <v/>
      </c>
      <c r="L211" s="7" t="str">
        <f t="shared" si="48"/>
        <v/>
      </c>
      <c r="M211" s="7" t="str">
        <f t="shared" si="42"/>
        <v/>
      </c>
      <c r="N211" s="7">
        <f t="shared" si="43"/>
        <v>8.4359999999999999</v>
      </c>
      <c r="O211" s="7" t="str">
        <f t="shared" si="47"/>
        <v/>
      </c>
      <c r="P211" s="7" t="str">
        <f t="shared" si="73"/>
        <v/>
      </c>
      <c r="Q211" s="7" t="str">
        <f t="shared" si="44"/>
        <v/>
      </c>
      <c r="S211" s="7" t="str">
        <f t="shared" si="45"/>
        <v/>
      </c>
    </row>
    <row r="212" spans="1:19">
      <c r="A212" s="46" t="s">
        <v>75</v>
      </c>
      <c r="B212" s="23"/>
      <c r="C212" s="40"/>
      <c r="D212" s="41"/>
      <c r="E212" s="41"/>
      <c r="F212" s="41"/>
      <c r="G212" s="9">
        <v>1</v>
      </c>
      <c r="H212" s="9">
        <v>3</v>
      </c>
      <c r="I212" s="9">
        <v>10</v>
      </c>
      <c r="J212" s="9">
        <f>$D$179+36*I212/1000</f>
        <v>5.16</v>
      </c>
      <c r="K212" s="7" t="str">
        <f t="shared" si="46"/>
        <v/>
      </c>
      <c r="L212" s="7" t="str">
        <f t="shared" si="48"/>
        <v/>
      </c>
      <c r="M212" s="7">
        <f t="shared" si="42"/>
        <v>15.48</v>
      </c>
      <c r="N212" s="7" t="str">
        <f t="shared" si="43"/>
        <v/>
      </c>
      <c r="O212" s="7" t="str">
        <f t="shared" si="47"/>
        <v/>
      </c>
      <c r="P212" s="7" t="str">
        <f t="shared" si="73"/>
        <v/>
      </c>
      <c r="Q212" s="7" t="str">
        <f t="shared" si="44"/>
        <v/>
      </c>
      <c r="S212" s="7" t="str">
        <f t="shared" si="45"/>
        <v/>
      </c>
    </row>
    <row r="213" spans="1:19">
      <c r="A213" s="46" t="s">
        <v>76</v>
      </c>
      <c r="B213" s="23"/>
      <c r="C213" s="40"/>
      <c r="D213" s="41"/>
      <c r="E213" s="41"/>
      <c r="F213" s="41"/>
      <c r="G213" s="9">
        <v>1</v>
      </c>
      <c r="H213" s="9">
        <f>ROUNDUP((D210/0.2)+10,0)</f>
        <v>22</v>
      </c>
      <c r="I213" s="9">
        <v>6</v>
      </c>
      <c r="J213" s="9">
        <f>2*(E210-0.025+F210-0.025)+20.5*I213/1000</f>
        <v>1.2230000000000001</v>
      </c>
      <c r="K213" s="7">
        <f t="shared" si="46"/>
        <v>26.906000000000002</v>
      </c>
      <c r="L213" s="7" t="str">
        <f t="shared" si="48"/>
        <v/>
      </c>
      <c r="M213" s="7" t="str">
        <f t="shared" si="42"/>
        <v/>
      </c>
      <c r="N213" s="7" t="str">
        <f t="shared" si="43"/>
        <v/>
      </c>
      <c r="O213" s="7" t="str">
        <f t="shared" si="47"/>
        <v/>
      </c>
      <c r="P213" s="7" t="str">
        <f t="shared" si="73"/>
        <v/>
      </c>
      <c r="Q213" s="7" t="str">
        <f t="shared" si="44"/>
        <v/>
      </c>
      <c r="S213" s="7" t="str">
        <f t="shared" si="45"/>
        <v/>
      </c>
    </row>
    <row r="214" spans="1:19">
      <c r="A214" s="46" t="s">
        <v>77</v>
      </c>
      <c r="B214" s="23"/>
      <c r="C214" s="40"/>
      <c r="D214" s="41"/>
      <c r="E214" s="41"/>
      <c r="F214" s="41"/>
      <c r="G214" s="9">
        <v>1</v>
      </c>
      <c r="H214" s="9">
        <f>ROUNDUP((D210/0.2)+10,0)</f>
        <v>22</v>
      </c>
      <c r="I214" s="9">
        <v>6</v>
      </c>
      <c r="J214" s="9">
        <f>2*(E210-0.025+F210-0.025)+22*I214*4/1000</f>
        <v>1.6280000000000001</v>
      </c>
      <c r="K214" s="7">
        <f t="shared" si="46"/>
        <v>35.816000000000003</v>
      </c>
      <c r="L214" s="7" t="str">
        <f t="shared" si="48"/>
        <v/>
      </c>
      <c r="M214" s="7" t="str">
        <f t="shared" si="42"/>
        <v/>
      </c>
      <c r="N214" s="7" t="str">
        <f t="shared" si="43"/>
        <v/>
      </c>
      <c r="O214" s="7" t="str">
        <f t="shared" si="47"/>
        <v/>
      </c>
      <c r="P214" s="7" t="str">
        <f t="shared" si="73"/>
        <v/>
      </c>
      <c r="Q214" s="7" t="str">
        <f t="shared" si="44"/>
        <v/>
      </c>
      <c r="S214" s="7" t="str">
        <f t="shared" si="45"/>
        <v/>
      </c>
    </row>
    <row r="215" spans="1:19">
      <c r="A215" s="47" t="s">
        <v>9</v>
      </c>
      <c r="B215" s="23" t="s">
        <v>70</v>
      </c>
      <c r="C215" s="53" t="s">
        <v>116</v>
      </c>
      <c r="D215" s="41">
        <v>4.78</v>
      </c>
      <c r="E215" s="41">
        <v>0.2</v>
      </c>
      <c r="F215" s="41">
        <v>0.4</v>
      </c>
      <c r="K215" s="7" t="str">
        <f t="shared" si="46"/>
        <v/>
      </c>
      <c r="L215" s="7" t="str">
        <f t="shared" si="48"/>
        <v/>
      </c>
      <c r="M215" s="7" t="str">
        <f t="shared" si="42"/>
        <v/>
      </c>
      <c r="N215" s="7" t="str">
        <f t="shared" si="43"/>
        <v/>
      </c>
      <c r="O215" s="7" t="str">
        <f t="shared" si="47"/>
        <v/>
      </c>
      <c r="P215" s="7" t="str">
        <f t="shared" si="73"/>
        <v/>
      </c>
      <c r="Q215" s="7" t="str">
        <f t="shared" si="44"/>
        <v/>
      </c>
      <c r="S215" s="7" t="str">
        <f t="shared" si="45"/>
        <v/>
      </c>
    </row>
    <row r="216" spans="1:19">
      <c r="A216" s="46" t="s">
        <v>74</v>
      </c>
      <c r="B216" s="23"/>
      <c r="C216" s="40"/>
      <c r="D216" s="41"/>
      <c r="E216" s="41"/>
      <c r="F216" s="41"/>
      <c r="G216" s="9">
        <v>1</v>
      </c>
      <c r="H216" s="9">
        <v>3</v>
      </c>
      <c r="I216" s="9">
        <v>12</v>
      </c>
      <c r="J216" s="9">
        <f>D215+36*I216/1000</f>
        <v>5.2120000000000006</v>
      </c>
      <c r="K216" s="7" t="str">
        <f t="shared" si="46"/>
        <v/>
      </c>
      <c r="L216" s="7" t="str">
        <f t="shared" si="48"/>
        <v/>
      </c>
      <c r="M216" s="7" t="str">
        <f t="shared" si="42"/>
        <v/>
      </c>
      <c r="N216" s="7">
        <f t="shared" si="43"/>
        <v>15.636000000000003</v>
      </c>
      <c r="O216" s="7" t="str">
        <f t="shared" si="47"/>
        <v/>
      </c>
      <c r="P216" s="7" t="str">
        <f t="shared" si="73"/>
        <v/>
      </c>
      <c r="Q216" s="7" t="str">
        <f t="shared" si="44"/>
        <v/>
      </c>
      <c r="S216" s="7" t="str">
        <f t="shared" si="45"/>
        <v/>
      </c>
    </row>
    <row r="217" spans="1:19">
      <c r="A217" s="46" t="s">
        <v>75</v>
      </c>
      <c r="B217" s="23"/>
      <c r="C217" s="40"/>
      <c r="D217" s="41"/>
      <c r="E217" s="41"/>
      <c r="F217" s="41"/>
      <c r="G217" s="9">
        <v>1</v>
      </c>
      <c r="H217" s="9">
        <v>3</v>
      </c>
      <c r="I217" s="9">
        <v>10</v>
      </c>
      <c r="J217" s="9">
        <f>$D$179+36*I217/1000</f>
        <v>5.16</v>
      </c>
      <c r="K217" s="7" t="str">
        <f t="shared" si="46"/>
        <v/>
      </c>
      <c r="L217" s="7" t="str">
        <f t="shared" si="48"/>
        <v/>
      </c>
      <c r="M217" s="7">
        <f t="shared" si="42"/>
        <v>15.48</v>
      </c>
      <c r="N217" s="7" t="str">
        <f t="shared" si="43"/>
        <v/>
      </c>
      <c r="O217" s="7" t="str">
        <f t="shared" si="47"/>
        <v/>
      </c>
      <c r="P217" s="7" t="str">
        <f t="shared" si="73"/>
        <v/>
      </c>
      <c r="Q217" s="7" t="str">
        <f t="shared" si="44"/>
        <v/>
      </c>
      <c r="S217" s="7" t="str">
        <f t="shared" si="45"/>
        <v/>
      </c>
    </row>
    <row r="218" spans="1:19">
      <c r="A218" s="46" t="s">
        <v>76</v>
      </c>
      <c r="B218" s="23"/>
      <c r="C218" s="40"/>
      <c r="D218" s="41"/>
      <c r="E218" s="41"/>
      <c r="F218" s="41"/>
      <c r="G218" s="9">
        <v>1</v>
      </c>
      <c r="H218" s="9">
        <f>ROUNDUP((D215/0.2)+10,0)</f>
        <v>34</v>
      </c>
      <c r="I218" s="9">
        <v>6</v>
      </c>
      <c r="J218" s="9">
        <f>2*(E215-0.025+F215-0.025)+20.5*I218/1000</f>
        <v>1.2230000000000001</v>
      </c>
      <c r="K218" s="7">
        <f t="shared" si="46"/>
        <v>41.582000000000001</v>
      </c>
      <c r="L218" s="7" t="str">
        <f t="shared" si="48"/>
        <v/>
      </c>
      <c r="M218" s="7" t="str">
        <f t="shared" si="42"/>
        <v/>
      </c>
      <c r="N218" s="7" t="str">
        <f t="shared" si="43"/>
        <v/>
      </c>
      <c r="O218" s="7" t="str">
        <f t="shared" si="47"/>
        <v/>
      </c>
      <c r="P218" s="7" t="str">
        <f t="shared" si="73"/>
        <v/>
      </c>
      <c r="Q218" s="7" t="str">
        <f t="shared" si="44"/>
        <v/>
      </c>
      <c r="S218" s="7" t="str">
        <f t="shared" si="45"/>
        <v/>
      </c>
    </row>
    <row r="219" spans="1:19">
      <c r="A219" s="46" t="s">
        <v>77</v>
      </c>
      <c r="B219" s="23"/>
      <c r="C219" s="40"/>
      <c r="D219" s="41"/>
      <c r="E219" s="41"/>
      <c r="F219" s="41"/>
      <c r="G219" s="9">
        <v>1</v>
      </c>
      <c r="H219" s="9">
        <f>ROUNDUP((D215/0.2)+10,0)</f>
        <v>34</v>
      </c>
      <c r="I219" s="9">
        <v>6</v>
      </c>
      <c r="J219" s="9">
        <f>2*(E215-0.025+F215-0.025)+22*I219*4/1000</f>
        <v>1.6280000000000001</v>
      </c>
      <c r="K219" s="7">
        <f t="shared" si="46"/>
        <v>55.352000000000004</v>
      </c>
      <c r="L219" s="7" t="str">
        <f t="shared" si="48"/>
        <v/>
      </c>
      <c r="M219" s="7" t="str">
        <f t="shared" si="42"/>
        <v/>
      </c>
      <c r="N219" s="7" t="str">
        <f t="shared" si="43"/>
        <v/>
      </c>
      <c r="O219" s="7" t="str">
        <f t="shared" si="47"/>
        <v/>
      </c>
      <c r="P219" s="7" t="str">
        <f t="shared" si="73"/>
        <v/>
      </c>
      <c r="Q219" s="7" t="str">
        <f t="shared" si="44"/>
        <v/>
      </c>
      <c r="S219" s="7" t="str">
        <f t="shared" si="45"/>
        <v/>
      </c>
    </row>
    <row r="220" spans="1:19">
      <c r="A220" s="47" t="s">
        <v>9</v>
      </c>
      <c r="B220" s="23" t="s">
        <v>110</v>
      </c>
      <c r="C220" s="53" t="s">
        <v>116</v>
      </c>
      <c r="D220" s="41">
        <v>2.65</v>
      </c>
      <c r="E220" s="41">
        <v>0.2</v>
      </c>
      <c r="F220" s="41">
        <v>0.4</v>
      </c>
      <c r="K220" s="7" t="str">
        <f t="shared" si="46"/>
        <v/>
      </c>
      <c r="L220" s="7" t="str">
        <f t="shared" si="48"/>
        <v/>
      </c>
      <c r="M220" s="7" t="str">
        <f t="shared" ref="M220:M232" si="74">IF(I220=10,G220*H220*J220,"")</f>
        <v/>
      </c>
      <c r="N220" s="7" t="str">
        <f t="shared" si="43"/>
        <v/>
      </c>
      <c r="O220" s="7" t="str">
        <f t="shared" si="47"/>
        <v/>
      </c>
      <c r="P220" s="7" t="str">
        <f t="shared" si="73"/>
        <v/>
      </c>
      <c r="Q220" s="7" t="str">
        <f t="shared" si="44"/>
        <v/>
      </c>
      <c r="S220" s="7" t="str">
        <f t="shared" si="45"/>
        <v/>
      </c>
    </row>
    <row r="221" spans="1:19">
      <c r="A221" s="46" t="s">
        <v>74</v>
      </c>
      <c r="B221" s="23"/>
      <c r="C221" s="40"/>
      <c r="D221" s="41"/>
      <c r="E221" s="41"/>
      <c r="F221" s="41"/>
      <c r="G221" s="9">
        <v>1</v>
      </c>
      <c r="H221" s="9">
        <v>3</v>
      </c>
      <c r="I221" s="9">
        <v>12</v>
      </c>
      <c r="J221" s="9">
        <f>D220+36*I221/1000</f>
        <v>3.0819999999999999</v>
      </c>
      <c r="K221" s="7" t="str">
        <f t="shared" si="46"/>
        <v/>
      </c>
      <c r="L221" s="7" t="str">
        <f t="shared" si="48"/>
        <v/>
      </c>
      <c r="M221" s="7" t="str">
        <f t="shared" si="74"/>
        <v/>
      </c>
      <c r="N221" s="7">
        <f t="shared" si="43"/>
        <v>9.2459999999999987</v>
      </c>
      <c r="O221" s="7" t="str">
        <f t="shared" si="47"/>
        <v/>
      </c>
      <c r="P221" s="7" t="str">
        <f t="shared" si="73"/>
        <v/>
      </c>
      <c r="Q221" s="7" t="str">
        <f t="shared" si="44"/>
        <v/>
      </c>
      <c r="S221" s="7" t="str">
        <f t="shared" si="45"/>
        <v/>
      </c>
    </row>
    <row r="222" spans="1:19">
      <c r="A222" s="46" t="s">
        <v>75</v>
      </c>
      <c r="B222" s="23"/>
      <c r="C222" s="40"/>
      <c r="D222" s="41"/>
      <c r="E222" s="41"/>
      <c r="F222" s="41"/>
      <c r="G222" s="9">
        <v>1</v>
      </c>
      <c r="H222" s="9">
        <v>3</v>
      </c>
      <c r="I222" s="9">
        <v>10</v>
      </c>
      <c r="J222" s="9">
        <f>$D$179+36*I222/1000</f>
        <v>5.16</v>
      </c>
      <c r="K222" s="7" t="str">
        <f t="shared" si="46"/>
        <v/>
      </c>
      <c r="L222" s="7" t="str">
        <f t="shared" si="48"/>
        <v/>
      </c>
      <c r="M222" s="7">
        <f t="shared" si="74"/>
        <v>15.48</v>
      </c>
      <c r="N222" s="7" t="str">
        <f t="shared" si="43"/>
        <v/>
      </c>
      <c r="O222" s="7" t="str">
        <f t="shared" si="47"/>
        <v/>
      </c>
      <c r="P222" s="7" t="str">
        <f t="shared" si="73"/>
        <v/>
      </c>
      <c r="Q222" s="7" t="str">
        <f t="shared" si="44"/>
        <v/>
      </c>
      <c r="S222" s="7" t="str">
        <f t="shared" si="45"/>
        <v/>
      </c>
    </row>
    <row r="223" spans="1:19">
      <c r="A223" s="46" t="s">
        <v>76</v>
      </c>
      <c r="B223" s="23"/>
      <c r="C223" s="40"/>
      <c r="D223" s="41"/>
      <c r="E223" s="41"/>
      <c r="F223" s="41"/>
      <c r="G223" s="9">
        <v>1</v>
      </c>
      <c r="H223" s="9">
        <f>ROUNDUP((D220/0.2)+10,0)</f>
        <v>24</v>
      </c>
      <c r="I223" s="9">
        <v>6</v>
      </c>
      <c r="J223" s="9">
        <f>2*(E220-0.025+F220-0.025)+20.5*I223/1000</f>
        <v>1.2230000000000001</v>
      </c>
      <c r="K223" s="7">
        <f t="shared" si="46"/>
        <v>29.352000000000004</v>
      </c>
      <c r="L223" s="7" t="str">
        <f t="shared" si="48"/>
        <v/>
      </c>
      <c r="M223" s="7" t="str">
        <f t="shared" si="74"/>
        <v/>
      </c>
      <c r="N223" s="7" t="str">
        <f t="shared" si="43"/>
        <v/>
      </c>
      <c r="O223" s="7" t="str">
        <f t="shared" si="47"/>
        <v/>
      </c>
      <c r="P223" s="7" t="str">
        <f t="shared" si="73"/>
        <v/>
      </c>
      <c r="Q223" s="7" t="str">
        <f t="shared" si="44"/>
        <v/>
      </c>
      <c r="S223" s="7" t="str">
        <f t="shared" si="45"/>
        <v/>
      </c>
    </row>
    <row r="224" spans="1:19">
      <c r="A224" s="46" t="s">
        <v>77</v>
      </c>
      <c r="B224" s="23"/>
      <c r="C224" s="40"/>
      <c r="D224" s="41"/>
      <c r="E224" s="41"/>
      <c r="F224" s="41"/>
      <c r="G224" s="9">
        <v>1</v>
      </c>
      <c r="H224" s="9">
        <f>ROUNDUP((D220/0.2)+10,0)</f>
        <v>24</v>
      </c>
      <c r="I224" s="9">
        <v>6</v>
      </c>
      <c r="J224" s="9">
        <f>2*(E220-0.025+F220-0.025)+22*I224*4/1000</f>
        <v>1.6280000000000001</v>
      </c>
      <c r="K224" s="7">
        <f t="shared" si="46"/>
        <v>39.072000000000003</v>
      </c>
      <c r="L224" s="7" t="str">
        <f t="shared" si="48"/>
        <v/>
      </c>
      <c r="M224" s="7" t="str">
        <f t="shared" si="74"/>
        <v/>
      </c>
      <c r="N224" s="7" t="str">
        <f t="shared" si="43"/>
        <v/>
      </c>
      <c r="O224" s="7" t="str">
        <f t="shared" si="47"/>
        <v/>
      </c>
      <c r="P224" s="7" t="str">
        <f t="shared" si="73"/>
        <v/>
      </c>
      <c r="Q224" s="7" t="str">
        <f t="shared" si="44"/>
        <v/>
      </c>
      <c r="S224" s="7" t="str">
        <f t="shared" si="45"/>
        <v/>
      </c>
    </row>
    <row r="225" spans="1:19" s="45" customFormat="1">
      <c r="A225" s="61" t="s">
        <v>25</v>
      </c>
      <c r="B225" s="62" t="s">
        <v>91</v>
      </c>
      <c r="C225" s="53" t="s">
        <v>14</v>
      </c>
      <c r="D225" s="64">
        <f>3.82+0.4+0.82</f>
        <v>5.04</v>
      </c>
      <c r="E225" s="64">
        <v>0.2</v>
      </c>
      <c r="F225" s="64">
        <v>0.4</v>
      </c>
      <c r="G225" s="44"/>
      <c r="H225" s="44"/>
      <c r="I225" s="44"/>
      <c r="J225" s="44"/>
      <c r="K225" s="65" t="str">
        <f t="shared" si="46"/>
        <v/>
      </c>
      <c r="L225" s="65" t="str">
        <f t="shared" si="48"/>
        <v/>
      </c>
      <c r="M225" s="65" t="str">
        <f t="shared" si="74"/>
        <v/>
      </c>
      <c r="N225" s="65" t="str">
        <f t="shared" si="43"/>
        <v/>
      </c>
      <c r="O225" s="65" t="str">
        <f t="shared" si="47"/>
        <v/>
      </c>
      <c r="P225" s="65" t="str">
        <f t="shared" si="73"/>
        <v/>
      </c>
      <c r="Q225" s="65" t="str">
        <f t="shared" si="44"/>
        <v/>
      </c>
      <c r="R225" s="65"/>
      <c r="S225" s="65" t="str">
        <f t="shared" si="45"/>
        <v/>
      </c>
    </row>
    <row r="226" spans="1:19">
      <c r="A226" s="46" t="s">
        <v>74</v>
      </c>
      <c r="B226" s="23"/>
      <c r="C226" s="40"/>
      <c r="D226" s="41"/>
      <c r="E226" s="41"/>
      <c r="F226" s="41"/>
      <c r="G226" s="9">
        <v>1</v>
      </c>
      <c r="H226" s="9">
        <v>3</v>
      </c>
      <c r="I226" s="9">
        <v>12</v>
      </c>
      <c r="J226" s="9">
        <f>D225+36*I226/1000</f>
        <v>5.4720000000000004</v>
      </c>
      <c r="K226" s="7" t="str">
        <f t="shared" si="46"/>
        <v/>
      </c>
      <c r="L226" s="7" t="str">
        <f t="shared" si="48"/>
        <v/>
      </c>
      <c r="M226" s="7" t="str">
        <f t="shared" si="74"/>
        <v/>
      </c>
      <c r="N226" s="7">
        <f t="shared" si="43"/>
        <v>16.416</v>
      </c>
      <c r="O226" s="7" t="str">
        <f t="shared" si="47"/>
        <v/>
      </c>
      <c r="P226" s="7" t="str">
        <f t="shared" si="73"/>
        <v/>
      </c>
      <c r="Q226" s="7" t="str">
        <f t="shared" si="44"/>
        <v/>
      </c>
      <c r="S226" s="7" t="str">
        <f t="shared" si="45"/>
        <v/>
      </c>
    </row>
    <row r="227" spans="1:19">
      <c r="A227" s="46" t="s">
        <v>75</v>
      </c>
      <c r="B227" s="23"/>
      <c r="C227" s="40"/>
      <c r="D227" s="41"/>
      <c r="E227" s="41"/>
      <c r="F227" s="41"/>
      <c r="G227" s="9">
        <v>1</v>
      </c>
      <c r="H227" s="9">
        <v>3</v>
      </c>
      <c r="I227" s="9">
        <v>10</v>
      </c>
      <c r="J227" s="9">
        <f>$D$179+36*I227/1000</f>
        <v>5.16</v>
      </c>
      <c r="K227" s="7" t="str">
        <f t="shared" si="46"/>
        <v/>
      </c>
      <c r="L227" s="7" t="str">
        <f t="shared" si="48"/>
        <v/>
      </c>
      <c r="M227" s="7">
        <f t="shared" si="74"/>
        <v>15.48</v>
      </c>
      <c r="N227" s="7" t="str">
        <f t="shared" si="43"/>
        <v/>
      </c>
      <c r="O227" s="7" t="str">
        <f t="shared" si="47"/>
        <v/>
      </c>
      <c r="P227" s="7" t="str">
        <f t="shared" si="73"/>
        <v/>
      </c>
      <c r="Q227" s="7" t="str">
        <f t="shared" si="44"/>
        <v/>
      </c>
      <c r="S227" s="7" t="str">
        <f t="shared" si="45"/>
        <v/>
      </c>
    </row>
    <row r="228" spans="1:19">
      <c r="A228" s="46" t="s">
        <v>76</v>
      </c>
      <c r="B228" s="23"/>
      <c r="C228" s="40"/>
      <c r="D228" s="41"/>
      <c r="E228" s="41"/>
      <c r="F228" s="41"/>
      <c r="G228" s="9">
        <v>1</v>
      </c>
      <c r="H228" s="9">
        <f>ROUNDUP((D225/0.2)+10,0)</f>
        <v>36</v>
      </c>
      <c r="I228" s="9">
        <v>6</v>
      </c>
      <c r="J228" s="9">
        <f>2*(E225-0.025+F225-0.025)+20.5*I228/1000</f>
        <v>1.2230000000000001</v>
      </c>
      <c r="K228" s="7">
        <f t="shared" si="46"/>
        <v>44.028000000000006</v>
      </c>
      <c r="L228" s="7" t="str">
        <f t="shared" si="48"/>
        <v/>
      </c>
      <c r="M228" s="7" t="str">
        <f t="shared" si="74"/>
        <v/>
      </c>
      <c r="N228" s="7" t="str">
        <f t="shared" si="43"/>
        <v/>
      </c>
      <c r="O228" s="7" t="str">
        <f t="shared" si="47"/>
        <v/>
      </c>
      <c r="P228" s="7" t="str">
        <f t="shared" si="73"/>
        <v/>
      </c>
      <c r="Q228" s="7" t="str">
        <f t="shared" si="44"/>
        <v/>
      </c>
      <c r="S228" s="7" t="str">
        <f t="shared" si="45"/>
        <v/>
      </c>
    </row>
    <row r="229" spans="1:19">
      <c r="A229" s="46" t="s">
        <v>77</v>
      </c>
      <c r="B229" s="23"/>
      <c r="C229" s="40"/>
      <c r="D229" s="41"/>
      <c r="E229" s="41"/>
      <c r="F229" s="41"/>
      <c r="G229" s="9">
        <v>1</v>
      </c>
      <c r="H229" s="9">
        <f>ROUNDUP((D225/0.2)+10,0)</f>
        <v>36</v>
      </c>
      <c r="I229" s="9">
        <v>6</v>
      </c>
      <c r="J229" s="9">
        <f>2*(E225-0.025+F225-0.025)+22*I229*4/1000</f>
        <v>1.6280000000000001</v>
      </c>
      <c r="K229" s="7">
        <f t="shared" si="46"/>
        <v>58.608000000000004</v>
      </c>
      <c r="L229" s="7" t="str">
        <f t="shared" si="48"/>
        <v/>
      </c>
      <c r="M229" s="7" t="str">
        <f t="shared" si="74"/>
        <v/>
      </c>
      <c r="N229" s="7" t="str">
        <f t="shared" si="43"/>
        <v/>
      </c>
      <c r="O229" s="7" t="str">
        <f t="shared" si="47"/>
        <v/>
      </c>
      <c r="P229" s="7" t="str">
        <f t="shared" si="73"/>
        <v/>
      </c>
      <c r="Q229" s="7" t="str">
        <f t="shared" si="44"/>
        <v/>
      </c>
      <c r="S229" s="7" t="str">
        <f t="shared" si="45"/>
        <v/>
      </c>
    </row>
    <row r="230" spans="1:19">
      <c r="A230" s="40" t="s">
        <v>25</v>
      </c>
      <c r="B230" s="23" t="s">
        <v>79</v>
      </c>
      <c r="C230" s="53" t="s">
        <v>14</v>
      </c>
      <c r="D230" s="41">
        <v>5.04</v>
      </c>
      <c r="E230" s="41">
        <v>0.2</v>
      </c>
      <c r="F230" s="41">
        <v>0.4</v>
      </c>
      <c r="K230" s="7" t="str">
        <f t="shared" si="46"/>
        <v/>
      </c>
      <c r="L230" s="7" t="str">
        <f t="shared" si="48"/>
        <v/>
      </c>
      <c r="M230" s="7" t="str">
        <f t="shared" si="74"/>
        <v/>
      </c>
      <c r="N230" s="7" t="str">
        <f t="shared" si="43"/>
        <v/>
      </c>
      <c r="O230" s="7" t="str">
        <f t="shared" si="47"/>
        <v/>
      </c>
      <c r="P230" s="7" t="str">
        <f t="shared" si="73"/>
        <v/>
      </c>
      <c r="Q230" s="7" t="str">
        <f t="shared" si="44"/>
        <v/>
      </c>
      <c r="S230" s="7" t="str">
        <f t="shared" si="45"/>
        <v/>
      </c>
    </row>
    <row r="231" spans="1:19">
      <c r="A231" s="46" t="s">
        <v>74</v>
      </c>
      <c r="B231" s="23"/>
      <c r="C231" s="40"/>
      <c r="D231" s="41"/>
      <c r="E231" s="41"/>
      <c r="F231" s="41"/>
      <c r="G231" s="9">
        <v>1</v>
      </c>
      <c r="H231" s="9">
        <v>3</v>
      </c>
      <c r="I231" s="9">
        <v>12</v>
      </c>
      <c r="J231" s="9">
        <f>D230+36*I231/1000</f>
        <v>5.4720000000000004</v>
      </c>
      <c r="K231" s="7" t="str">
        <f t="shared" si="46"/>
        <v/>
      </c>
      <c r="L231" s="7" t="str">
        <f t="shared" si="48"/>
        <v/>
      </c>
      <c r="M231" s="7" t="str">
        <f t="shared" si="74"/>
        <v/>
      </c>
      <c r="N231" s="7">
        <f t="shared" si="43"/>
        <v>16.416</v>
      </c>
      <c r="O231" s="7" t="str">
        <f t="shared" si="47"/>
        <v/>
      </c>
      <c r="P231" s="7" t="str">
        <f t="shared" si="73"/>
        <v/>
      </c>
      <c r="Q231" s="7" t="str">
        <f t="shared" si="44"/>
        <v/>
      </c>
      <c r="S231" s="7" t="str">
        <f t="shared" si="45"/>
        <v/>
      </c>
    </row>
    <row r="232" spans="1:19">
      <c r="A232" s="46" t="s">
        <v>75</v>
      </c>
      <c r="B232" s="23"/>
      <c r="C232" s="40"/>
      <c r="D232" s="41"/>
      <c r="E232" s="41"/>
      <c r="F232" s="41"/>
      <c r="G232" s="9">
        <v>1</v>
      </c>
      <c r="H232" s="9">
        <v>3</v>
      </c>
      <c r="I232" s="9">
        <v>10</v>
      </c>
      <c r="J232" s="9">
        <f>$D$179+36*I232/1000</f>
        <v>5.16</v>
      </c>
      <c r="K232" s="7" t="str">
        <f t="shared" ref="K232:K363" si="75">IF(I232=6,G232*H232*J232,"")</f>
        <v/>
      </c>
      <c r="L232" s="7" t="str">
        <f t="shared" si="48"/>
        <v/>
      </c>
      <c r="M232" s="7">
        <f t="shared" si="74"/>
        <v>15.48</v>
      </c>
      <c r="N232" s="7" t="str">
        <f t="shared" ref="N232:N362" si="76">IF(I232=12,G232*H232*J232,"")</f>
        <v/>
      </c>
      <c r="O232" s="7" t="str">
        <f t="shared" si="47"/>
        <v/>
      </c>
      <c r="P232" s="7" t="str">
        <f t="shared" si="73"/>
        <v/>
      </c>
      <c r="Q232" s="7" t="str">
        <f t="shared" ref="Q232:Q237" si="77">IF(I232=20,G232*H232*J232,"")</f>
        <v/>
      </c>
      <c r="S232" s="7" t="str">
        <f t="shared" si="45"/>
        <v/>
      </c>
    </row>
    <row r="233" spans="1:19">
      <c r="A233" s="46" t="s">
        <v>76</v>
      </c>
      <c r="B233" s="23"/>
      <c r="C233" s="40"/>
      <c r="D233" s="41"/>
      <c r="E233" s="41"/>
      <c r="F233" s="41"/>
      <c r="G233" s="9">
        <v>1</v>
      </c>
      <c r="H233" s="9">
        <f>ROUNDUP((D230/0.2)+10,0)</f>
        <v>36</v>
      </c>
      <c r="I233" s="9">
        <v>6</v>
      </c>
      <c r="J233" s="9">
        <f>2*(E230-0.025+F230-0.025)+20.5*I233/1000</f>
        <v>1.2230000000000001</v>
      </c>
      <c r="K233" s="7">
        <f t="shared" si="75"/>
        <v>44.028000000000006</v>
      </c>
      <c r="L233" s="7" t="str">
        <f t="shared" si="48"/>
        <v/>
      </c>
      <c r="M233" s="7" t="str">
        <f t="shared" ref="M233:M362" si="78">IF(I233=10,G233*H233*J233,"")</f>
        <v/>
      </c>
      <c r="N233" s="7" t="str">
        <f t="shared" si="76"/>
        <v/>
      </c>
      <c r="O233" s="7" t="str">
        <f t="shared" si="47"/>
        <v/>
      </c>
      <c r="P233" s="7" t="str">
        <f t="shared" si="73"/>
        <v/>
      </c>
      <c r="Q233" s="7" t="str">
        <f t="shared" si="77"/>
        <v/>
      </c>
      <c r="S233" s="7" t="str">
        <f t="shared" ref="S233:S362" si="79">IF(I233=32,G233*H233*J233,"")</f>
        <v/>
      </c>
    </row>
    <row r="234" spans="1:19">
      <c r="A234" s="46" t="s">
        <v>77</v>
      </c>
      <c r="B234" s="23"/>
      <c r="C234" s="40"/>
      <c r="D234" s="41"/>
      <c r="E234" s="41"/>
      <c r="F234" s="41"/>
      <c r="G234" s="9">
        <v>1</v>
      </c>
      <c r="H234" s="9">
        <f>ROUNDUP((D230/0.2)+10,0)</f>
        <v>36</v>
      </c>
      <c r="I234" s="9">
        <v>6</v>
      </c>
      <c r="J234" s="9">
        <f>2*(E230-0.025+F230-0.025)+22*I234*4/1000</f>
        <v>1.6280000000000001</v>
      </c>
      <c r="K234" s="7">
        <f t="shared" si="75"/>
        <v>58.608000000000004</v>
      </c>
      <c r="L234" s="7" t="str">
        <f t="shared" si="48"/>
        <v/>
      </c>
      <c r="M234" s="7" t="str">
        <f t="shared" si="78"/>
        <v/>
      </c>
      <c r="N234" s="7" t="str">
        <f t="shared" si="76"/>
        <v/>
      </c>
      <c r="O234" s="7" t="str">
        <f t="shared" si="47"/>
        <v/>
      </c>
      <c r="P234" s="7" t="str">
        <f t="shared" si="73"/>
        <v/>
      </c>
      <c r="Q234" s="7" t="str">
        <f t="shared" si="77"/>
        <v/>
      </c>
      <c r="S234" s="7" t="str">
        <f t="shared" si="79"/>
        <v/>
      </c>
    </row>
    <row r="235" spans="1:19">
      <c r="A235" s="47" t="s">
        <v>113</v>
      </c>
      <c r="B235" s="23" t="s">
        <v>83</v>
      </c>
      <c r="C235" s="53" t="s">
        <v>116</v>
      </c>
      <c r="D235" s="12">
        <f>3.82+0.4+0.82+1.08</f>
        <v>6.12</v>
      </c>
      <c r="E235" s="41">
        <v>0.2</v>
      </c>
      <c r="F235" s="41">
        <v>0.4</v>
      </c>
      <c r="K235" s="7" t="str">
        <f t="shared" si="75"/>
        <v/>
      </c>
      <c r="L235" s="7" t="str">
        <f t="shared" si="48"/>
        <v/>
      </c>
      <c r="M235" s="7" t="str">
        <f t="shared" si="78"/>
        <v/>
      </c>
      <c r="N235" s="7" t="str">
        <f t="shared" si="76"/>
        <v/>
      </c>
      <c r="O235" s="7" t="str">
        <f t="shared" si="47"/>
        <v/>
      </c>
      <c r="P235" s="7" t="str">
        <f t="shared" si="73"/>
        <v/>
      </c>
      <c r="Q235" s="7" t="str">
        <f t="shared" si="77"/>
        <v/>
      </c>
      <c r="S235" s="7" t="str">
        <f t="shared" si="79"/>
        <v/>
      </c>
    </row>
    <row r="236" spans="1:19">
      <c r="A236" s="46" t="s">
        <v>74</v>
      </c>
      <c r="B236" s="23"/>
      <c r="C236" s="40"/>
      <c r="D236" s="41"/>
      <c r="E236" s="41"/>
      <c r="F236" s="41"/>
      <c r="G236" s="9">
        <v>1</v>
      </c>
      <c r="H236" s="9">
        <v>3</v>
      </c>
      <c r="I236" s="9">
        <v>12</v>
      </c>
      <c r="J236" s="9">
        <f>D235+36*I236/1000</f>
        <v>6.5520000000000005</v>
      </c>
      <c r="K236" s="7" t="str">
        <f t="shared" si="75"/>
        <v/>
      </c>
      <c r="L236" s="7" t="str">
        <f t="shared" si="48"/>
        <v/>
      </c>
      <c r="M236" s="7" t="str">
        <f t="shared" si="78"/>
        <v/>
      </c>
      <c r="N236" s="7">
        <f t="shared" si="76"/>
        <v>19.656000000000002</v>
      </c>
      <c r="O236" s="7" t="str">
        <f t="shared" si="47"/>
        <v/>
      </c>
      <c r="P236" s="7" t="str">
        <f t="shared" si="73"/>
        <v/>
      </c>
      <c r="Q236" s="7" t="str">
        <f t="shared" si="77"/>
        <v/>
      </c>
      <c r="S236" s="7" t="str">
        <f t="shared" si="79"/>
        <v/>
      </c>
    </row>
    <row r="237" spans="1:19">
      <c r="A237" s="46" t="s">
        <v>75</v>
      </c>
      <c r="B237" s="23"/>
      <c r="C237" s="40"/>
      <c r="D237" s="41"/>
      <c r="E237" s="41"/>
      <c r="F237" s="41"/>
      <c r="G237" s="9">
        <v>1</v>
      </c>
      <c r="H237" s="9">
        <v>3</v>
      </c>
      <c r="I237" s="9">
        <v>10</v>
      </c>
      <c r="J237" s="9">
        <f>$D$179+36*I237/1000</f>
        <v>5.16</v>
      </c>
      <c r="K237" s="7" t="str">
        <f t="shared" si="75"/>
        <v/>
      </c>
      <c r="L237" s="7" t="str">
        <f t="shared" si="48"/>
        <v/>
      </c>
      <c r="M237" s="7">
        <f t="shared" si="78"/>
        <v>15.48</v>
      </c>
      <c r="N237" s="7" t="str">
        <f t="shared" si="76"/>
        <v/>
      </c>
      <c r="O237" s="7" t="str">
        <f t="shared" si="47"/>
        <v/>
      </c>
      <c r="P237" s="7" t="str">
        <f t="shared" si="73"/>
        <v/>
      </c>
      <c r="Q237" s="7" t="str">
        <f t="shared" si="77"/>
        <v/>
      </c>
      <c r="S237" s="7" t="str">
        <f t="shared" si="79"/>
        <v/>
      </c>
    </row>
    <row r="238" spans="1:19">
      <c r="A238" s="46" t="s">
        <v>76</v>
      </c>
      <c r="B238" s="23"/>
      <c r="C238" s="40"/>
      <c r="D238" s="41"/>
      <c r="E238" s="41"/>
      <c r="F238" s="41"/>
      <c r="G238" s="9">
        <v>1</v>
      </c>
      <c r="H238" s="9">
        <f>ROUNDUP((D235/0.2)+10,0)</f>
        <v>41</v>
      </c>
      <c r="I238" s="9">
        <v>6</v>
      </c>
      <c r="J238" s="9">
        <f>2*(E235-0.025+F235-0.025)+20.5*I238/1000</f>
        <v>1.2230000000000001</v>
      </c>
      <c r="K238" s="7">
        <f t="shared" si="75"/>
        <v>50.143000000000001</v>
      </c>
      <c r="L238" s="7" t="str">
        <f t="shared" si="48"/>
        <v/>
      </c>
      <c r="M238" s="7" t="str">
        <f t="shared" si="78"/>
        <v/>
      </c>
      <c r="N238" s="7" t="str">
        <f t="shared" si="76"/>
        <v/>
      </c>
      <c r="O238" s="7" t="str">
        <f t="shared" si="47"/>
        <v/>
      </c>
      <c r="P238" s="7" t="str">
        <f t="shared" si="73"/>
        <v/>
      </c>
      <c r="S238" s="7" t="str">
        <f t="shared" si="79"/>
        <v/>
      </c>
    </row>
    <row r="239" spans="1:19">
      <c r="A239" s="46" t="s">
        <v>77</v>
      </c>
      <c r="B239" s="23"/>
      <c r="C239" s="40"/>
      <c r="D239" s="41"/>
      <c r="E239" s="41"/>
      <c r="F239" s="41"/>
      <c r="G239" s="9">
        <v>1</v>
      </c>
      <c r="H239" s="9">
        <f>ROUNDUP((D235/0.2)+10,0)</f>
        <v>41</v>
      </c>
      <c r="I239" s="9">
        <v>6</v>
      </c>
      <c r="J239" s="9">
        <f>2*(E235-0.025+F235-0.025)+22*I239*4/1000</f>
        <v>1.6280000000000001</v>
      </c>
      <c r="K239" s="7">
        <f t="shared" si="75"/>
        <v>66.748000000000005</v>
      </c>
      <c r="L239" s="7" t="str">
        <f t="shared" si="48"/>
        <v/>
      </c>
      <c r="M239" s="7" t="str">
        <f t="shared" si="78"/>
        <v/>
      </c>
      <c r="N239" s="7" t="str">
        <f t="shared" si="76"/>
        <v/>
      </c>
      <c r="O239" s="7" t="str">
        <f t="shared" si="47"/>
        <v/>
      </c>
      <c r="P239" s="7" t="str">
        <f t="shared" si="73"/>
        <v/>
      </c>
      <c r="S239" s="7" t="str">
        <f t="shared" si="79"/>
        <v/>
      </c>
    </row>
    <row r="240" spans="1:19" s="45" customFormat="1">
      <c r="A240" s="61" t="s">
        <v>113</v>
      </c>
      <c r="B240" s="62" t="s">
        <v>87</v>
      </c>
      <c r="C240" s="53" t="s">
        <v>116</v>
      </c>
      <c r="D240" s="64">
        <v>6.12</v>
      </c>
      <c r="E240" s="64">
        <v>0.2</v>
      </c>
      <c r="F240" s="64">
        <v>0.4</v>
      </c>
      <c r="G240" s="44"/>
      <c r="H240" s="44"/>
      <c r="I240" s="44"/>
      <c r="J240" s="44"/>
      <c r="K240" s="65" t="str">
        <f t="shared" si="75"/>
        <v/>
      </c>
      <c r="L240" s="65" t="str">
        <f t="shared" ref="L240:L254" si="80">IF(I240=8,G240*H240*J240,"")</f>
        <v/>
      </c>
      <c r="M240" s="65" t="str">
        <f t="shared" si="78"/>
        <v/>
      </c>
      <c r="N240" s="65" t="str">
        <f t="shared" si="76"/>
        <v/>
      </c>
      <c r="O240" s="65" t="str">
        <f t="shared" ref="O240:O254" si="81">IF(I240=14,G240*H240*J240,"")</f>
        <v/>
      </c>
      <c r="P240" s="65" t="str">
        <f t="shared" ref="P240:P254" si="82">IF(I240=16,G240*H240*J240,"")</f>
        <v/>
      </c>
      <c r="Q240" s="65" t="str">
        <f t="shared" ref="Q240:Q252" si="83">IF(I240=20,G240*H240*J240,"")</f>
        <v/>
      </c>
      <c r="R240" s="65"/>
      <c r="S240" s="65" t="str">
        <f t="shared" si="79"/>
        <v/>
      </c>
    </row>
    <row r="241" spans="1:19">
      <c r="A241" s="46" t="s">
        <v>74</v>
      </c>
      <c r="B241" s="23"/>
      <c r="C241" s="53"/>
      <c r="D241" s="55"/>
      <c r="E241" s="55"/>
      <c r="F241" s="55"/>
      <c r="G241" s="9">
        <v>1</v>
      </c>
      <c r="H241" s="9">
        <v>3</v>
      </c>
      <c r="I241" s="9">
        <v>12</v>
      </c>
      <c r="J241" s="9">
        <f>D240+36*I241/1000</f>
        <v>6.5520000000000005</v>
      </c>
      <c r="K241" s="7" t="str">
        <f t="shared" si="75"/>
        <v/>
      </c>
      <c r="L241" s="7" t="str">
        <f t="shared" si="80"/>
        <v/>
      </c>
      <c r="M241" s="7" t="str">
        <f t="shared" si="78"/>
        <v/>
      </c>
      <c r="N241" s="7">
        <f t="shared" si="76"/>
        <v>19.656000000000002</v>
      </c>
      <c r="O241" s="7" t="str">
        <f t="shared" si="81"/>
        <v/>
      </c>
      <c r="P241" s="7" t="str">
        <f t="shared" si="82"/>
        <v/>
      </c>
      <c r="Q241" s="7" t="str">
        <f t="shared" si="83"/>
        <v/>
      </c>
      <c r="S241" s="7" t="str">
        <f t="shared" si="79"/>
        <v/>
      </c>
    </row>
    <row r="242" spans="1:19">
      <c r="A242" s="46" t="s">
        <v>75</v>
      </c>
      <c r="B242" s="23"/>
      <c r="C242" s="53"/>
      <c r="D242" s="55"/>
      <c r="E242" s="55"/>
      <c r="F242" s="55"/>
      <c r="G242" s="9">
        <v>1</v>
      </c>
      <c r="H242" s="9">
        <v>3</v>
      </c>
      <c r="I242" s="9">
        <v>10</v>
      </c>
      <c r="J242" s="9">
        <f>$D$179+36*I242/1000</f>
        <v>5.16</v>
      </c>
      <c r="K242" s="7" t="str">
        <f t="shared" si="75"/>
        <v/>
      </c>
      <c r="L242" s="7" t="str">
        <f t="shared" si="80"/>
        <v/>
      </c>
      <c r="M242" s="7">
        <f t="shared" si="78"/>
        <v>15.48</v>
      </c>
      <c r="N242" s="7" t="str">
        <f t="shared" si="76"/>
        <v/>
      </c>
      <c r="O242" s="7" t="str">
        <f t="shared" si="81"/>
        <v/>
      </c>
      <c r="P242" s="7" t="str">
        <f t="shared" si="82"/>
        <v/>
      </c>
      <c r="Q242" s="7" t="str">
        <f t="shared" si="83"/>
        <v/>
      </c>
      <c r="S242" s="7" t="str">
        <f t="shared" si="79"/>
        <v/>
      </c>
    </row>
    <row r="243" spans="1:19">
      <c r="A243" s="46" t="s">
        <v>76</v>
      </c>
      <c r="B243" s="23"/>
      <c r="C243" s="53"/>
      <c r="D243" s="55"/>
      <c r="E243" s="55"/>
      <c r="F243" s="55"/>
      <c r="G243" s="9">
        <v>1</v>
      </c>
      <c r="H243" s="9">
        <f>ROUNDUP((D240/0.2)+10,0)</f>
        <v>41</v>
      </c>
      <c r="I243" s="9">
        <v>6</v>
      </c>
      <c r="J243" s="9">
        <f>2*(E240-0.025+F240-0.025)+20.5*I243/1000</f>
        <v>1.2230000000000001</v>
      </c>
      <c r="K243" s="7">
        <f t="shared" si="75"/>
        <v>50.143000000000001</v>
      </c>
      <c r="L243" s="7" t="str">
        <f t="shared" si="80"/>
        <v/>
      </c>
      <c r="M243" s="7" t="str">
        <f t="shared" si="78"/>
        <v/>
      </c>
      <c r="N243" s="7" t="str">
        <f t="shared" si="76"/>
        <v/>
      </c>
      <c r="O243" s="7" t="str">
        <f t="shared" si="81"/>
        <v/>
      </c>
      <c r="P243" s="7" t="str">
        <f t="shared" si="82"/>
        <v/>
      </c>
      <c r="Q243" s="7" t="str">
        <f t="shared" si="83"/>
        <v/>
      </c>
      <c r="S243" s="7" t="str">
        <f t="shared" si="79"/>
        <v/>
      </c>
    </row>
    <row r="244" spans="1:19">
      <c r="A244" s="46" t="s">
        <v>77</v>
      </c>
      <c r="B244" s="23"/>
      <c r="C244" s="53"/>
      <c r="D244" s="55"/>
      <c r="E244" s="55"/>
      <c r="F244" s="55"/>
      <c r="G244" s="9">
        <v>1</v>
      </c>
      <c r="H244" s="9">
        <f>ROUNDUP((D240/0.2)+10,0)</f>
        <v>41</v>
      </c>
      <c r="I244" s="9">
        <v>6</v>
      </c>
      <c r="J244" s="9">
        <f>2*(E240-0.025+F240-0.025)+22*I244*4/1000</f>
        <v>1.6280000000000001</v>
      </c>
      <c r="K244" s="7">
        <f t="shared" si="75"/>
        <v>66.748000000000005</v>
      </c>
      <c r="L244" s="7" t="str">
        <f t="shared" si="80"/>
        <v/>
      </c>
      <c r="M244" s="7" t="str">
        <f t="shared" si="78"/>
        <v/>
      </c>
      <c r="N244" s="7" t="str">
        <f t="shared" si="76"/>
        <v/>
      </c>
      <c r="O244" s="7" t="str">
        <f t="shared" si="81"/>
        <v/>
      </c>
      <c r="P244" s="7" t="str">
        <f t="shared" si="82"/>
        <v/>
      </c>
      <c r="Q244" s="7" t="str">
        <f t="shared" si="83"/>
        <v/>
      </c>
      <c r="S244" s="7" t="str">
        <f t="shared" si="79"/>
        <v/>
      </c>
    </row>
    <row r="245" spans="1:19">
      <c r="A245" s="53" t="s">
        <v>113</v>
      </c>
      <c r="B245" s="23" t="s">
        <v>112</v>
      </c>
      <c r="C245" s="53" t="s">
        <v>116</v>
      </c>
      <c r="D245" s="55">
        <v>6.12</v>
      </c>
      <c r="E245" s="55">
        <v>0.2</v>
      </c>
      <c r="F245" s="55">
        <v>0.4</v>
      </c>
      <c r="K245" s="7" t="str">
        <f t="shared" si="75"/>
        <v/>
      </c>
      <c r="L245" s="7" t="str">
        <f t="shared" si="80"/>
        <v/>
      </c>
      <c r="M245" s="7" t="str">
        <f t="shared" si="78"/>
        <v/>
      </c>
      <c r="N245" s="7" t="str">
        <f t="shared" si="76"/>
        <v/>
      </c>
      <c r="O245" s="7" t="str">
        <f t="shared" si="81"/>
        <v/>
      </c>
      <c r="P245" s="7" t="str">
        <f t="shared" si="82"/>
        <v/>
      </c>
      <c r="Q245" s="7" t="str">
        <f t="shared" si="83"/>
        <v/>
      </c>
      <c r="S245" s="7" t="str">
        <f t="shared" si="79"/>
        <v/>
      </c>
    </row>
    <row r="246" spans="1:19">
      <c r="A246" s="46" t="s">
        <v>74</v>
      </c>
      <c r="B246" s="23"/>
      <c r="C246" s="53"/>
      <c r="D246" s="55"/>
      <c r="E246" s="55"/>
      <c r="F246" s="55"/>
      <c r="G246" s="9">
        <v>1</v>
      </c>
      <c r="H246" s="9">
        <v>3</v>
      </c>
      <c r="I246" s="9">
        <v>12</v>
      </c>
      <c r="J246" s="9">
        <f>D245+36*I246/1000</f>
        <v>6.5520000000000005</v>
      </c>
      <c r="K246" s="7" t="str">
        <f t="shared" si="75"/>
        <v/>
      </c>
      <c r="L246" s="7" t="str">
        <f t="shared" si="80"/>
        <v/>
      </c>
      <c r="M246" s="7" t="str">
        <f t="shared" si="78"/>
        <v/>
      </c>
      <c r="N246" s="7">
        <f t="shared" si="76"/>
        <v>19.656000000000002</v>
      </c>
      <c r="O246" s="7" t="str">
        <f t="shared" si="81"/>
        <v/>
      </c>
      <c r="P246" s="7" t="str">
        <f t="shared" si="82"/>
        <v/>
      </c>
      <c r="Q246" s="7" t="str">
        <f t="shared" si="83"/>
        <v/>
      </c>
      <c r="S246" s="7" t="str">
        <f t="shared" si="79"/>
        <v/>
      </c>
    </row>
    <row r="247" spans="1:19">
      <c r="A247" s="46" t="s">
        <v>75</v>
      </c>
      <c r="B247" s="23"/>
      <c r="C247" s="53"/>
      <c r="D247" s="55"/>
      <c r="E247" s="55"/>
      <c r="F247" s="55"/>
      <c r="G247" s="9">
        <v>1</v>
      </c>
      <c r="H247" s="9">
        <v>3</v>
      </c>
      <c r="I247" s="9">
        <v>10</v>
      </c>
      <c r="J247" s="9">
        <f>$D$179+36*I247/1000</f>
        <v>5.16</v>
      </c>
      <c r="K247" s="7" t="str">
        <f t="shared" ref="K247:K254" si="84">IF(I247=6,G247*H247*J247,"")</f>
        <v/>
      </c>
      <c r="L247" s="7" t="str">
        <f t="shared" si="80"/>
        <v/>
      </c>
      <c r="M247" s="7">
        <f t="shared" si="78"/>
        <v>15.48</v>
      </c>
      <c r="N247" s="7" t="str">
        <f t="shared" ref="N247:N254" si="85">IF(I247=12,G247*H247*J247,"")</f>
        <v/>
      </c>
      <c r="O247" s="7" t="str">
        <f t="shared" si="81"/>
        <v/>
      </c>
      <c r="P247" s="7" t="str">
        <f t="shared" si="82"/>
        <v/>
      </c>
      <c r="Q247" s="7" t="str">
        <f t="shared" si="83"/>
        <v/>
      </c>
      <c r="S247" s="7" t="str">
        <f t="shared" si="79"/>
        <v/>
      </c>
    </row>
    <row r="248" spans="1:19">
      <c r="A248" s="46" t="s">
        <v>76</v>
      </c>
      <c r="B248" s="23"/>
      <c r="C248" s="53"/>
      <c r="D248" s="55"/>
      <c r="E248" s="55"/>
      <c r="F248" s="55"/>
      <c r="G248" s="9">
        <v>1</v>
      </c>
      <c r="H248" s="9">
        <f>ROUNDUP((D245/0.2)+10,0)</f>
        <v>41</v>
      </c>
      <c r="I248" s="9">
        <v>6</v>
      </c>
      <c r="J248" s="9">
        <f>2*(E245-0.025+F245-0.025)+20.5*I248/1000</f>
        <v>1.2230000000000001</v>
      </c>
      <c r="K248" s="7">
        <f t="shared" si="84"/>
        <v>50.143000000000001</v>
      </c>
      <c r="L248" s="7" t="str">
        <f t="shared" si="80"/>
        <v/>
      </c>
      <c r="M248" s="7" t="str">
        <f t="shared" ref="M248:M254" si="86">IF(I248=10,G248*H248*J248,"")</f>
        <v/>
      </c>
      <c r="N248" s="7" t="str">
        <f t="shared" si="85"/>
        <v/>
      </c>
      <c r="O248" s="7" t="str">
        <f t="shared" si="81"/>
        <v/>
      </c>
      <c r="P248" s="7" t="str">
        <f t="shared" si="82"/>
        <v/>
      </c>
      <c r="Q248" s="7" t="str">
        <f t="shared" si="83"/>
        <v/>
      </c>
      <c r="S248" s="7" t="str">
        <f t="shared" ref="S248:S254" si="87">IF(I248=32,G248*H248*J248,"")</f>
        <v/>
      </c>
    </row>
    <row r="249" spans="1:19">
      <c r="A249" s="46" t="s">
        <v>77</v>
      </c>
      <c r="B249" s="23"/>
      <c r="C249" s="53"/>
      <c r="D249" s="55"/>
      <c r="E249" s="55"/>
      <c r="F249" s="55"/>
      <c r="G249" s="9">
        <v>1</v>
      </c>
      <c r="H249" s="9">
        <f>ROUNDUP((D245/0.2)+10,0)</f>
        <v>41</v>
      </c>
      <c r="I249" s="9">
        <v>6</v>
      </c>
      <c r="J249" s="9">
        <f>2*(E245-0.025+F245-0.025)+22*I249*4/1000</f>
        <v>1.6280000000000001</v>
      </c>
      <c r="K249" s="7">
        <f t="shared" si="84"/>
        <v>66.748000000000005</v>
      </c>
      <c r="L249" s="7" t="str">
        <f t="shared" si="80"/>
        <v/>
      </c>
      <c r="M249" s="7" t="str">
        <f t="shared" si="86"/>
        <v/>
      </c>
      <c r="N249" s="7" t="str">
        <f t="shared" si="85"/>
        <v/>
      </c>
      <c r="O249" s="7" t="str">
        <f t="shared" si="81"/>
        <v/>
      </c>
      <c r="P249" s="7" t="str">
        <f t="shared" si="82"/>
        <v/>
      </c>
      <c r="Q249" s="7" t="str">
        <f t="shared" si="83"/>
        <v/>
      </c>
      <c r="S249" s="7" t="str">
        <f t="shared" si="87"/>
        <v/>
      </c>
    </row>
    <row r="250" spans="1:19">
      <c r="A250" s="47" t="s">
        <v>114</v>
      </c>
      <c r="B250" s="23" t="s">
        <v>91</v>
      </c>
      <c r="C250" s="53" t="s">
        <v>14</v>
      </c>
      <c r="D250" s="55">
        <f>1.8+0.15+3.82</f>
        <v>5.77</v>
      </c>
      <c r="E250" s="55">
        <v>0.2</v>
      </c>
      <c r="F250" s="55">
        <v>0.4</v>
      </c>
      <c r="K250" s="7" t="str">
        <f t="shared" si="84"/>
        <v/>
      </c>
      <c r="L250" s="7" t="str">
        <f t="shared" si="80"/>
        <v/>
      </c>
      <c r="M250" s="7" t="str">
        <f t="shared" si="86"/>
        <v/>
      </c>
      <c r="N250" s="7" t="str">
        <f t="shared" si="85"/>
        <v/>
      </c>
      <c r="O250" s="7" t="str">
        <f t="shared" si="81"/>
        <v/>
      </c>
      <c r="P250" s="7" t="str">
        <f t="shared" si="82"/>
        <v/>
      </c>
      <c r="Q250" s="7" t="str">
        <f t="shared" si="83"/>
        <v/>
      </c>
      <c r="S250" s="7" t="str">
        <f t="shared" si="87"/>
        <v/>
      </c>
    </row>
    <row r="251" spans="1:19">
      <c r="A251" s="46" t="s">
        <v>74</v>
      </c>
      <c r="B251" s="23"/>
      <c r="C251" s="53"/>
      <c r="D251" s="55"/>
      <c r="E251" s="55"/>
      <c r="F251" s="55"/>
      <c r="G251" s="9">
        <v>1</v>
      </c>
      <c r="H251" s="9">
        <v>3</v>
      </c>
      <c r="I251" s="9">
        <v>12</v>
      </c>
      <c r="J251" s="9">
        <f>D250+36*I251/1000</f>
        <v>6.202</v>
      </c>
      <c r="K251" s="7" t="str">
        <f t="shared" si="84"/>
        <v/>
      </c>
      <c r="L251" s="7" t="str">
        <f t="shared" si="80"/>
        <v/>
      </c>
      <c r="M251" s="7" t="str">
        <f t="shared" si="86"/>
        <v/>
      </c>
      <c r="N251" s="7">
        <f t="shared" si="85"/>
        <v>18.606000000000002</v>
      </c>
      <c r="O251" s="7" t="str">
        <f t="shared" si="81"/>
        <v/>
      </c>
      <c r="P251" s="7" t="str">
        <f t="shared" si="82"/>
        <v/>
      </c>
      <c r="Q251" s="7" t="str">
        <f t="shared" si="83"/>
        <v/>
      </c>
      <c r="S251" s="7" t="str">
        <f t="shared" si="87"/>
        <v/>
      </c>
    </row>
    <row r="252" spans="1:19">
      <c r="A252" s="46" t="s">
        <v>75</v>
      </c>
      <c r="B252" s="23"/>
      <c r="C252" s="53"/>
      <c r="D252" s="55"/>
      <c r="E252" s="55"/>
      <c r="F252" s="55"/>
      <c r="G252" s="9">
        <v>1</v>
      </c>
      <c r="H252" s="9">
        <v>3</v>
      </c>
      <c r="I252" s="9">
        <v>10</v>
      </c>
      <c r="J252" s="9">
        <f>$D$179+36*I252/1000</f>
        <v>5.16</v>
      </c>
      <c r="K252" s="7" t="str">
        <f t="shared" si="84"/>
        <v/>
      </c>
      <c r="L252" s="7" t="str">
        <f t="shared" si="80"/>
        <v/>
      </c>
      <c r="M252" s="7">
        <f t="shared" si="86"/>
        <v>15.48</v>
      </c>
      <c r="N252" s="7" t="str">
        <f t="shared" si="85"/>
        <v/>
      </c>
      <c r="O252" s="7" t="str">
        <f t="shared" si="81"/>
        <v/>
      </c>
      <c r="P252" s="7" t="str">
        <f t="shared" si="82"/>
        <v/>
      </c>
      <c r="Q252" s="7" t="str">
        <f t="shared" si="83"/>
        <v/>
      </c>
      <c r="S252" s="7" t="str">
        <f t="shared" si="87"/>
        <v/>
      </c>
    </row>
    <row r="253" spans="1:19">
      <c r="A253" s="46" t="s">
        <v>76</v>
      </c>
      <c r="B253" s="23"/>
      <c r="C253" s="53"/>
      <c r="D253" s="55"/>
      <c r="E253" s="55"/>
      <c r="F253" s="55"/>
      <c r="G253" s="9">
        <v>1</v>
      </c>
      <c r="H253" s="9">
        <f>ROUNDUP((D250/0.2)+10,0)</f>
        <v>39</v>
      </c>
      <c r="I253" s="9">
        <v>6</v>
      </c>
      <c r="J253" s="9">
        <f>2*(E250-0.025+F250-0.025)+20.5*I253/1000</f>
        <v>1.2230000000000001</v>
      </c>
      <c r="K253" s="7">
        <f t="shared" si="84"/>
        <v>47.697000000000003</v>
      </c>
      <c r="L253" s="7" t="str">
        <f t="shared" si="80"/>
        <v/>
      </c>
      <c r="M253" s="7" t="str">
        <f t="shared" si="86"/>
        <v/>
      </c>
      <c r="N253" s="7" t="str">
        <f t="shared" si="85"/>
        <v/>
      </c>
      <c r="O253" s="7" t="str">
        <f t="shared" si="81"/>
        <v/>
      </c>
      <c r="P253" s="7" t="str">
        <f t="shared" si="82"/>
        <v/>
      </c>
      <c r="S253" s="7" t="str">
        <f t="shared" si="87"/>
        <v/>
      </c>
    </row>
    <row r="254" spans="1:19">
      <c r="A254" s="46" t="s">
        <v>77</v>
      </c>
      <c r="B254" s="23"/>
      <c r="C254" s="53"/>
      <c r="D254" s="55"/>
      <c r="E254" s="55"/>
      <c r="F254" s="55"/>
      <c r="G254" s="9">
        <v>1</v>
      </c>
      <c r="H254" s="9">
        <f>ROUNDUP((D250/0.2)+10,0)</f>
        <v>39</v>
      </c>
      <c r="I254" s="9">
        <v>6</v>
      </c>
      <c r="J254" s="9">
        <f>2*(E250-0.025+F250-0.025)+22*I254*4/1000</f>
        <v>1.6280000000000001</v>
      </c>
      <c r="K254" s="7">
        <f t="shared" si="84"/>
        <v>63.492000000000004</v>
      </c>
      <c r="L254" s="7" t="str">
        <f t="shared" si="80"/>
        <v/>
      </c>
      <c r="M254" s="7" t="str">
        <f t="shared" si="86"/>
        <v/>
      </c>
      <c r="N254" s="7" t="str">
        <f t="shared" si="85"/>
        <v/>
      </c>
      <c r="O254" s="7" t="str">
        <f t="shared" si="81"/>
        <v/>
      </c>
      <c r="P254" s="7" t="str">
        <f t="shared" si="82"/>
        <v/>
      </c>
      <c r="S254" s="7" t="str">
        <f t="shared" si="87"/>
        <v/>
      </c>
    </row>
    <row r="255" spans="1:19">
      <c r="A255" s="47" t="s">
        <v>114</v>
      </c>
      <c r="B255" s="23" t="s">
        <v>82</v>
      </c>
      <c r="C255" s="53" t="s">
        <v>14</v>
      </c>
      <c r="D255" s="12">
        <v>5.77</v>
      </c>
      <c r="E255" s="41">
        <v>0.2</v>
      </c>
      <c r="F255" s="41">
        <v>0.4</v>
      </c>
      <c r="K255" s="7" t="str">
        <f t="shared" si="75"/>
        <v/>
      </c>
      <c r="L255" s="7" t="str">
        <f t="shared" si="48"/>
        <v/>
      </c>
      <c r="M255" s="7" t="str">
        <f t="shared" si="78"/>
        <v/>
      </c>
      <c r="N255" s="7" t="str">
        <f t="shared" si="76"/>
        <v/>
      </c>
      <c r="O255" s="7" t="str">
        <f t="shared" si="47"/>
        <v/>
      </c>
      <c r="P255" s="7" t="str">
        <f t="shared" si="73"/>
        <v/>
      </c>
      <c r="S255" s="7" t="str">
        <f t="shared" si="79"/>
        <v/>
      </c>
    </row>
    <row r="256" spans="1:19">
      <c r="A256" s="46" t="s">
        <v>74</v>
      </c>
      <c r="B256" s="23"/>
      <c r="C256" s="40"/>
      <c r="D256" s="41"/>
      <c r="E256" s="41"/>
      <c r="F256" s="41"/>
      <c r="G256" s="9">
        <v>1</v>
      </c>
      <c r="H256" s="9">
        <v>3</v>
      </c>
      <c r="I256" s="9">
        <v>12</v>
      </c>
      <c r="J256" s="9">
        <f>D255+36*I256/1000</f>
        <v>6.202</v>
      </c>
      <c r="K256" s="7" t="str">
        <f t="shared" si="75"/>
        <v/>
      </c>
      <c r="L256" s="7" t="str">
        <f t="shared" si="48"/>
        <v/>
      </c>
      <c r="M256" s="7" t="str">
        <f t="shared" si="78"/>
        <v/>
      </c>
      <c r="N256" s="7">
        <f t="shared" si="76"/>
        <v>18.606000000000002</v>
      </c>
      <c r="O256" s="7" t="str">
        <f t="shared" ref="O256:O274" si="88">IF(I256=14,G256*H256*J256,"")</f>
        <v/>
      </c>
      <c r="P256" s="7" t="str">
        <f t="shared" si="73"/>
        <v/>
      </c>
      <c r="S256" s="7" t="str">
        <f t="shared" si="79"/>
        <v/>
      </c>
    </row>
    <row r="257" spans="1:19">
      <c r="A257" s="46" t="s">
        <v>75</v>
      </c>
      <c r="B257" s="23"/>
      <c r="C257" s="40"/>
      <c r="D257" s="41"/>
      <c r="E257" s="41"/>
      <c r="F257" s="41"/>
      <c r="G257" s="9">
        <v>1</v>
      </c>
      <c r="H257" s="9">
        <v>3</v>
      </c>
      <c r="I257" s="9">
        <v>10</v>
      </c>
      <c r="J257" s="9">
        <f>$D$179+36*I257/1000</f>
        <v>5.16</v>
      </c>
      <c r="K257" s="7" t="str">
        <f t="shared" si="75"/>
        <v/>
      </c>
      <c r="L257" s="7" t="str">
        <f t="shared" si="48"/>
        <v/>
      </c>
      <c r="M257" s="7">
        <f t="shared" si="78"/>
        <v>15.48</v>
      </c>
      <c r="N257" s="7" t="str">
        <f t="shared" si="76"/>
        <v/>
      </c>
      <c r="O257" s="7" t="str">
        <f t="shared" si="88"/>
        <v/>
      </c>
      <c r="P257" s="7" t="str">
        <f t="shared" si="73"/>
        <v/>
      </c>
      <c r="S257" s="7" t="str">
        <f t="shared" si="79"/>
        <v/>
      </c>
    </row>
    <row r="258" spans="1:19">
      <c r="A258" s="46" t="s">
        <v>76</v>
      </c>
      <c r="B258" s="23"/>
      <c r="C258" s="40"/>
      <c r="D258" s="41"/>
      <c r="E258" s="41"/>
      <c r="F258" s="41"/>
      <c r="G258" s="9">
        <v>1</v>
      </c>
      <c r="H258" s="9">
        <f>ROUNDUP((D255/0.13)+10,0)</f>
        <v>55</v>
      </c>
      <c r="I258" s="9">
        <v>6</v>
      </c>
      <c r="J258" s="9">
        <f>2*(E255-0.025+F255-0.025)+20.5*I258/1000</f>
        <v>1.2230000000000001</v>
      </c>
      <c r="K258" s="7">
        <f t="shared" si="75"/>
        <v>67.265000000000001</v>
      </c>
      <c r="L258" s="7" t="str">
        <f t="shared" si="48"/>
        <v/>
      </c>
      <c r="M258" s="7" t="str">
        <f t="shared" si="78"/>
        <v/>
      </c>
      <c r="N258" s="7" t="str">
        <f t="shared" si="76"/>
        <v/>
      </c>
      <c r="O258" s="7" t="str">
        <f t="shared" si="88"/>
        <v/>
      </c>
      <c r="P258" s="7" t="str">
        <f t="shared" si="73"/>
        <v/>
      </c>
      <c r="S258" s="7" t="str">
        <f t="shared" si="79"/>
        <v/>
      </c>
    </row>
    <row r="259" spans="1:19">
      <c r="A259" s="46" t="s">
        <v>77</v>
      </c>
      <c r="B259" s="23"/>
      <c r="C259" s="40"/>
      <c r="D259" s="41"/>
      <c r="E259" s="41"/>
      <c r="F259" s="41"/>
      <c r="G259" s="9">
        <v>1</v>
      </c>
      <c r="H259" s="9">
        <f>ROUNDUP((D255/0.13)+10,0)*2</f>
        <v>110</v>
      </c>
      <c r="I259" s="9">
        <v>6</v>
      </c>
      <c r="J259" s="9">
        <f>2*(E255-0.025+F255-0.025)+22*I259*4/1000</f>
        <v>1.6280000000000001</v>
      </c>
      <c r="K259" s="7">
        <f t="shared" si="75"/>
        <v>179.08</v>
      </c>
      <c r="L259" s="7" t="str">
        <f t="shared" ref="L259:L302" si="89">IF(I259=8,G259*H259*J259,"")</f>
        <v/>
      </c>
      <c r="M259" s="7" t="str">
        <f t="shared" si="78"/>
        <v/>
      </c>
      <c r="N259" s="7" t="str">
        <f t="shared" si="76"/>
        <v/>
      </c>
      <c r="O259" s="7" t="str">
        <f t="shared" si="88"/>
        <v/>
      </c>
      <c r="P259" s="7" t="str">
        <f t="shared" si="73"/>
        <v/>
      </c>
      <c r="S259" s="7" t="str">
        <f t="shared" si="79"/>
        <v/>
      </c>
    </row>
    <row r="260" spans="1:19">
      <c r="A260" s="47" t="s">
        <v>115</v>
      </c>
      <c r="B260" s="23" t="s">
        <v>83</v>
      </c>
      <c r="C260" s="53" t="s">
        <v>116</v>
      </c>
      <c r="D260" s="12">
        <f>3.82+0.15</f>
        <v>3.9699999999999998</v>
      </c>
      <c r="E260" s="41">
        <v>0.2</v>
      </c>
      <c r="F260" s="41">
        <v>0.4</v>
      </c>
      <c r="K260" s="7" t="str">
        <f t="shared" si="75"/>
        <v/>
      </c>
      <c r="L260" s="7" t="str">
        <f t="shared" si="89"/>
        <v/>
      </c>
      <c r="M260" s="7" t="str">
        <f t="shared" si="78"/>
        <v/>
      </c>
      <c r="N260" s="7" t="str">
        <f t="shared" si="76"/>
        <v/>
      </c>
      <c r="O260" s="7" t="str">
        <f t="shared" si="88"/>
        <v/>
      </c>
      <c r="P260" s="7" t="str">
        <f t="shared" si="73"/>
        <v/>
      </c>
      <c r="S260" s="7" t="str">
        <f t="shared" si="79"/>
        <v/>
      </c>
    </row>
    <row r="261" spans="1:19">
      <c r="A261" s="46" t="s">
        <v>74</v>
      </c>
      <c r="B261" s="23"/>
      <c r="C261" s="40"/>
      <c r="D261" s="41"/>
      <c r="E261" s="41"/>
      <c r="F261" s="41"/>
      <c r="G261" s="9">
        <v>1</v>
      </c>
      <c r="H261" s="9">
        <v>3</v>
      </c>
      <c r="I261" s="9">
        <v>12</v>
      </c>
      <c r="J261" s="9">
        <f>D260+36*I261/1000</f>
        <v>4.4020000000000001</v>
      </c>
      <c r="K261" s="7" t="str">
        <f t="shared" si="75"/>
        <v/>
      </c>
      <c r="L261" s="7" t="str">
        <f t="shared" si="89"/>
        <v/>
      </c>
      <c r="M261" s="7" t="str">
        <f t="shared" si="78"/>
        <v/>
      </c>
      <c r="N261" s="7">
        <f t="shared" si="76"/>
        <v>13.206</v>
      </c>
      <c r="O261" s="7" t="str">
        <f t="shared" si="88"/>
        <v/>
      </c>
      <c r="P261" s="7" t="str">
        <f t="shared" si="73"/>
        <v/>
      </c>
      <c r="S261" s="7" t="str">
        <f t="shared" si="79"/>
        <v/>
      </c>
    </row>
    <row r="262" spans="1:19">
      <c r="A262" s="46" t="s">
        <v>75</v>
      </c>
      <c r="B262" s="23"/>
      <c r="C262" s="40"/>
      <c r="D262" s="41"/>
      <c r="E262" s="41"/>
      <c r="F262" s="41"/>
      <c r="G262" s="9">
        <v>1</v>
      </c>
      <c r="H262" s="9">
        <v>3</v>
      </c>
      <c r="I262" s="9">
        <v>10</v>
      </c>
      <c r="J262" s="9">
        <f>$D$179+36*I262/1000</f>
        <v>5.16</v>
      </c>
      <c r="K262" s="7" t="str">
        <f t="shared" si="75"/>
        <v/>
      </c>
      <c r="L262" s="7" t="str">
        <f t="shared" si="89"/>
        <v/>
      </c>
      <c r="M262" s="7">
        <f t="shared" si="78"/>
        <v>15.48</v>
      </c>
      <c r="N262" s="7" t="str">
        <f t="shared" si="76"/>
        <v/>
      </c>
      <c r="O262" s="7" t="str">
        <f t="shared" si="88"/>
        <v/>
      </c>
      <c r="P262" s="7" t="str">
        <f t="shared" si="73"/>
        <v/>
      </c>
      <c r="S262" s="7" t="str">
        <f t="shared" si="79"/>
        <v/>
      </c>
    </row>
    <row r="263" spans="1:19">
      <c r="A263" s="46" t="s">
        <v>76</v>
      </c>
      <c r="B263" s="23"/>
      <c r="C263" s="40"/>
      <c r="D263" s="41"/>
      <c r="E263" s="41"/>
      <c r="F263" s="41"/>
      <c r="G263" s="9">
        <v>1</v>
      </c>
      <c r="H263" s="9">
        <f>ROUNDUP((D260/0.2)+10,0)</f>
        <v>30</v>
      </c>
      <c r="I263" s="9">
        <v>6</v>
      </c>
      <c r="J263" s="9">
        <f>2*(E260-0.025+F260-0.025)+20.5*I263/1000</f>
        <v>1.2230000000000001</v>
      </c>
      <c r="K263" s="7">
        <f t="shared" si="75"/>
        <v>36.690000000000005</v>
      </c>
      <c r="L263" s="7" t="str">
        <f t="shared" si="89"/>
        <v/>
      </c>
      <c r="M263" s="7" t="str">
        <f t="shared" si="78"/>
        <v/>
      </c>
      <c r="N263" s="7" t="str">
        <f t="shared" si="76"/>
        <v/>
      </c>
      <c r="O263" s="7" t="str">
        <f t="shared" si="88"/>
        <v/>
      </c>
      <c r="P263" s="7" t="str">
        <f t="shared" si="73"/>
        <v/>
      </c>
      <c r="S263" s="7" t="str">
        <f t="shared" si="79"/>
        <v/>
      </c>
    </row>
    <row r="264" spans="1:19">
      <c r="A264" s="46" t="s">
        <v>77</v>
      </c>
      <c r="B264" s="23"/>
      <c r="C264" s="40"/>
      <c r="D264" s="41"/>
      <c r="E264" s="41"/>
      <c r="F264" s="41"/>
      <c r="G264" s="9">
        <v>1</v>
      </c>
      <c r="H264" s="9">
        <f>ROUNDUP((D260/0.2)+10,0)</f>
        <v>30</v>
      </c>
      <c r="I264" s="9">
        <v>6</v>
      </c>
      <c r="J264" s="9">
        <f>2*(E260-0.025+F260-0.025)+22*I264*4/1000</f>
        <v>1.6280000000000001</v>
      </c>
      <c r="K264" s="7">
        <f t="shared" si="75"/>
        <v>48.84</v>
      </c>
      <c r="L264" s="7" t="str">
        <f t="shared" si="89"/>
        <v/>
      </c>
      <c r="M264" s="7" t="str">
        <f t="shared" si="78"/>
        <v/>
      </c>
      <c r="N264" s="7" t="str">
        <f t="shared" si="76"/>
        <v/>
      </c>
      <c r="O264" s="7" t="str">
        <f t="shared" si="88"/>
        <v/>
      </c>
      <c r="P264" s="7" t="str">
        <f t="shared" si="73"/>
        <v/>
      </c>
      <c r="S264" s="7" t="str">
        <f t="shared" si="79"/>
        <v/>
      </c>
    </row>
    <row r="265" spans="1:19">
      <c r="A265" s="47" t="s">
        <v>115</v>
      </c>
      <c r="B265" s="23" t="s">
        <v>87</v>
      </c>
      <c r="C265" s="53" t="s">
        <v>116</v>
      </c>
      <c r="D265" s="12">
        <f>0.15+3.82</f>
        <v>3.9699999999999998</v>
      </c>
      <c r="E265" s="41">
        <v>0.2</v>
      </c>
      <c r="F265" s="41">
        <v>0.4</v>
      </c>
      <c r="K265" s="7" t="str">
        <f t="shared" si="75"/>
        <v/>
      </c>
      <c r="L265" s="7" t="str">
        <f t="shared" si="89"/>
        <v/>
      </c>
      <c r="M265" s="7" t="str">
        <f t="shared" si="78"/>
        <v/>
      </c>
      <c r="N265" s="7" t="str">
        <f t="shared" si="76"/>
        <v/>
      </c>
      <c r="O265" s="7" t="str">
        <f t="shared" si="88"/>
        <v/>
      </c>
      <c r="P265" s="7" t="str">
        <f t="shared" si="73"/>
        <v/>
      </c>
      <c r="S265" s="7" t="str">
        <f t="shared" si="79"/>
        <v/>
      </c>
    </row>
    <row r="266" spans="1:19">
      <c r="A266" s="46" t="s">
        <v>74</v>
      </c>
      <c r="B266" s="23"/>
      <c r="C266" s="53"/>
      <c r="D266" s="12"/>
      <c r="E266" s="12"/>
      <c r="F266" s="12"/>
      <c r="G266" s="9">
        <v>1</v>
      </c>
      <c r="H266" s="9">
        <v>3</v>
      </c>
      <c r="I266" s="9">
        <v>12</v>
      </c>
      <c r="J266" s="9">
        <f>D265+36*I266/1000</f>
        <v>4.4020000000000001</v>
      </c>
      <c r="K266" s="7" t="str">
        <f t="shared" si="75"/>
        <v/>
      </c>
      <c r="L266" s="7" t="str">
        <f t="shared" si="89"/>
        <v/>
      </c>
      <c r="M266" s="7" t="str">
        <f t="shared" si="78"/>
        <v/>
      </c>
      <c r="N266" s="7">
        <f t="shared" si="76"/>
        <v>13.206</v>
      </c>
      <c r="O266" s="7" t="str">
        <f t="shared" si="88"/>
        <v/>
      </c>
      <c r="P266" s="7" t="str">
        <f t="shared" si="73"/>
        <v/>
      </c>
      <c r="S266" s="7" t="str">
        <f t="shared" si="79"/>
        <v/>
      </c>
    </row>
    <row r="267" spans="1:19">
      <c r="A267" s="46" t="s">
        <v>75</v>
      </c>
      <c r="B267" s="23"/>
      <c r="C267" s="4"/>
      <c r="D267" s="12"/>
      <c r="E267" s="12"/>
      <c r="F267" s="12"/>
      <c r="G267" s="9">
        <v>1</v>
      </c>
      <c r="H267" s="9">
        <v>3</v>
      </c>
      <c r="I267" s="9">
        <v>10</v>
      </c>
      <c r="J267" s="9">
        <f>$D$179+36*I267/1000</f>
        <v>5.16</v>
      </c>
      <c r="K267" s="7" t="str">
        <f t="shared" si="75"/>
        <v/>
      </c>
      <c r="L267" s="7" t="str">
        <f t="shared" si="89"/>
        <v/>
      </c>
      <c r="M267" s="7">
        <f t="shared" si="78"/>
        <v>15.48</v>
      </c>
      <c r="N267" s="7" t="str">
        <f t="shared" si="76"/>
        <v/>
      </c>
      <c r="O267" s="7" t="str">
        <f t="shared" si="88"/>
        <v/>
      </c>
      <c r="P267" s="7" t="str">
        <f t="shared" ref="P267:P313" si="90">IF(I267=16,G267*H267*J267,"")</f>
        <v/>
      </c>
      <c r="S267" s="7" t="str">
        <f t="shared" si="79"/>
        <v/>
      </c>
    </row>
    <row r="268" spans="1:19">
      <c r="A268" s="46" t="s">
        <v>76</v>
      </c>
      <c r="B268" s="23"/>
      <c r="C268" s="4"/>
      <c r="D268" s="12"/>
      <c r="E268" s="12"/>
      <c r="F268" s="12"/>
      <c r="G268" s="9">
        <v>1</v>
      </c>
      <c r="H268" s="9">
        <f>ROUNDUP((D265/0.2)+10,0)</f>
        <v>30</v>
      </c>
      <c r="I268" s="9">
        <v>6</v>
      </c>
      <c r="J268" s="9">
        <f>2*(E265-0.025+F265-0.025)+20.5*I268/1000</f>
        <v>1.2230000000000001</v>
      </c>
      <c r="K268" s="7">
        <f t="shared" si="75"/>
        <v>36.690000000000005</v>
      </c>
      <c r="L268" s="7" t="str">
        <f t="shared" si="89"/>
        <v/>
      </c>
      <c r="M268" s="7" t="str">
        <f t="shared" si="78"/>
        <v/>
      </c>
      <c r="N268" s="7" t="str">
        <f t="shared" si="76"/>
        <v/>
      </c>
      <c r="O268" s="7" t="str">
        <f t="shared" si="88"/>
        <v/>
      </c>
      <c r="P268" s="7" t="str">
        <f t="shared" si="90"/>
        <v/>
      </c>
      <c r="S268" s="7" t="str">
        <f t="shared" si="79"/>
        <v/>
      </c>
    </row>
    <row r="269" spans="1:19">
      <c r="A269" s="46" t="s">
        <v>77</v>
      </c>
      <c r="B269" s="23"/>
      <c r="C269" s="4"/>
      <c r="D269" s="12"/>
      <c r="E269" s="12"/>
      <c r="F269" s="12"/>
      <c r="G269" s="9">
        <v>1</v>
      </c>
      <c r="H269" s="9">
        <f>ROUNDUP((D265/0.2)+10,0)</f>
        <v>30</v>
      </c>
      <c r="I269" s="9">
        <v>6</v>
      </c>
      <c r="J269" s="9">
        <f>2*(E265-0.025+F265-0.025)+22*I269*4/1000</f>
        <v>1.6280000000000001</v>
      </c>
      <c r="K269" s="7">
        <f t="shared" si="75"/>
        <v>48.84</v>
      </c>
      <c r="L269" s="7" t="str">
        <f t="shared" si="89"/>
        <v/>
      </c>
      <c r="M269" s="7" t="str">
        <f t="shared" si="78"/>
        <v/>
      </c>
      <c r="N269" s="7" t="str">
        <f t="shared" si="76"/>
        <v/>
      </c>
      <c r="O269" s="7" t="str">
        <f t="shared" si="88"/>
        <v/>
      </c>
      <c r="P269" s="7" t="str">
        <f t="shared" si="90"/>
        <v/>
      </c>
      <c r="S269" s="7" t="str">
        <f t="shared" si="79"/>
        <v/>
      </c>
    </row>
    <row r="270" spans="1:19">
      <c r="A270" s="47" t="s">
        <v>115</v>
      </c>
      <c r="B270" s="23" t="s">
        <v>112</v>
      </c>
      <c r="C270" s="53" t="s">
        <v>116</v>
      </c>
      <c r="D270" s="41">
        <f>0.15+3.82</f>
        <v>3.9699999999999998</v>
      </c>
      <c r="E270" s="41">
        <v>0.2</v>
      </c>
      <c r="F270" s="41">
        <v>0.4</v>
      </c>
      <c r="K270" s="7" t="str">
        <f t="shared" si="75"/>
        <v/>
      </c>
      <c r="L270" s="7" t="str">
        <f t="shared" si="89"/>
        <v/>
      </c>
      <c r="M270" s="7" t="str">
        <f t="shared" si="78"/>
        <v/>
      </c>
      <c r="N270" s="7" t="str">
        <f t="shared" si="76"/>
        <v/>
      </c>
      <c r="O270" s="7" t="str">
        <f t="shared" si="88"/>
        <v/>
      </c>
      <c r="P270" s="7" t="str">
        <f t="shared" si="90"/>
        <v/>
      </c>
      <c r="S270" s="7" t="str">
        <f t="shared" si="79"/>
        <v/>
      </c>
    </row>
    <row r="271" spans="1:19">
      <c r="A271" s="46" t="s">
        <v>74</v>
      </c>
      <c r="B271" s="23"/>
      <c r="C271" s="40"/>
      <c r="D271" s="41"/>
      <c r="E271" s="41"/>
      <c r="F271" s="41"/>
      <c r="G271" s="9">
        <v>1</v>
      </c>
      <c r="H271" s="9">
        <v>3</v>
      </c>
      <c r="I271" s="9">
        <v>12</v>
      </c>
      <c r="J271" s="9">
        <f>D270+36*I271/1000</f>
        <v>4.4020000000000001</v>
      </c>
      <c r="K271" s="7" t="str">
        <f t="shared" si="75"/>
        <v/>
      </c>
      <c r="L271" s="7" t="str">
        <f t="shared" si="89"/>
        <v/>
      </c>
      <c r="M271" s="7" t="str">
        <f t="shared" si="78"/>
        <v/>
      </c>
      <c r="N271" s="7">
        <f t="shared" si="76"/>
        <v>13.206</v>
      </c>
      <c r="O271" s="7" t="str">
        <f t="shared" si="88"/>
        <v/>
      </c>
      <c r="P271" s="7" t="str">
        <f t="shared" si="90"/>
        <v/>
      </c>
      <c r="S271" s="7" t="str">
        <f t="shared" si="79"/>
        <v/>
      </c>
    </row>
    <row r="272" spans="1:19">
      <c r="A272" s="46" t="s">
        <v>75</v>
      </c>
      <c r="B272" s="23"/>
      <c r="C272" s="40"/>
      <c r="D272" s="41"/>
      <c r="E272" s="41"/>
      <c r="F272" s="41"/>
      <c r="G272" s="9">
        <v>1</v>
      </c>
      <c r="H272" s="9">
        <v>3</v>
      </c>
      <c r="I272" s="9">
        <v>10</v>
      </c>
      <c r="J272" s="9">
        <f>$D$179+36*I272/1000</f>
        <v>5.16</v>
      </c>
      <c r="K272" s="7" t="str">
        <f t="shared" si="75"/>
        <v/>
      </c>
      <c r="L272" s="7" t="str">
        <f t="shared" si="89"/>
        <v/>
      </c>
      <c r="M272" s="7">
        <f t="shared" si="78"/>
        <v>15.48</v>
      </c>
      <c r="N272" s="7" t="str">
        <f t="shared" si="76"/>
        <v/>
      </c>
      <c r="O272" s="7" t="str">
        <f t="shared" si="88"/>
        <v/>
      </c>
      <c r="P272" s="7" t="str">
        <f t="shared" si="90"/>
        <v/>
      </c>
      <c r="S272" s="7" t="str">
        <f t="shared" si="79"/>
        <v/>
      </c>
    </row>
    <row r="273" spans="1:19">
      <c r="A273" s="46" t="s">
        <v>76</v>
      </c>
      <c r="B273" s="23"/>
      <c r="C273" s="40"/>
      <c r="D273" s="41"/>
      <c r="E273" s="41"/>
      <c r="F273" s="41"/>
      <c r="G273" s="9">
        <v>1</v>
      </c>
      <c r="H273" s="9">
        <f>ROUNDUP((D270/0.2)+10,0)</f>
        <v>30</v>
      </c>
      <c r="I273" s="9">
        <v>6</v>
      </c>
      <c r="J273" s="9">
        <f>2*(E270-0.025+F270-0.025)+20.5*I273/1000</f>
        <v>1.2230000000000001</v>
      </c>
      <c r="K273" s="7">
        <f t="shared" si="75"/>
        <v>36.690000000000005</v>
      </c>
      <c r="L273" s="7" t="str">
        <f t="shared" si="89"/>
        <v/>
      </c>
      <c r="M273" s="7" t="str">
        <f t="shared" si="78"/>
        <v/>
      </c>
      <c r="N273" s="7" t="str">
        <f t="shared" si="76"/>
        <v/>
      </c>
      <c r="O273" s="7" t="str">
        <f t="shared" si="88"/>
        <v/>
      </c>
      <c r="P273" s="7" t="str">
        <f t="shared" si="90"/>
        <v/>
      </c>
      <c r="S273" s="7" t="str">
        <f t="shared" si="79"/>
        <v/>
      </c>
    </row>
    <row r="274" spans="1:19">
      <c r="A274" s="46" t="s">
        <v>77</v>
      </c>
      <c r="B274" s="23"/>
      <c r="C274" s="40"/>
      <c r="D274" s="41"/>
      <c r="E274" s="41"/>
      <c r="F274" s="41"/>
      <c r="G274" s="9">
        <v>1</v>
      </c>
      <c r="H274" s="9">
        <f>ROUNDUP((D270/0.2)+10,0)</f>
        <v>30</v>
      </c>
      <c r="I274" s="9">
        <v>6</v>
      </c>
      <c r="J274" s="9">
        <f>2*(E270-0.025+F270-0.025)+22*I274*4/1000</f>
        <v>1.6280000000000001</v>
      </c>
      <c r="K274" s="7">
        <f t="shared" si="75"/>
        <v>48.84</v>
      </c>
      <c r="L274" s="7" t="str">
        <f t="shared" si="89"/>
        <v/>
      </c>
      <c r="M274" s="7" t="str">
        <f t="shared" si="78"/>
        <v/>
      </c>
      <c r="N274" s="7" t="str">
        <f t="shared" si="76"/>
        <v/>
      </c>
      <c r="O274" s="7" t="str">
        <f t="shared" si="88"/>
        <v/>
      </c>
      <c r="P274" s="7" t="str">
        <f t="shared" si="90"/>
        <v/>
      </c>
      <c r="S274" s="7" t="str">
        <f t="shared" si="79"/>
        <v/>
      </c>
    </row>
    <row r="275" spans="1:19">
      <c r="A275" s="154" t="s">
        <v>78</v>
      </c>
      <c r="B275" s="154"/>
      <c r="C275" s="154"/>
      <c r="D275" s="3"/>
      <c r="E275" s="3"/>
      <c r="F275" s="3"/>
      <c r="K275" s="7" t="str">
        <f t="shared" si="75"/>
        <v/>
      </c>
      <c r="L275" s="7" t="str">
        <f t="shared" si="89"/>
        <v/>
      </c>
      <c r="M275" s="7" t="str">
        <f t="shared" si="78"/>
        <v/>
      </c>
      <c r="N275" s="7" t="str">
        <f t="shared" si="76"/>
        <v/>
      </c>
      <c r="O275" s="7" t="str">
        <f t="shared" ref="O275:O431" si="91">IF(I275=14,G275*H275*J275,"")</f>
        <v/>
      </c>
      <c r="P275" s="7" t="str">
        <f t="shared" si="90"/>
        <v/>
      </c>
      <c r="S275" s="7" t="str">
        <f t="shared" si="79"/>
        <v/>
      </c>
    </row>
    <row r="276" spans="1:19">
      <c r="A276" s="2" t="s">
        <v>2</v>
      </c>
      <c r="B276" s="2" t="s">
        <v>3</v>
      </c>
      <c r="C276" s="2" t="s">
        <v>12</v>
      </c>
      <c r="D276" s="22"/>
      <c r="E276" s="41"/>
      <c r="F276" s="41"/>
      <c r="K276" s="7" t="str">
        <f t="shared" si="75"/>
        <v/>
      </c>
      <c r="L276" s="7" t="str">
        <f t="shared" si="89"/>
        <v/>
      </c>
      <c r="M276" s="7" t="str">
        <f t="shared" si="78"/>
        <v/>
      </c>
      <c r="N276" s="7" t="str">
        <f t="shared" si="76"/>
        <v/>
      </c>
      <c r="O276" s="7" t="str">
        <f t="shared" si="91"/>
        <v/>
      </c>
      <c r="P276" s="7" t="str">
        <f t="shared" si="90"/>
        <v/>
      </c>
      <c r="S276" s="7" t="str">
        <f t="shared" si="79"/>
        <v/>
      </c>
    </row>
    <row r="277" spans="1:19">
      <c r="A277" s="23" t="s">
        <v>4</v>
      </c>
      <c r="B277" s="23" t="s">
        <v>71</v>
      </c>
      <c r="C277" t="s">
        <v>84</v>
      </c>
      <c r="D277" s="41">
        <v>2.48</v>
      </c>
      <c r="E277" s="41">
        <v>0.4</v>
      </c>
      <c r="F277" s="41">
        <v>0.2</v>
      </c>
      <c r="K277" s="7" t="str">
        <f t="shared" si="75"/>
        <v/>
      </c>
      <c r="L277" s="7" t="str">
        <f t="shared" si="89"/>
        <v/>
      </c>
      <c r="M277" s="7" t="str">
        <f t="shared" si="78"/>
        <v/>
      </c>
      <c r="N277" s="7" t="str">
        <f t="shared" si="76"/>
        <v/>
      </c>
      <c r="O277" s="7" t="str">
        <f t="shared" si="91"/>
        <v/>
      </c>
      <c r="P277" s="7" t="str">
        <f t="shared" si="90"/>
        <v/>
      </c>
      <c r="S277" s="7" t="str">
        <f t="shared" si="79"/>
        <v/>
      </c>
    </row>
    <row r="278" spans="1:19">
      <c r="A278" s="46" t="s">
        <v>74</v>
      </c>
      <c r="B278" s="23"/>
      <c r="D278" s="41"/>
      <c r="E278" s="41"/>
      <c r="F278" s="41"/>
      <c r="G278" s="9">
        <v>1</v>
      </c>
      <c r="H278" s="9">
        <v>3</v>
      </c>
      <c r="I278" s="9">
        <v>10</v>
      </c>
      <c r="J278" s="9">
        <f>D277+36*I278/1000</f>
        <v>2.84</v>
      </c>
      <c r="K278" s="7" t="str">
        <f t="shared" si="75"/>
        <v/>
      </c>
      <c r="L278" s="7" t="str">
        <f t="shared" si="89"/>
        <v/>
      </c>
      <c r="M278" s="7">
        <f t="shared" si="78"/>
        <v>8.52</v>
      </c>
      <c r="N278" s="7" t="str">
        <f t="shared" si="76"/>
        <v/>
      </c>
      <c r="O278" s="7" t="str">
        <f t="shared" si="91"/>
        <v/>
      </c>
      <c r="P278" s="7" t="str">
        <f t="shared" si="90"/>
        <v/>
      </c>
      <c r="S278" s="7" t="str">
        <f t="shared" si="79"/>
        <v/>
      </c>
    </row>
    <row r="279" spans="1:19">
      <c r="A279" s="46" t="s">
        <v>75</v>
      </c>
      <c r="B279" s="23"/>
      <c r="D279" s="41"/>
      <c r="E279" s="41"/>
      <c r="F279" s="41"/>
      <c r="G279" s="9">
        <v>1</v>
      </c>
      <c r="H279" s="9">
        <v>3</v>
      </c>
      <c r="I279" s="9">
        <v>10</v>
      </c>
      <c r="J279" s="9">
        <f>D277+36*I279/1000</f>
        <v>2.84</v>
      </c>
      <c r="K279" s="7" t="str">
        <f t="shared" si="75"/>
        <v/>
      </c>
      <c r="L279" s="7" t="str">
        <f t="shared" si="89"/>
        <v/>
      </c>
      <c r="M279" s="7">
        <f t="shared" si="78"/>
        <v>8.52</v>
      </c>
      <c r="N279" s="7" t="str">
        <f t="shared" si="76"/>
        <v/>
      </c>
      <c r="O279" s="7" t="str">
        <f t="shared" si="91"/>
        <v/>
      </c>
      <c r="P279" s="7" t="str">
        <f t="shared" si="90"/>
        <v/>
      </c>
    </row>
    <row r="280" spans="1:19">
      <c r="A280" s="46" t="s">
        <v>76</v>
      </c>
      <c r="B280" s="23"/>
      <c r="D280" s="41"/>
      <c r="E280" s="41"/>
      <c r="F280" s="41"/>
      <c r="G280" s="9">
        <v>1</v>
      </c>
      <c r="H280" s="9">
        <f>ROUNDUP((D277/0.2)+10,0)</f>
        <v>23</v>
      </c>
      <c r="I280" s="9">
        <v>6</v>
      </c>
      <c r="J280" s="9">
        <f>2*(E277-0.025+F277-0.025)+20.5*I280/1000</f>
        <v>1.2229999999999999</v>
      </c>
      <c r="K280" s="7">
        <f t="shared" si="75"/>
        <v>28.128999999999998</v>
      </c>
      <c r="L280" s="7" t="str">
        <f t="shared" si="89"/>
        <v/>
      </c>
      <c r="M280" s="7" t="str">
        <f t="shared" si="78"/>
        <v/>
      </c>
      <c r="N280" s="7" t="str">
        <f t="shared" si="76"/>
        <v/>
      </c>
      <c r="O280" s="7" t="str">
        <f t="shared" si="91"/>
        <v/>
      </c>
      <c r="P280" s="7" t="str">
        <f t="shared" si="90"/>
        <v/>
      </c>
    </row>
    <row r="281" spans="1:19">
      <c r="A281" s="46" t="s">
        <v>77</v>
      </c>
      <c r="B281" s="23"/>
      <c r="D281" s="41"/>
      <c r="E281" s="41"/>
      <c r="F281" s="41"/>
      <c r="G281" s="9">
        <v>1</v>
      </c>
      <c r="H281" s="9">
        <f>ROUNDUP((D277/0.2)+10,0)</f>
        <v>23</v>
      </c>
      <c r="I281" s="9">
        <v>6</v>
      </c>
      <c r="J281" s="9">
        <f>(F277-0.025)+22*I281/1000</f>
        <v>0.30700000000000005</v>
      </c>
      <c r="K281" s="7">
        <f t="shared" si="75"/>
        <v>7.0610000000000008</v>
      </c>
      <c r="L281" s="7" t="str">
        <f t="shared" si="89"/>
        <v/>
      </c>
      <c r="M281" s="7" t="str">
        <f t="shared" si="78"/>
        <v/>
      </c>
      <c r="N281" s="7" t="str">
        <f t="shared" si="76"/>
        <v/>
      </c>
      <c r="O281" s="7" t="str">
        <f t="shared" si="91"/>
        <v/>
      </c>
      <c r="P281" s="7" t="str">
        <f t="shared" si="90"/>
        <v/>
      </c>
    </row>
    <row r="282" spans="1:19">
      <c r="A282" s="23" t="s">
        <v>4</v>
      </c>
      <c r="B282" s="23" t="s">
        <v>117</v>
      </c>
      <c r="C282" t="s">
        <v>84</v>
      </c>
      <c r="D282" s="12">
        <v>7.25</v>
      </c>
      <c r="E282" s="55">
        <v>0.4</v>
      </c>
      <c r="F282" s="41">
        <v>0.2</v>
      </c>
      <c r="K282" s="7" t="str">
        <f t="shared" si="75"/>
        <v/>
      </c>
      <c r="L282" s="7" t="str">
        <f t="shared" si="89"/>
        <v/>
      </c>
      <c r="M282" s="7" t="str">
        <f t="shared" si="78"/>
        <v/>
      </c>
      <c r="N282" s="7" t="str">
        <f t="shared" si="76"/>
        <v/>
      </c>
      <c r="O282" s="7" t="str">
        <f t="shared" si="91"/>
        <v/>
      </c>
      <c r="P282" s="7" t="str">
        <f t="shared" si="90"/>
        <v/>
      </c>
      <c r="S282" s="7" t="str">
        <f t="shared" si="79"/>
        <v/>
      </c>
    </row>
    <row r="283" spans="1:19">
      <c r="A283" s="46" t="s">
        <v>74</v>
      </c>
      <c r="B283" s="23"/>
      <c r="D283" s="41"/>
      <c r="E283" s="41"/>
      <c r="F283" s="41"/>
      <c r="G283" s="9">
        <v>1</v>
      </c>
      <c r="H283" s="9">
        <v>3</v>
      </c>
      <c r="I283" s="9">
        <v>10</v>
      </c>
      <c r="J283" s="9">
        <f>D282+36*I283/1000</f>
        <v>7.61</v>
      </c>
      <c r="K283" s="7" t="str">
        <f t="shared" si="75"/>
        <v/>
      </c>
      <c r="L283" s="7" t="str">
        <f t="shared" si="89"/>
        <v/>
      </c>
      <c r="M283" s="7">
        <f t="shared" si="78"/>
        <v>22.830000000000002</v>
      </c>
      <c r="N283" s="7" t="str">
        <f t="shared" si="76"/>
        <v/>
      </c>
      <c r="O283" s="7" t="str">
        <f t="shared" si="91"/>
        <v/>
      </c>
      <c r="P283" s="7" t="str">
        <f t="shared" si="90"/>
        <v/>
      </c>
    </row>
    <row r="284" spans="1:19">
      <c r="A284" s="46" t="s">
        <v>75</v>
      </c>
      <c r="B284" s="23"/>
      <c r="D284" s="41"/>
      <c r="E284" s="41"/>
      <c r="F284" s="41"/>
      <c r="G284" s="9">
        <v>1</v>
      </c>
      <c r="H284" s="9">
        <v>3</v>
      </c>
      <c r="I284" s="9">
        <v>10</v>
      </c>
      <c r="J284" s="9">
        <f>D282+36*I284/1000</f>
        <v>7.61</v>
      </c>
      <c r="K284" s="7" t="str">
        <f t="shared" si="75"/>
        <v/>
      </c>
      <c r="L284" s="7" t="str">
        <f t="shared" si="89"/>
        <v/>
      </c>
      <c r="M284" s="7">
        <f t="shared" si="78"/>
        <v>22.830000000000002</v>
      </c>
      <c r="N284" s="7" t="str">
        <f t="shared" si="76"/>
        <v/>
      </c>
      <c r="O284" s="7" t="str">
        <f t="shared" si="91"/>
        <v/>
      </c>
      <c r="P284" s="7" t="str">
        <f t="shared" si="90"/>
        <v/>
      </c>
    </row>
    <row r="285" spans="1:19">
      <c r="A285" s="46" t="s">
        <v>76</v>
      </c>
      <c r="B285" s="23"/>
      <c r="D285" s="41"/>
      <c r="E285" s="41"/>
      <c r="F285" s="41"/>
      <c r="G285" s="9">
        <v>1</v>
      </c>
      <c r="H285" s="9">
        <f>ROUNDUP((D282/0.2)+10,0)</f>
        <v>47</v>
      </c>
      <c r="I285" s="9">
        <v>6</v>
      </c>
      <c r="J285" s="9">
        <f>2*(E282-0.025+F282-0.025)+20.5*I285/1000</f>
        <v>1.2229999999999999</v>
      </c>
      <c r="K285" s="7">
        <f t="shared" si="75"/>
        <v>57.480999999999995</v>
      </c>
      <c r="L285" s="7" t="str">
        <f t="shared" si="89"/>
        <v/>
      </c>
      <c r="M285" s="7" t="str">
        <f t="shared" si="78"/>
        <v/>
      </c>
      <c r="N285" s="7" t="str">
        <f t="shared" si="76"/>
        <v/>
      </c>
      <c r="O285" s="7" t="str">
        <f t="shared" si="91"/>
        <v/>
      </c>
      <c r="P285" s="7" t="str">
        <f t="shared" si="90"/>
        <v/>
      </c>
    </row>
    <row r="286" spans="1:19">
      <c r="A286" s="46" t="s">
        <v>77</v>
      </c>
      <c r="B286" s="23"/>
      <c r="D286" s="41"/>
      <c r="E286" s="41"/>
      <c r="F286" s="41"/>
      <c r="G286" s="9">
        <v>1</v>
      </c>
      <c r="H286" s="9">
        <f>ROUNDUP((D282/0.2)+10,0)</f>
        <v>47</v>
      </c>
      <c r="I286" s="9">
        <v>6</v>
      </c>
      <c r="J286" s="9">
        <f>(F282-0.025)+22*I286/1000</f>
        <v>0.30700000000000005</v>
      </c>
      <c r="K286" s="7">
        <f t="shared" si="75"/>
        <v>14.429000000000002</v>
      </c>
      <c r="L286" s="7" t="str">
        <f t="shared" si="89"/>
        <v/>
      </c>
      <c r="M286" s="7" t="str">
        <f t="shared" si="78"/>
        <v/>
      </c>
      <c r="N286" s="7" t="str">
        <f t="shared" si="76"/>
        <v/>
      </c>
      <c r="O286" s="7" t="str">
        <f t="shared" si="91"/>
        <v/>
      </c>
      <c r="P286" s="7" t="str">
        <f t="shared" si="90"/>
        <v/>
      </c>
    </row>
    <row r="287" spans="1:19">
      <c r="A287" s="23" t="s">
        <v>4</v>
      </c>
      <c r="B287" s="23" t="s">
        <v>69</v>
      </c>
      <c r="C287" t="s">
        <v>84</v>
      </c>
      <c r="D287" s="12">
        <v>2.38</v>
      </c>
      <c r="E287" s="55">
        <v>0.4</v>
      </c>
      <c r="F287" s="41">
        <v>0.2</v>
      </c>
      <c r="K287" s="7" t="str">
        <f t="shared" si="75"/>
        <v/>
      </c>
      <c r="L287" s="7" t="str">
        <f t="shared" si="89"/>
        <v/>
      </c>
      <c r="M287" s="7" t="str">
        <f t="shared" si="78"/>
        <v/>
      </c>
      <c r="N287" s="7" t="str">
        <f t="shared" si="76"/>
        <v/>
      </c>
      <c r="O287" s="7" t="str">
        <f t="shared" si="91"/>
        <v/>
      </c>
      <c r="P287" s="7" t="str">
        <f t="shared" si="90"/>
        <v/>
      </c>
      <c r="S287" s="7" t="str">
        <f t="shared" si="79"/>
        <v/>
      </c>
    </row>
    <row r="288" spans="1:19">
      <c r="A288" s="46" t="s">
        <v>74</v>
      </c>
      <c r="B288" s="23"/>
      <c r="D288" s="41"/>
      <c r="E288" s="41"/>
      <c r="F288" s="41"/>
      <c r="G288" s="9">
        <v>1</v>
      </c>
      <c r="H288" s="9">
        <v>3</v>
      </c>
      <c r="I288" s="9">
        <v>10</v>
      </c>
      <c r="J288" s="9">
        <f>D287+36*I288/1000</f>
        <v>2.7399999999999998</v>
      </c>
      <c r="K288" s="7" t="str">
        <f t="shared" si="75"/>
        <v/>
      </c>
      <c r="L288" s="7" t="str">
        <f t="shared" si="89"/>
        <v/>
      </c>
      <c r="M288" s="7">
        <f t="shared" si="78"/>
        <v>8.2199999999999989</v>
      </c>
      <c r="N288" s="7" t="str">
        <f t="shared" si="76"/>
        <v/>
      </c>
      <c r="O288" s="7" t="str">
        <f t="shared" si="91"/>
        <v/>
      </c>
      <c r="P288" s="7" t="str">
        <f t="shared" si="90"/>
        <v/>
      </c>
    </row>
    <row r="289" spans="1:19">
      <c r="A289" s="46" t="s">
        <v>75</v>
      </c>
      <c r="B289" s="23"/>
      <c r="D289" s="41"/>
      <c r="E289" s="41"/>
      <c r="F289" s="41"/>
      <c r="G289" s="9">
        <v>1</v>
      </c>
      <c r="H289" s="9">
        <v>3</v>
      </c>
      <c r="I289" s="9">
        <v>10</v>
      </c>
      <c r="J289" s="9">
        <f>D287+36*I289/1000</f>
        <v>2.7399999999999998</v>
      </c>
      <c r="K289" s="7" t="str">
        <f t="shared" si="75"/>
        <v/>
      </c>
      <c r="L289" s="7" t="str">
        <f t="shared" si="89"/>
        <v/>
      </c>
      <c r="M289" s="7">
        <f t="shared" si="78"/>
        <v>8.2199999999999989</v>
      </c>
      <c r="N289" s="7" t="str">
        <f t="shared" si="76"/>
        <v/>
      </c>
      <c r="O289" s="7" t="str">
        <f t="shared" si="91"/>
        <v/>
      </c>
      <c r="P289" s="7" t="str">
        <f t="shared" si="90"/>
        <v/>
      </c>
    </row>
    <row r="290" spans="1:19">
      <c r="A290" s="46" t="s">
        <v>76</v>
      </c>
      <c r="B290" s="23"/>
      <c r="D290" s="41"/>
      <c r="E290" s="41"/>
      <c r="F290" s="41"/>
      <c r="G290" s="9">
        <v>1</v>
      </c>
      <c r="H290" s="9">
        <f>ROUNDUP((D287/0.2)+10,0)</f>
        <v>22</v>
      </c>
      <c r="I290" s="9">
        <v>6</v>
      </c>
      <c r="J290" s="9">
        <f>2*(E287-0.025+F287-0.025)+20.5*I290/1000</f>
        <v>1.2229999999999999</v>
      </c>
      <c r="K290" s="7">
        <f t="shared" si="75"/>
        <v>26.905999999999999</v>
      </c>
      <c r="L290" s="7" t="str">
        <f t="shared" si="89"/>
        <v/>
      </c>
      <c r="M290" s="7" t="str">
        <f t="shared" si="78"/>
        <v/>
      </c>
      <c r="N290" s="7" t="str">
        <f t="shared" si="76"/>
        <v/>
      </c>
      <c r="O290" s="7" t="str">
        <f t="shared" si="91"/>
        <v/>
      </c>
      <c r="P290" s="7" t="str">
        <f t="shared" si="90"/>
        <v/>
      </c>
    </row>
    <row r="291" spans="1:19">
      <c r="A291" s="46" t="s">
        <v>77</v>
      </c>
      <c r="B291" s="23"/>
      <c r="D291" s="41"/>
      <c r="E291" s="41"/>
      <c r="F291" s="41"/>
      <c r="G291" s="9">
        <v>1</v>
      </c>
      <c r="H291" s="9">
        <f>ROUNDUP((D287/0.2)+10,0)</f>
        <v>22</v>
      </c>
      <c r="I291" s="9">
        <v>6</v>
      </c>
      <c r="J291" s="9">
        <f>(F287-0.025)+22*I291/1000</f>
        <v>0.30700000000000005</v>
      </c>
      <c r="K291" s="7">
        <f t="shared" si="75"/>
        <v>6.7540000000000013</v>
      </c>
      <c r="L291" s="7" t="str">
        <f t="shared" si="89"/>
        <v/>
      </c>
      <c r="M291" s="7" t="str">
        <f t="shared" si="78"/>
        <v/>
      </c>
      <c r="N291" s="7" t="str">
        <f t="shared" si="76"/>
        <v/>
      </c>
      <c r="O291" s="7" t="str">
        <f t="shared" si="91"/>
        <v/>
      </c>
      <c r="P291" s="7" t="str">
        <f t="shared" si="90"/>
        <v/>
      </c>
    </row>
    <row r="292" spans="1:19">
      <c r="A292" s="23" t="s">
        <v>4</v>
      </c>
      <c r="B292" s="23" t="s">
        <v>70</v>
      </c>
      <c r="C292" t="s">
        <v>84</v>
      </c>
      <c r="D292" s="55">
        <v>4.78</v>
      </c>
      <c r="E292" s="55">
        <v>0.4</v>
      </c>
      <c r="F292" s="55">
        <v>0.2</v>
      </c>
      <c r="K292" s="7" t="str">
        <f t="shared" si="75"/>
        <v/>
      </c>
      <c r="L292" s="7" t="str">
        <f t="shared" si="89"/>
        <v/>
      </c>
      <c r="M292" s="7" t="str">
        <f t="shared" si="78"/>
        <v/>
      </c>
      <c r="N292" s="7" t="str">
        <f t="shared" si="76"/>
        <v/>
      </c>
      <c r="O292" s="7" t="str">
        <f t="shared" si="91"/>
        <v/>
      </c>
      <c r="P292" s="7" t="str">
        <f t="shared" si="90"/>
        <v/>
      </c>
      <c r="S292" s="7" t="str">
        <f t="shared" si="79"/>
        <v/>
      </c>
    </row>
    <row r="293" spans="1:19">
      <c r="A293" s="46" t="s">
        <v>74</v>
      </c>
      <c r="B293" s="23"/>
      <c r="D293" s="41"/>
      <c r="E293" s="41"/>
      <c r="F293" s="41"/>
      <c r="G293" s="9">
        <v>1</v>
      </c>
      <c r="H293" s="9">
        <v>3</v>
      </c>
      <c r="I293" s="9">
        <v>10</v>
      </c>
      <c r="J293" s="9">
        <f>D292+36*I293/1000</f>
        <v>5.1400000000000006</v>
      </c>
      <c r="K293" s="7" t="str">
        <f t="shared" si="75"/>
        <v/>
      </c>
      <c r="L293" s="7" t="str">
        <f t="shared" si="89"/>
        <v/>
      </c>
      <c r="M293" s="7">
        <f t="shared" si="78"/>
        <v>15.420000000000002</v>
      </c>
      <c r="N293" s="7" t="str">
        <f t="shared" si="76"/>
        <v/>
      </c>
      <c r="O293" s="7" t="str">
        <f t="shared" si="91"/>
        <v/>
      </c>
      <c r="P293" s="7" t="str">
        <f t="shared" si="90"/>
        <v/>
      </c>
    </row>
    <row r="294" spans="1:19">
      <c r="A294" s="46" t="s">
        <v>75</v>
      </c>
      <c r="B294" s="23"/>
      <c r="D294" s="41"/>
      <c r="E294" s="41"/>
      <c r="F294" s="41"/>
      <c r="G294" s="9">
        <v>1</v>
      </c>
      <c r="H294" s="9">
        <v>3</v>
      </c>
      <c r="I294" s="9">
        <v>10</v>
      </c>
      <c r="J294" s="9">
        <f>D292+36*I294/1000</f>
        <v>5.1400000000000006</v>
      </c>
      <c r="K294" s="7" t="str">
        <f t="shared" si="75"/>
        <v/>
      </c>
      <c r="L294" s="7" t="str">
        <f t="shared" si="89"/>
        <v/>
      </c>
      <c r="M294" s="7">
        <f t="shared" si="78"/>
        <v>15.420000000000002</v>
      </c>
      <c r="N294" s="7" t="str">
        <f t="shared" si="76"/>
        <v/>
      </c>
      <c r="O294" s="7" t="str">
        <f t="shared" si="91"/>
        <v/>
      </c>
      <c r="P294" s="7" t="str">
        <f t="shared" si="90"/>
        <v/>
      </c>
    </row>
    <row r="295" spans="1:19">
      <c r="A295" s="46" t="s">
        <v>76</v>
      </c>
      <c r="B295" s="23"/>
      <c r="D295" s="41"/>
      <c r="E295" s="41"/>
      <c r="F295" s="41"/>
      <c r="G295" s="9">
        <v>1</v>
      </c>
      <c r="H295" s="9">
        <f>ROUNDUP((D292/0.2)+10,0)</f>
        <v>34</v>
      </c>
      <c r="I295" s="9">
        <v>6</v>
      </c>
      <c r="J295" s="9">
        <f>2*(E292-0.025+F292-0.025)+20.5*I295/1000</f>
        <v>1.2229999999999999</v>
      </c>
      <c r="K295" s="7">
        <f t="shared" si="75"/>
        <v>41.581999999999994</v>
      </c>
      <c r="L295" s="7" t="str">
        <f t="shared" si="89"/>
        <v/>
      </c>
      <c r="M295" s="7" t="str">
        <f t="shared" si="78"/>
        <v/>
      </c>
      <c r="N295" s="7" t="str">
        <f t="shared" si="76"/>
        <v/>
      </c>
      <c r="O295" s="7" t="str">
        <f t="shared" si="91"/>
        <v/>
      </c>
      <c r="P295" s="7" t="str">
        <f t="shared" si="90"/>
        <v/>
      </c>
    </row>
    <row r="296" spans="1:19">
      <c r="A296" s="46" t="s">
        <v>77</v>
      </c>
      <c r="B296" s="23"/>
      <c r="D296" s="41"/>
      <c r="E296" s="41"/>
      <c r="F296" s="41"/>
      <c r="G296" s="9">
        <v>1</v>
      </c>
      <c r="H296" s="9">
        <f>ROUNDUP((D292/0.2)+10,0)</f>
        <v>34</v>
      </c>
      <c r="I296" s="9">
        <v>6</v>
      </c>
      <c r="J296" s="9">
        <f>(F292-0.025)+22*I296/1000</f>
        <v>0.30700000000000005</v>
      </c>
      <c r="K296" s="7">
        <f t="shared" si="75"/>
        <v>10.438000000000002</v>
      </c>
      <c r="L296" s="7" t="str">
        <f t="shared" si="89"/>
        <v/>
      </c>
      <c r="M296" s="7" t="str">
        <f t="shared" si="78"/>
        <v/>
      </c>
      <c r="N296" s="7" t="str">
        <f t="shared" si="76"/>
        <v/>
      </c>
      <c r="O296" s="7" t="str">
        <f t="shared" si="91"/>
        <v/>
      </c>
      <c r="P296" s="7" t="str">
        <f t="shared" si="90"/>
        <v/>
      </c>
    </row>
    <row r="297" spans="1:19">
      <c r="A297" s="23" t="s">
        <v>4</v>
      </c>
      <c r="B297" s="23" t="s">
        <v>110</v>
      </c>
      <c r="C297" t="s">
        <v>84</v>
      </c>
      <c r="D297" s="12">
        <v>2.65</v>
      </c>
      <c r="E297" s="55">
        <v>0.4</v>
      </c>
      <c r="F297" s="41">
        <v>0.2</v>
      </c>
      <c r="K297" s="7" t="str">
        <f t="shared" si="75"/>
        <v/>
      </c>
      <c r="L297" s="7" t="str">
        <f t="shared" si="89"/>
        <v/>
      </c>
      <c r="M297" s="7" t="str">
        <f t="shared" si="78"/>
        <v/>
      </c>
      <c r="N297" s="7" t="str">
        <f t="shared" si="76"/>
        <v/>
      </c>
      <c r="O297" s="7" t="str">
        <f t="shared" si="91"/>
        <v/>
      </c>
      <c r="P297" s="7" t="str">
        <f t="shared" si="90"/>
        <v/>
      </c>
      <c r="S297" s="7" t="str">
        <f t="shared" si="79"/>
        <v/>
      </c>
    </row>
    <row r="298" spans="1:19">
      <c r="A298" s="46" t="s">
        <v>74</v>
      </c>
      <c r="B298" s="23"/>
      <c r="D298" s="41"/>
      <c r="E298" s="41"/>
      <c r="F298" s="41"/>
      <c r="G298" s="9">
        <v>1</v>
      </c>
      <c r="H298" s="9">
        <v>3</v>
      </c>
      <c r="I298" s="9">
        <v>10</v>
      </c>
      <c r="J298" s="9">
        <f>D297+36*I298/1000</f>
        <v>3.01</v>
      </c>
      <c r="K298" s="7" t="str">
        <f t="shared" si="75"/>
        <v/>
      </c>
      <c r="L298" s="7" t="str">
        <f t="shared" si="89"/>
        <v/>
      </c>
      <c r="M298" s="7">
        <f t="shared" si="78"/>
        <v>9.0299999999999994</v>
      </c>
      <c r="N298" s="7" t="str">
        <f t="shared" si="76"/>
        <v/>
      </c>
      <c r="O298" s="7" t="str">
        <f t="shared" si="91"/>
        <v/>
      </c>
      <c r="P298" s="7" t="str">
        <f t="shared" si="90"/>
        <v/>
      </c>
    </row>
    <row r="299" spans="1:19">
      <c r="A299" s="46" t="s">
        <v>75</v>
      </c>
      <c r="B299" s="23"/>
      <c r="D299" s="41"/>
      <c r="E299" s="41"/>
      <c r="F299" s="41"/>
      <c r="G299" s="9">
        <v>1</v>
      </c>
      <c r="H299" s="9">
        <v>3</v>
      </c>
      <c r="I299" s="9">
        <v>10</v>
      </c>
      <c r="J299" s="9">
        <f>D297+36*I299/1000</f>
        <v>3.01</v>
      </c>
      <c r="K299" s="7" t="str">
        <f t="shared" si="75"/>
        <v/>
      </c>
      <c r="L299" s="7" t="str">
        <f t="shared" si="89"/>
        <v/>
      </c>
      <c r="M299" s="7">
        <f t="shared" si="78"/>
        <v>9.0299999999999994</v>
      </c>
      <c r="N299" s="7" t="str">
        <f t="shared" si="76"/>
        <v/>
      </c>
      <c r="O299" s="7" t="str">
        <f t="shared" si="91"/>
        <v/>
      </c>
      <c r="P299" s="7" t="str">
        <f t="shared" si="90"/>
        <v/>
      </c>
    </row>
    <row r="300" spans="1:19">
      <c r="A300" s="46" t="s">
        <v>76</v>
      </c>
      <c r="B300" s="23"/>
      <c r="D300" s="41"/>
      <c r="E300" s="41"/>
      <c r="F300" s="41"/>
      <c r="G300" s="9">
        <v>1</v>
      </c>
      <c r="H300" s="9">
        <f>ROUNDUP((D297/0.2)+10,0)</f>
        <v>24</v>
      </c>
      <c r="I300" s="9">
        <v>6</v>
      </c>
      <c r="J300" s="9">
        <f>2*(E297-0.025+F297-0.025)+20.5*I300/1000</f>
        <v>1.2229999999999999</v>
      </c>
      <c r="K300" s="7">
        <f t="shared" si="75"/>
        <v>29.351999999999997</v>
      </c>
      <c r="L300" s="7" t="str">
        <f t="shared" si="89"/>
        <v/>
      </c>
      <c r="M300" s="7" t="str">
        <f t="shared" si="78"/>
        <v/>
      </c>
      <c r="N300" s="7" t="str">
        <f t="shared" si="76"/>
        <v/>
      </c>
      <c r="O300" s="7" t="str">
        <f t="shared" si="91"/>
        <v/>
      </c>
      <c r="P300" s="7" t="str">
        <f t="shared" si="90"/>
        <v/>
      </c>
    </row>
    <row r="301" spans="1:19">
      <c r="A301" s="46" t="s">
        <v>77</v>
      </c>
      <c r="B301" s="23"/>
      <c r="D301" s="41"/>
      <c r="E301" s="41"/>
      <c r="F301" s="41"/>
      <c r="G301" s="9">
        <v>1</v>
      </c>
      <c r="H301" s="9">
        <f>ROUNDUP((D297/0.2)+10,0)</f>
        <v>24</v>
      </c>
      <c r="I301" s="9">
        <v>6</v>
      </c>
      <c r="J301" s="9">
        <f>(F297-0.025)+22*I301/1000</f>
        <v>0.30700000000000005</v>
      </c>
      <c r="K301" s="7">
        <f t="shared" si="75"/>
        <v>7.3680000000000012</v>
      </c>
      <c r="L301" s="7" t="str">
        <f t="shared" si="89"/>
        <v/>
      </c>
      <c r="M301" s="7" t="str">
        <f t="shared" si="78"/>
        <v/>
      </c>
      <c r="N301" s="7" t="str">
        <f t="shared" si="76"/>
        <v/>
      </c>
      <c r="O301" s="7" t="str">
        <f t="shared" si="91"/>
        <v/>
      </c>
      <c r="P301" s="7" t="str">
        <f t="shared" si="90"/>
        <v/>
      </c>
    </row>
    <row r="302" spans="1:19">
      <c r="A302" s="23" t="s">
        <v>4</v>
      </c>
      <c r="B302" s="23" t="s">
        <v>111</v>
      </c>
      <c r="C302" t="s">
        <v>84</v>
      </c>
      <c r="D302" s="12">
        <v>4.5999999999999996</v>
      </c>
      <c r="E302" s="55">
        <v>0.4</v>
      </c>
      <c r="F302" s="41">
        <v>0.2</v>
      </c>
      <c r="K302" s="7" t="str">
        <f t="shared" si="75"/>
        <v/>
      </c>
      <c r="L302" s="7" t="str">
        <f t="shared" si="89"/>
        <v/>
      </c>
      <c r="M302" s="7" t="str">
        <f t="shared" si="78"/>
        <v/>
      </c>
      <c r="N302" s="7" t="str">
        <f t="shared" si="76"/>
        <v/>
      </c>
      <c r="O302" s="7" t="str">
        <f t="shared" si="91"/>
        <v/>
      </c>
      <c r="P302" s="7" t="str">
        <f t="shared" si="90"/>
        <v/>
      </c>
      <c r="S302" s="7" t="str">
        <f t="shared" si="79"/>
        <v/>
      </c>
    </row>
    <row r="303" spans="1:19">
      <c r="A303" s="46" t="s">
        <v>74</v>
      </c>
      <c r="B303" s="23"/>
      <c r="D303" s="41"/>
      <c r="E303" s="41"/>
      <c r="F303" s="41"/>
      <c r="G303" s="9">
        <v>1</v>
      </c>
      <c r="H303" s="9">
        <v>3</v>
      </c>
      <c r="I303" s="9">
        <v>10</v>
      </c>
      <c r="J303" s="9">
        <f>D302+36*I303/1000</f>
        <v>4.96</v>
      </c>
      <c r="K303" s="7" t="str">
        <f t="shared" si="75"/>
        <v/>
      </c>
      <c r="L303" s="7" t="str">
        <f t="shared" ref="L303:L371" si="92">IF(I303=8,G303*H303*J303,"")</f>
        <v/>
      </c>
      <c r="M303" s="7">
        <f t="shared" si="78"/>
        <v>14.879999999999999</v>
      </c>
      <c r="N303" s="7" t="str">
        <f t="shared" si="76"/>
        <v/>
      </c>
      <c r="O303" s="7" t="str">
        <f t="shared" si="91"/>
        <v/>
      </c>
      <c r="P303" s="7" t="str">
        <f t="shared" si="90"/>
        <v/>
      </c>
    </row>
    <row r="304" spans="1:19">
      <c r="A304" s="46" t="s">
        <v>75</v>
      </c>
      <c r="B304" s="23"/>
      <c r="D304" s="41"/>
      <c r="E304" s="41"/>
      <c r="F304" s="41"/>
      <c r="G304" s="9">
        <v>1</v>
      </c>
      <c r="H304" s="9">
        <v>3</v>
      </c>
      <c r="I304" s="9">
        <v>10</v>
      </c>
      <c r="J304" s="9">
        <f>D302+36*I304/1000</f>
        <v>4.96</v>
      </c>
      <c r="K304" s="7" t="str">
        <f t="shared" si="75"/>
        <v/>
      </c>
      <c r="L304" s="7" t="str">
        <f t="shared" si="92"/>
        <v/>
      </c>
      <c r="M304" s="7">
        <f t="shared" si="78"/>
        <v>14.879999999999999</v>
      </c>
      <c r="N304" s="7" t="str">
        <f t="shared" si="76"/>
        <v/>
      </c>
      <c r="O304" s="7" t="str">
        <f t="shared" si="91"/>
        <v/>
      </c>
      <c r="P304" s="7" t="str">
        <f t="shared" si="90"/>
        <v/>
      </c>
    </row>
    <row r="305" spans="1:19">
      <c r="A305" s="46" t="s">
        <v>76</v>
      </c>
      <c r="B305" s="23"/>
      <c r="D305" s="41"/>
      <c r="E305" s="41"/>
      <c r="F305" s="41"/>
      <c r="G305" s="9">
        <v>1</v>
      </c>
      <c r="H305" s="9">
        <f>ROUNDUP((D302/0.2)+10,0)</f>
        <v>33</v>
      </c>
      <c r="I305" s="9">
        <v>6</v>
      </c>
      <c r="J305" s="9">
        <f>2*(E302-0.025+F302-0.025)+20.5*I305/1000</f>
        <v>1.2229999999999999</v>
      </c>
      <c r="K305" s="7">
        <f t="shared" si="75"/>
        <v>40.358999999999995</v>
      </c>
      <c r="L305" s="7" t="str">
        <f t="shared" si="92"/>
        <v/>
      </c>
      <c r="M305" s="7" t="str">
        <f t="shared" si="78"/>
        <v/>
      </c>
      <c r="N305" s="7" t="str">
        <f t="shared" si="76"/>
        <v/>
      </c>
      <c r="O305" s="7" t="str">
        <f t="shared" si="91"/>
        <v/>
      </c>
      <c r="P305" s="7" t="str">
        <f t="shared" si="90"/>
        <v/>
      </c>
    </row>
    <row r="306" spans="1:19">
      <c r="A306" s="46" t="s">
        <v>77</v>
      </c>
      <c r="B306" s="23"/>
      <c r="D306" s="41"/>
      <c r="E306" s="41"/>
      <c r="F306" s="41"/>
      <c r="G306" s="9">
        <v>1</v>
      </c>
      <c r="H306" s="9">
        <f>ROUNDUP((D302/0.2)+10,0)</f>
        <v>33</v>
      </c>
      <c r="I306" s="9">
        <v>6</v>
      </c>
      <c r="J306" s="9">
        <f>(F302-0.025)+22*I306/1000</f>
        <v>0.30700000000000005</v>
      </c>
      <c r="K306" s="7">
        <f t="shared" si="75"/>
        <v>10.131000000000002</v>
      </c>
      <c r="L306" s="7" t="str">
        <f t="shared" si="92"/>
        <v/>
      </c>
      <c r="M306" s="7" t="str">
        <f t="shared" si="78"/>
        <v/>
      </c>
      <c r="N306" s="7" t="str">
        <f t="shared" si="76"/>
        <v/>
      </c>
      <c r="O306" s="7" t="str">
        <f t="shared" si="91"/>
        <v/>
      </c>
      <c r="P306" s="7" t="str">
        <f t="shared" si="90"/>
        <v/>
      </c>
    </row>
    <row r="307" spans="1:19">
      <c r="A307" s="23" t="s">
        <v>11</v>
      </c>
      <c r="B307" s="23" t="s">
        <v>71</v>
      </c>
      <c r="C307" t="s">
        <v>84</v>
      </c>
      <c r="D307" s="12">
        <v>2.48</v>
      </c>
      <c r="E307" s="55">
        <v>0.4</v>
      </c>
      <c r="F307" s="41">
        <v>0.2</v>
      </c>
      <c r="K307" s="7" t="str">
        <f t="shared" si="75"/>
        <v/>
      </c>
      <c r="L307" s="7" t="str">
        <f t="shared" si="92"/>
        <v/>
      </c>
      <c r="M307" s="7" t="str">
        <f t="shared" si="78"/>
        <v/>
      </c>
      <c r="N307" s="7" t="str">
        <f t="shared" si="76"/>
        <v/>
      </c>
      <c r="O307" s="7" t="str">
        <f t="shared" si="91"/>
        <v/>
      </c>
      <c r="P307" s="7" t="str">
        <f t="shared" si="90"/>
        <v/>
      </c>
      <c r="S307" s="7" t="str">
        <f t="shared" si="79"/>
        <v/>
      </c>
    </row>
    <row r="308" spans="1:19">
      <c r="A308" s="46" t="s">
        <v>74</v>
      </c>
      <c r="B308" s="23"/>
      <c r="D308" s="41"/>
      <c r="E308" s="41"/>
      <c r="F308" s="41"/>
      <c r="G308" s="9">
        <v>1</v>
      </c>
      <c r="H308" s="9">
        <v>3</v>
      </c>
      <c r="I308" s="9">
        <v>10</v>
      </c>
      <c r="J308" s="9">
        <f>D307+36*I308/1000</f>
        <v>2.84</v>
      </c>
      <c r="K308" s="7" t="str">
        <f t="shared" si="75"/>
        <v/>
      </c>
      <c r="L308" s="7" t="str">
        <f t="shared" si="92"/>
        <v/>
      </c>
      <c r="M308" s="7">
        <f t="shared" si="78"/>
        <v>8.52</v>
      </c>
      <c r="N308" s="7" t="str">
        <f t="shared" si="76"/>
        <v/>
      </c>
      <c r="O308" s="7" t="str">
        <f t="shared" si="91"/>
        <v/>
      </c>
      <c r="P308" s="7" t="str">
        <f t="shared" si="90"/>
        <v/>
      </c>
    </row>
    <row r="309" spans="1:19">
      <c r="A309" s="46" t="s">
        <v>75</v>
      </c>
      <c r="B309" s="23"/>
      <c r="D309" s="41"/>
      <c r="E309" s="41"/>
      <c r="F309" s="41"/>
      <c r="G309" s="9">
        <v>1</v>
      </c>
      <c r="H309" s="9">
        <v>3</v>
      </c>
      <c r="I309" s="9">
        <v>10</v>
      </c>
      <c r="J309" s="9">
        <f>D307+36*I309/1000</f>
        <v>2.84</v>
      </c>
      <c r="K309" s="7" t="str">
        <f t="shared" si="75"/>
        <v/>
      </c>
      <c r="L309" s="7" t="str">
        <f t="shared" si="92"/>
        <v/>
      </c>
      <c r="M309" s="7">
        <f t="shared" si="78"/>
        <v>8.52</v>
      </c>
      <c r="N309" s="7" t="str">
        <f t="shared" si="76"/>
        <v/>
      </c>
      <c r="O309" s="7" t="str">
        <f t="shared" si="91"/>
        <v/>
      </c>
      <c r="P309" s="7" t="str">
        <f t="shared" si="90"/>
        <v/>
      </c>
    </row>
    <row r="310" spans="1:19">
      <c r="A310" s="46" t="s">
        <v>76</v>
      </c>
      <c r="B310" s="23"/>
      <c r="D310" s="41"/>
      <c r="E310" s="41"/>
      <c r="F310" s="41"/>
      <c r="G310" s="9">
        <v>1</v>
      </c>
      <c r="H310" s="9">
        <f>ROUNDUP((D307/0.2)+10,0)</f>
        <v>23</v>
      </c>
      <c r="I310" s="9">
        <v>6</v>
      </c>
      <c r="J310" s="9">
        <f>2*(E307-0.025+F307-0.025)+20.5*I310/1000</f>
        <v>1.2229999999999999</v>
      </c>
      <c r="K310" s="7">
        <f t="shared" si="75"/>
        <v>28.128999999999998</v>
      </c>
      <c r="L310" s="7" t="str">
        <f t="shared" si="92"/>
        <v/>
      </c>
      <c r="M310" s="7" t="str">
        <f t="shared" si="78"/>
        <v/>
      </c>
      <c r="N310" s="7" t="str">
        <f t="shared" si="76"/>
        <v/>
      </c>
      <c r="O310" s="7" t="str">
        <f t="shared" si="91"/>
        <v/>
      </c>
      <c r="P310" s="7" t="str">
        <f t="shared" si="90"/>
        <v/>
      </c>
    </row>
    <row r="311" spans="1:19">
      <c r="A311" s="46" t="s">
        <v>77</v>
      </c>
      <c r="B311" s="23"/>
      <c r="D311" s="41"/>
      <c r="E311" s="41"/>
      <c r="F311" s="41"/>
      <c r="G311" s="9">
        <v>1</v>
      </c>
      <c r="H311" s="9">
        <f>ROUNDUP((D307/0.2)+10,0)</f>
        <v>23</v>
      </c>
      <c r="I311" s="9">
        <v>6</v>
      </c>
      <c r="J311" s="9">
        <f>(F307-0.025)+22*I311/1000</f>
        <v>0.30700000000000005</v>
      </c>
      <c r="K311" s="7">
        <f t="shared" si="75"/>
        <v>7.0610000000000008</v>
      </c>
      <c r="L311" s="7" t="str">
        <f t="shared" si="92"/>
        <v/>
      </c>
      <c r="M311" s="7" t="str">
        <f t="shared" si="78"/>
        <v/>
      </c>
      <c r="N311" s="7" t="str">
        <f t="shared" si="76"/>
        <v/>
      </c>
      <c r="O311" s="7" t="str">
        <f t="shared" si="91"/>
        <v/>
      </c>
      <c r="P311" s="7" t="str">
        <f t="shared" si="90"/>
        <v/>
      </c>
    </row>
    <row r="312" spans="1:19">
      <c r="A312" s="4" t="s">
        <v>11</v>
      </c>
      <c r="B312" s="23" t="s">
        <v>117</v>
      </c>
      <c r="C312" t="s">
        <v>84</v>
      </c>
      <c r="D312" s="12">
        <v>7.25</v>
      </c>
      <c r="E312" s="55">
        <v>0.4</v>
      </c>
      <c r="F312" s="41">
        <v>0.2</v>
      </c>
      <c r="K312" s="7" t="str">
        <f t="shared" si="75"/>
        <v/>
      </c>
      <c r="L312" s="7" t="str">
        <f t="shared" si="92"/>
        <v/>
      </c>
      <c r="M312" s="7" t="str">
        <f t="shared" si="78"/>
        <v/>
      </c>
      <c r="N312" s="7" t="str">
        <f t="shared" si="76"/>
        <v/>
      </c>
      <c r="O312" s="7" t="str">
        <f t="shared" si="91"/>
        <v/>
      </c>
      <c r="P312" s="7" t="str">
        <f t="shared" si="90"/>
        <v/>
      </c>
      <c r="S312" s="7" t="str">
        <f t="shared" si="79"/>
        <v/>
      </c>
    </row>
    <row r="313" spans="1:19">
      <c r="A313" s="46" t="s">
        <v>74</v>
      </c>
      <c r="B313" s="23"/>
      <c r="D313" s="41"/>
      <c r="E313" s="41"/>
      <c r="F313" s="41"/>
      <c r="G313" s="9">
        <v>1</v>
      </c>
      <c r="H313" s="9">
        <v>3</v>
      </c>
      <c r="I313" s="9">
        <v>10</v>
      </c>
      <c r="J313" s="9">
        <f>D312+36*I313/1000</f>
        <v>7.61</v>
      </c>
      <c r="K313" s="7" t="str">
        <f t="shared" si="75"/>
        <v/>
      </c>
      <c r="L313" s="7" t="str">
        <f t="shared" si="92"/>
        <v/>
      </c>
      <c r="M313" s="7">
        <f t="shared" si="78"/>
        <v>22.830000000000002</v>
      </c>
      <c r="N313" s="7" t="str">
        <f t="shared" si="76"/>
        <v/>
      </c>
      <c r="O313" s="7" t="str">
        <f t="shared" si="91"/>
        <v/>
      </c>
      <c r="P313" s="7" t="str">
        <f t="shared" si="90"/>
        <v/>
      </c>
    </row>
    <row r="314" spans="1:19">
      <c r="A314" s="46" t="s">
        <v>75</v>
      </c>
      <c r="B314" s="23"/>
      <c r="D314" s="41"/>
      <c r="E314" s="41"/>
      <c r="F314" s="41"/>
      <c r="G314" s="9">
        <v>1</v>
      </c>
      <c r="H314" s="9">
        <v>3</v>
      </c>
      <c r="I314" s="9">
        <v>10</v>
      </c>
      <c r="J314" s="9">
        <f>D312+36*I314/1000</f>
        <v>7.61</v>
      </c>
      <c r="K314" s="7" t="str">
        <f t="shared" si="75"/>
        <v/>
      </c>
      <c r="L314" s="7" t="str">
        <f t="shared" si="92"/>
        <v/>
      </c>
      <c r="M314" s="7">
        <f t="shared" si="78"/>
        <v>22.830000000000002</v>
      </c>
      <c r="N314" s="7" t="str">
        <f t="shared" si="76"/>
        <v/>
      </c>
      <c r="O314" s="7" t="str">
        <f t="shared" si="91"/>
        <v/>
      </c>
      <c r="P314" s="7" t="str">
        <f t="shared" ref="P314:P436" si="93">IF(I314=16,G314*H314*J314,"")</f>
        <v/>
      </c>
    </row>
    <row r="315" spans="1:19">
      <c r="A315" s="46" t="s">
        <v>76</v>
      </c>
      <c r="B315" s="23"/>
      <c r="D315" s="41"/>
      <c r="E315" s="41"/>
      <c r="F315" s="41"/>
      <c r="G315" s="9">
        <v>1</v>
      </c>
      <c r="H315" s="9">
        <f>ROUNDUP((D312/0.2)+10,0)</f>
        <v>47</v>
      </c>
      <c r="I315" s="9">
        <v>6</v>
      </c>
      <c r="J315" s="9">
        <f>2*(E312-0.025+F312-0.025)+20.5*I315/1000</f>
        <v>1.2229999999999999</v>
      </c>
      <c r="K315" s="7">
        <f t="shared" si="75"/>
        <v>57.480999999999995</v>
      </c>
      <c r="L315" s="7" t="str">
        <f t="shared" si="92"/>
        <v/>
      </c>
      <c r="M315" s="7" t="str">
        <f t="shared" si="78"/>
        <v/>
      </c>
      <c r="N315" s="7" t="str">
        <f t="shared" si="76"/>
        <v/>
      </c>
      <c r="O315" s="7" t="str">
        <f t="shared" si="91"/>
        <v/>
      </c>
      <c r="P315" s="7" t="str">
        <f t="shared" si="93"/>
        <v/>
      </c>
    </row>
    <row r="316" spans="1:19">
      <c r="A316" s="46" t="s">
        <v>77</v>
      </c>
      <c r="B316" s="23"/>
      <c r="D316" s="41"/>
      <c r="E316" s="41"/>
      <c r="F316" s="41"/>
      <c r="G316" s="9">
        <v>1</v>
      </c>
      <c r="H316" s="9">
        <f>ROUNDUP((D312/0.2)+10,0)</f>
        <v>47</v>
      </c>
      <c r="I316" s="9">
        <v>6</v>
      </c>
      <c r="J316" s="9">
        <f>(F312-0.025)+22*I316/1000</f>
        <v>0.30700000000000005</v>
      </c>
      <c r="K316" s="7">
        <f t="shared" si="75"/>
        <v>14.429000000000002</v>
      </c>
      <c r="L316" s="7" t="str">
        <f t="shared" si="92"/>
        <v/>
      </c>
      <c r="M316" s="7" t="str">
        <f t="shared" si="78"/>
        <v/>
      </c>
      <c r="N316" s="7" t="str">
        <f t="shared" si="76"/>
        <v/>
      </c>
      <c r="O316" s="7" t="str">
        <f t="shared" si="91"/>
        <v/>
      </c>
      <c r="P316" s="7" t="str">
        <f t="shared" si="93"/>
        <v/>
      </c>
    </row>
    <row r="317" spans="1:19">
      <c r="A317" s="4" t="s">
        <v>11</v>
      </c>
      <c r="B317" s="23" t="s">
        <v>69</v>
      </c>
      <c r="C317" t="s">
        <v>84</v>
      </c>
      <c r="D317" s="55">
        <v>2.38</v>
      </c>
      <c r="E317" s="55">
        <v>0.4</v>
      </c>
      <c r="F317" s="41">
        <v>0.2</v>
      </c>
      <c r="K317" s="7" t="str">
        <f t="shared" si="75"/>
        <v/>
      </c>
      <c r="L317" s="7" t="str">
        <f t="shared" si="92"/>
        <v/>
      </c>
      <c r="M317" s="7" t="str">
        <f t="shared" si="78"/>
        <v/>
      </c>
      <c r="N317" s="7" t="str">
        <f t="shared" si="76"/>
        <v/>
      </c>
      <c r="O317" s="7" t="str">
        <f t="shared" si="91"/>
        <v/>
      </c>
      <c r="P317" s="7" t="str">
        <f t="shared" si="93"/>
        <v/>
      </c>
      <c r="S317" s="7" t="str">
        <f t="shared" si="79"/>
        <v/>
      </c>
    </row>
    <row r="318" spans="1:19">
      <c r="A318" s="46" t="s">
        <v>74</v>
      </c>
      <c r="B318" s="23"/>
      <c r="D318" s="41"/>
      <c r="E318" s="41"/>
      <c r="F318" s="41"/>
      <c r="G318" s="9">
        <v>1</v>
      </c>
      <c r="H318" s="9">
        <v>3</v>
      </c>
      <c r="I318" s="9">
        <v>10</v>
      </c>
      <c r="J318" s="9">
        <f>D317+36*I318/1000</f>
        <v>2.7399999999999998</v>
      </c>
      <c r="K318" s="7" t="str">
        <f t="shared" si="75"/>
        <v/>
      </c>
      <c r="L318" s="7" t="str">
        <f t="shared" si="92"/>
        <v/>
      </c>
      <c r="M318" s="7">
        <f t="shared" si="78"/>
        <v>8.2199999999999989</v>
      </c>
      <c r="N318" s="7" t="str">
        <f t="shared" si="76"/>
        <v/>
      </c>
      <c r="O318" s="7" t="str">
        <f t="shared" si="91"/>
        <v/>
      </c>
      <c r="P318" s="7" t="str">
        <f t="shared" si="93"/>
        <v/>
      </c>
    </row>
    <row r="319" spans="1:19">
      <c r="A319" s="46" t="s">
        <v>75</v>
      </c>
      <c r="B319" s="23"/>
      <c r="D319" s="41"/>
      <c r="E319" s="41"/>
      <c r="F319" s="41"/>
      <c r="G319" s="9">
        <v>1</v>
      </c>
      <c r="H319" s="9">
        <v>3</v>
      </c>
      <c r="I319" s="9">
        <v>10</v>
      </c>
      <c r="J319" s="9">
        <f>D317+36*I319/1000</f>
        <v>2.7399999999999998</v>
      </c>
      <c r="K319" s="7" t="str">
        <f t="shared" si="75"/>
        <v/>
      </c>
      <c r="L319" s="7" t="str">
        <f t="shared" si="92"/>
        <v/>
      </c>
      <c r="M319" s="7">
        <f t="shared" si="78"/>
        <v>8.2199999999999989</v>
      </c>
      <c r="N319" s="7" t="str">
        <f t="shared" si="76"/>
        <v/>
      </c>
      <c r="O319" s="7" t="str">
        <f t="shared" si="91"/>
        <v/>
      </c>
      <c r="P319" s="7" t="str">
        <f t="shared" si="93"/>
        <v/>
      </c>
    </row>
    <row r="320" spans="1:19">
      <c r="A320" s="46" t="s">
        <v>76</v>
      </c>
      <c r="B320" s="23"/>
      <c r="D320" s="41"/>
      <c r="E320" s="41"/>
      <c r="F320" s="41"/>
      <c r="G320" s="9">
        <v>1</v>
      </c>
      <c r="H320" s="9">
        <f>ROUNDUP((D317/0.2)+10,0)</f>
        <v>22</v>
      </c>
      <c r="I320" s="9">
        <v>6</v>
      </c>
      <c r="J320" s="9">
        <f>2*(E317-0.025+F317-0.025)+20.5*I320/1000</f>
        <v>1.2229999999999999</v>
      </c>
      <c r="K320" s="7">
        <f t="shared" si="75"/>
        <v>26.905999999999999</v>
      </c>
      <c r="L320" s="7" t="str">
        <f t="shared" si="92"/>
        <v/>
      </c>
      <c r="M320" s="7" t="str">
        <f t="shared" si="78"/>
        <v/>
      </c>
      <c r="N320" s="7" t="str">
        <f t="shared" si="76"/>
        <v/>
      </c>
      <c r="O320" s="7" t="str">
        <f t="shared" si="91"/>
        <v/>
      </c>
      <c r="P320" s="7" t="str">
        <f t="shared" si="93"/>
        <v/>
      </c>
    </row>
    <row r="321" spans="1:19">
      <c r="A321" s="46" t="s">
        <v>77</v>
      </c>
      <c r="B321" s="23"/>
      <c r="D321" s="41"/>
      <c r="E321" s="41"/>
      <c r="F321" s="41"/>
      <c r="G321" s="9">
        <v>1</v>
      </c>
      <c r="H321" s="9">
        <f>ROUNDUP((D317/0.2)+10,0)</f>
        <v>22</v>
      </c>
      <c r="I321" s="9">
        <v>6</v>
      </c>
      <c r="J321" s="9">
        <f>(F317-0.025)+22*I321/1000</f>
        <v>0.30700000000000005</v>
      </c>
      <c r="K321" s="7">
        <f t="shared" si="75"/>
        <v>6.7540000000000013</v>
      </c>
      <c r="L321" s="7" t="str">
        <f t="shared" si="92"/>
        <v/>
      </c>
      <c r="M321" s="7" t="str">
        <f t="shared" si="78"/>
        <v/>
      </c>
      <c r="N321" s="7" t="str">
        <f t="shared" si="76"/>
        <v/>
      </c>
      <c r="O321" s="7" t="str">
        <f t="shared" si="91"/>
        <v/>
      </c>
      <c r="P321" s="7" t="str">
        <f t="shared" si="93"/>
        <v/>
      </c>
    </row>
    <row r="322" spans="1:19">
      <c r="A322" s="40" t="s">
        <v>11</v>
      </c>
      <c r="B322" s="23" t="s">
        <v>70</v>
      </c>
      <c r="C322" t="s">
        <v>84</v>
      </c>
      <c r="D322" s="55">
        <v>4.78</v>
      </c>
      <c r="E322" s="55">
        <v>0.4</v>
      </c>
      <c r="F322" s="41">
        <v>0.2</v>
      </c>
      <c r="K322" s="7" t="str">
        <f t="shared" si="75"/>
        <v/>
      </c>
      <c r="L322" s="7" t="str">
        <f t="shared" si="92"/>
        <v/>
      </c>
      <c r="M322" s="7" t="str">
        <f t="shared" si="78"/>
        <v/>
      </c>
      <c r="N322" s="7" t="str">
        <f t="shared" si="76"/>
        <v/>
      </c>
      <c r="O322" s="7" t="str">
        <f t="shared" si="91"/>
        <v/>
      </c>
      <c r="P322" s="7" t="str">
        <f t="shared" si="93"/>
        <v/>
      </c>
      <c r="S322" s="7" t="str">
        <f t="shared" si="79"/>
        <v/>
      </c>
    </row>
    <row r="323" spans="1:19">
      <c r="A323" s="46" t="s">
        <v>74</v>
      </c>
      <c r="B323" s="23"/>
      <c r="D323" s="41"/>
      <c r="E323" s="41"/>
      <c r="F323" s="41"/>
      <c r="G323" s="9">
        <v>1</v>
      </c>
      <c r="H323" s="9">
        <v>3</v>
      </c>
      <c r="I323" s="9">
        <v>10</v>
      </c>
      <c r="J323" s="9">
        <f>D322+36*I323/1000</f>
        <v>5.1400000000000006</v>
      </c>
      <c r="K323" s="7" t="str">
        <f t="shared" si="75"/>
        <v/>
      </c>
      <c r="L323" s="7" t="str">
        <f t="shared" si="92"/>
        <v/>
      </c>
      <c r="M323" s="7">
        <f t="shared" si="78"/>
        <v>15.420000000000002</v>
      </c>
      <c r="N323" s="7" t="str">
        <f t="shared" si="76"/>
        <v/>
      </c>
      <c r="O323" s="7" t="str">
        <f t="shared" si="91"/>
        <v/>
      </c>
      <c r="P323" s="7" t="str">
        <f t="shared" si="93"/>
        <v/>
      </c>
    </row>
    <row r="324" spans="1:19">
      <c r="A324" s="46" t="s">
        <v>75</v>
      </c>
      <c r="B324" s="23"/>
      <c r="D324" s="41"/>
      <c r="E324" s="41"/>
      <c r="F324" s="41"/>
      <c r="G324" s="9">
        <v>1</v>
      </c>
      <c r="H324" s="9">
        <v>3</v>
      </c>
      <c r="I324" s="9">
        <v>10</v>
      </c>
      <c r="J324" s="9">
        <f>D322+36*I324/1000</f>
        <v>5.1400000000000006</v>
      </c>
      <c r="K324" s="7" t="str">
        <f t="shared" si="75"/>
        <v/>
      </c>
      <c r="L324" s="7" t="str">
        <f t="shared" si="92"/>
        <v/>
      </c>
      <c r="M324" s="7">
        <f t="shared" si="78"/>
        <v>15.420000000000002</v>
      </c>
      <c r="N324" s="7" t="str">
        <f t="shared" si="76"/>
        <v/>
      </c>
      <c r="O324" s="7" t="str">
        <f t="shared" si="91"/>
        <v/>
      </c>
      <c r="P324" s="7" t="str">
        <f t="shared" si="93"/>
        <v/>
      </c>
    </row>
    <row r="325" spans="1:19">
      <c r="A325" s="46" t="s">
        <v>76</v>
      </c>
      <c r="B325" s="23"/>
      <c r="D325" s="41"/>
      <c r="E325" s="41"/>
      <c r="F325" s="41"/>
      <c r="G325" s="9">
        <v>1</v>
      </c>
      <c r="H325" s="9">
        <f>ROUNDUP((D322/0.2)+10,0)</f>
        <v>34</v>
      </c>
      <c r="I325" s="9">
        <v>6</v>
      </c>
      <c r="J325" s="9">
        <f>2*(E322-0.025+F322-0.025)+20.5*I325/1000</f>
        <v>1.2229999999999999</v>
      </c>
      <c r="K325" s="7">
        <f t="shared" si="75"/>
        <v>41.581999999999994</v>
      </c>
      <c r="L325" s="7" t="str">
        <f t="shared" si="92"/>
        <v/>
      </c>
      <c r="M325" s="7" t="str">
        <f t="shared" si="78"/>
        <v/>
      </c>
      <c r="N325" s="7" t="str">
        <f t="shared" si="76"/>
        <v/>
      </c>
      <c r="O325" s="7" t="str">
        <f t="shared" si="91"/>
        <v/>
      </c>
      <c r="P325" s="7" t="str">
        <f t="shared" si="93"/>
        <v/>
      </c>
    </row>
    <row r="326" spans="1:19">
      <c r="A326" s="46" t="s">
        <v>77</v>
      </c>
      <c r="B326" s="23"/>
      <c r="D326" s="41"/>
      <c r="E326" s="41"/>
      <c r="F326" s="41"/>
      <c r="G326" s="9">
        <v>1</v>
      </c>
      <c r="H326" s="9">
        <f>ROUNDUP((D322/0.2)+10,0)</f>
        <v>34</v>
      </c>
      <c r="I326" s="9">
        <v>6</v>
      </c>
      <c r="J326" s="9">
        <f>(F322-0.025)+22*I326/1000</f>
        <v>0.30700000000000005</v>
      </c>
      <c r="K326" s="7">
        <f t="shared" si="75"/>
        <v>10.438000000000002</v>
      </c>
      <c r="L326" s="7" t="str">
        <f t="shared" si="92"/>
        <v/>
      </c>
      <c r="M326" s="7" t="str">
        <f t="shared" si="78"/>
        <v/>
      </c>
      <c r="N326" s="7" t="str">
        <f t="shared" si="76"/>
        <v/>
      </c>
      <c r="O326" s="7" t="str">
        <f t="shared" si="91"/>
        <v/>
      </c>
      <c r="P326" s="7" t="str">
        <f t="shared" si="93"/>
        <v/>
      </c>
    </row>
    <row r="327" spans="1:19">
      <c r="A327" s="40" t="s">
        <v>11</v>
      </c>
      <c r="B327" s="23" t="s">
        <v>110</v>
      </c>
      <c r="C327" t="s">
        <v>84</v>
      </c>
      <c r="D327" s="41">
        <v>2.65</v>
      </c>
      <c r="E327" s="55">
        <v>0.4</v>
      </c>
      <c r="F327" s="41">
        <v>0.2</v>
      </c>
      <c r="K327" s="7" t="str">
        <f t="shared" si="75"/>
        <v/>
      </c>
      <c r="L327" s="7" t="str">
        <f t="shared" si="92"/>
        <v/>
      </c>
      <c r="M327" s="7" t="str">
        <f t="shared" si="78"/>
        <v/>
      </c>
      <c r="N327" s="7" t="str">
        <f t="shared" si="76"/>
        <v/>
      </c>
      <c r="O327" s="7" t="str">
        <f t="shared" si="91"/>
        <v/>
      </c>
      <c r="P327" s="7" t="str">
        <f t="shared" si="93"/>
        <v/>
      </c>
      <c r="S327" s="7" t="str">
        <f t="shared" si="79"/>
        <v/>
      </c>
    </row>
    <row r="328" spans="1:19">
      <c r="A328" s="46" t="s">
        <v>74</v>
      </c>
      <c r="B328" s="23"/>
      <c r="D328" s="41"/>
      <c r="E328" s="41"/>
      <c r="F328" s="41"/>
      <c r="G328" s="9">
        <v>1</v>
      </c>
      <c r="H328" s="9">
        <v>3</v>
      </c>
      <c r="I328" s="9">
        <v>10</v>
      </c>
      <c r="J328" s="9">
        <f>D327+36*I328/1000</f>
        <v>3.01</v>
      </c>
      <c r="K328" s="7" t="str">
        <f t="shared" si="75"/>
        <v/>
      </c>
      <c r="L328" s="7" t="str">
        <f t="shared" si="92"/>
        <v/>
      </c>
      <c r="M328" s="7">
        <f t="shared" si="78"/>
        <v>9.0299999999999994</v>
      </c>
      <c r="N328" s="7" t="str">
        <f t="shared" si="76"/>
        <v/>
      </c>
      <c r="O328" s="7" t="str">
        <f t="shared" si="91"/>
        <v/>
      </c>
      <c r="P328" s="7" t="str">
        <f t="shared" si="93"/>
        <v/>
      </c>
    </row>
    <row r="329" spans="1:19">
      <c r="A329" s="46" t="s">
        <v>75</v>
      </c>
      <c r="B329" s="23"/>
      <c r="D329" s="41"/>
      <c r="E329" s="41"/>
      <c r="F329" s="41"/>
      <c r="G329" s="9">
        <v>1</v>
      </c>
      <c r="H329" s="9">
        <v>3</v>
      </c>
      <c r="I329" s="9">
        <v>10</v>
      </c>
      <c r="J329" s="9">
        <f>D327+36*I329/1000</f>
        <v>3.01</v>
      </c>
      <c r="K329" s="7" t="str">
        <f t="shared" si="75"/>
        <v/>
      </c>
      <c r="L329" s="7" t="str">
        <f t="shared" si="92"/>
        <v/>
      </c>
      <c r="M329" s="7">
        <f t="shared" si="78"/>
        <v>9.0299999999999994</v>
      </c>
      <c r="N329" s="7" t="str">
        <f t="shared" si="76"/>
        <v/>
      </c>
      <c r="O329" s="7" t="str">
        <f t="shared" si="91"/>
        <v/>
      </c>
      <c r="P329" s="7" t="str">
        <f t="shared" si="93"/>
        <v/>
      </c>
    </row>
    <row r="330" spans="1:19">
      <c r="A330" s="46" t="s">
        <v>76</v>
      </c>
      <c r="B330" s="23"/>
      <c r="D330" s="41"/>
      <c r="E330" s="41"/>
      <c r="F330" s="41"/>
      <c r="G330" s="9">
        <v>1</v>
      </c>
      <c r="H330" s="9">
        <f>ROUNDUP((D327/0.2)+10,0)</f>
        <v>24</v>
      </c>
      <c r="I330" s="9">
        <v>6</v>
      </c>
      <c r="J330" s="9">
        <f>2*(E327-0.025+F327-0.025)+20.5*I330/1000</f>
        <v>1.2229999999999999</v>
      </c>
      <c r="K330" s="7">
        <f t="shared" si="75"/>
        <v>29.351999999999997</v>
      </c>
      <c r="L330" s="7" t="str">
        <f t="shared" si="92"/>
        <v/>
      </c>
      <c r="M330" s="7" t="str">
        <f t="shared" si="78"/>
        <v/>
      </c>
      <c r="N330" s="7" t="str">
        <f t="shared" si="76"/>
        <v/>
      </c>
      <c r="O330" s="7" t="str">
        <f t="shared" si="91"/>
        <v/>
      </c>
      <c r="P330" s="7" t="str">
        <f t="shared" si="93"/>
        <v/>
      </c>
    </row>
    <row r="331" spans="1:19">
      <c r="A331" s="46" t="s">
        <v>77</v>
      </c>
      <c r="B331" s="23"/>
      <c r="D331" s="41"/>
      <c r="E331" s="41"/>
      <c r="F331" s="41"/>
      <c r="G331" s="9">
        <v>1</v>
      </c>
      <c r="H331" s="9">
        <f>ROUNDUP((D327/0.2)+10,0)</f>
        <v>24</v>
      </c>
      <c r="I331" s="9">
        <v>6</v>
      </c>
      <c r="J331" s="9">
        <f>(F327-0.025)+22*I331/1000</f>
        <v>0.30700000000000005</v>
      </c>
      <c r="K331" s="7">
        <f t="shared" si="75"/>
        <v>7.3680000000000012</v>
      </c>
      <c r="L331" s="7" t="str">
        <f t="shared" si="92"/>
        <v/>
      </c>
      <c r="M331" s="7" t="str">
        <f t="shared" si="78"/>
        <v/>
      </c>
      <c r="N331" s="7" t="str">
        <f t="shared" si="76"/>
        <v/>
      </c>
      <c r="O331" s="7" t="str">
        <f t="shared" si="91"/>
        <v/>
      </c>
      <c r="P331" s="7" t="str">
        <f t="shared" si="93"/>
        <v/>
      </c>
    </row>
    <row r="332" spans="1:19">
      <c r="A332" s="40" t="s">
        <v>11</v>
      </c>
      <c r="B332" s="23" t="s">
        <v>111</v>
      </c>
      <c r="C332" t="s">
        <v>84</v>
      </c>
      <c r="D332" s="41">
        <v>4.5999999999999996</v>
      </c>
      <c r="E332" s="55">
        <v>0.4</v>
      </c>
      <c r="F332" s="41">
        <v>0.2</v>
      </c>
      <c r="K332" s="7" t="str">
        <f t="shared" si="75"/>
        <v/>
      </c>
      <c r="L332" s="7" t="str">
        <f t="shared" si="92"/>
        <v/>
      </c>
      <c r="M332" s="7" t="str">
        <f t="shared" si="78"/>
        <v/>
      </c>
      <c r="N332" s="7" t="str">
        <f t="shared" si="76"/>
        <v/>
      </c>
      <c r="O332" s="7" t="str">
        <f t="shared" si="91"/>
        <v/>
      </c>
      <c r="P332" s="7" t="str">
        <f t="shared" si="93"/>
        <v/>
      </c>
      <c r="S332" s="7" t="str">
        <f t="shared" si="79"/>
        <v/>
      </c>
    </row>
    <row r="333" spans="1:19">
      <c r="A333" s="46" t="s">
        <v>74</v>
      </c>
      <c r="B333" s="23"/>
      <c r="D333" s="41"/>
      <c r="E333" s="41"/>
      <c r="F333" s="41"/>
      <c r="G333" s="9">
        <v>1</v>
      </c>
      <c r="H333" s="9">
        <v>3</v>
      </c>
      <c r="I333" s="9">
        <v>10</v>
      </c>
      <c r="J333" s="9">
        <f>D332+36*I333/1000</f>
        <v>4.96</v>
      </c>
      <c r="K333" s="7" t="str">
        <f t="shared" si="75"/>
        <v/>
      </c>
      <c r="L333" s="7" t="str">
        <f t="shared" si="92"/>
        <v/>
      </c>
      <c r="M333" s="7">
        <f t="shared" si="78"/>
        <v>14.879999999999999</v>
      </c>
      <c r="N333" s="7" t="str">
        <f t="shared" si="76"/>
        <v/>
      </c>
      <c r="O333" s="7" t="str">
        <f t="shared" si="91"/>
        <v/>
      </c>
      <c r="P333" s="7" t="str">
        <f t="shared" si="93"/>
        <v/>
      </c>
    </row>
    <row r="334" spans="1:19">
      <c r="A334" s="46" t="s">
        <v>75</v>
      </c>
      <c r="B334" s="23"/>
      <c r="D334" s="41"/>
      <c r="E334" s="41"/>
      <c r="F334" s="41"/>
      <c r="G334" s="9">
        <v>1</v>
      </c>
      <c r="H334" s="9">
        <v>3</v>
      </c>
      <c r="I334" s="9">
        <v>10</v>
      </c>
      <c r="J334" s="9">
        <f>D332+36*I334/1000</f>
        <v>4.96</v>
      </c>
      <c r="K334" s="7" t="str">
        <f t="shared" si="75"/>
        <v/>
      </c>
      <c r="L334" s="7" t="str">
        <f t="shared" si="92"/>
        <v/>
      </c>
      <c r="M334" s="7">
        <f t="shared" si="78"/>
        <v>14.879999999999999</v>
      </c>
      <c r="N334" s="7" t="str">
        <f t="shared" si="76"/>
        <v/>
      </c>
      <c r="O334" s="7" t="str">
        <f t="shared" si="91"/>
        <v/>
      </c>
      <c r="P334" s="7" t="str">
        <f t="shared" si="93"/>
        <v/>
      </c>
    </row>
    <row r="335" spans="1:19">
      <c r="A335" s="46" t="s">
        <v>76</v>
      </c>
      <c r="B335" s="23"/>
      <c r="D335" s="41"/>
      <c r="E335" s="41"/>
      <c r="F335" s="41"/>
      <c r="G335" s="9">
        <v>1</v>
      </c>
      <c r="H335" s="9">
        <f>ROUNDUP((D332/0.2)+10,0)</f>
        <v>33</v>
      </c>
      <c r="I335" s="9">
        <v>6</v>
      </c>
      <c r="J335" s="9">
        <f>2*(E332-0.025+F332-0.025)+20.5*I335/1000</f>
        <v>1.2229999999999999</v>
      </c>
      <c r="K335" s="7">
        <f t="shared" si="75"/>
        <v>40.358999999999995</v>
      </c>
      <c r="L335" s="7" t="str">
        <f t="shared" si="92"/>
        <v/>
      </c>
      <c r="M335" s="7" t="str">
        <f t="shared" si="78"/>
        <v/>
      </c>
      <c r="N335" s="7" t="str">
        <f t="shared" si="76"/>
        <v/>
      </c>
      <c r="O335" s="7" t="str">
        <f t="shared" si="91"/>
        <v/>
      </c>
      <c r="P335" s="7" t="str">
        <f t="shared" si="93"/>
        <v/>
      </c>
    </row>
    <row r="336" spans="1:19">
      <c r="A336" s="46" t="s">
        <v>77</v>
      </c>
      <c r="B336" s="23"/>
      <c r="D336" s="41"/>
      <c r="E336" s="41"/>
      <c r="F336" s="41"/>
      <c r="G336" s="9">
        <v>1</v>
      </c>
      <c r="H336" s="9">
        <f>ROUNDUP((D332/0.2)+10,0)</f>
        <v>33</v>
      </c>
      <c r="I336" s="9">
        <v>6</v>
      </c>
      <c r="J336" s="9">
        <f>(F332-0.025)+22*I336/1000</f>
        <v>0.30700000000000005</v>
      </c>
      <c r="K336" s="7">
        <f t="shared" si="75"/>
        <v>10.131000000000002</v>
      </c>
      <c r="L336" s="7" t="str">
        <f t="shared" si="92"/>
        <v/>
      </c>
      <c r="M336" s="7" t="str">
        <f t="shared" si="78"/>
        <v/>
      </c>
      <c r="N336" s="7" t="str">
        <f t="shared" si="76"/>
        <v/>
      </c>
      <c r="O336" s="7" t="str">
        <f t="shared" si="91"/>
        <v/>
      </c>
      <c r="P336" s="7" t="str">
        <f t="shared" si="93"/>
        <v/>
      </c>
    </row>
    <row r="337" spans="1:19">
      <c r="A337" s="40" t="s">
        <v>25</v>
      </c>
      <c r="B337" s="23" t="s">
        <v>80</v>
      </c>
      <c r="C337" t="s">
        <v>84</v>
      </c>
      <c r="D337" s="41">
        <f>3.82+0.4+0.82</f>
        <v>5.04</v>
      </c>
      <c r="E337" s="55">
        <v>0.4</v>
      </c>
      <c r="F337" s="41">
        <v>0.2</v>
      </c>
      <c r="K337" s="7" t="str">
        <f t="shared" si="75"/>
        <v/>
      </c>
      <c r="L337" s="7" t="str">
        <f t="shared" si="92"/>
        <v/>
      </c>
      <c r="M337" s="7" t="str">
        <f t="shared" si="78"/>
        <v/>
      </c>
      <c r="N337" s="7" t="str">
        <f t="shared" si="76"/>
        <v/>
      </c>
      <c r="O337" s="7" t="str">
        <f t="shared" si="91"/>
        <v/>
      </c>
      <c r="P337" s="7" t="str">
        <f t="shared" si="93"/>
        <v/>
      </c>
      <c r="S337" s="7" t="str">
        <f t="shared" si="79"/>
        <v/>
      </c>
    </row>
    <row r="338" spans="1:19">
      <c r="A338" s="46" t="s">
        <v>74</v>
      </c>
      <c r="B338" s="23"/>
      <c r="D338" s="41"/>
      <c r="E338" s="41"/>
      <c r="F338" s="41"/>
      <c r="G338" s="9">
        <v>1</v>
      </c>
      <c r="H338" s="9">
        <v>3</v>
      </c>
      <c r="I338" s="9">
        <v>10</v>
      </c>
      <c r="J338" s="9">
        <f>D337+36*I338/1000</f>
        <v>5.4</v>
      </c>
      <c r="K338" s="7" t="str">
        <f t="shared" si="75"/>
        <v/>
      </c>
      <c r="L338" s="7" t="str">
        <f t="shared" si="92"/>
        <v/>
      </c>
      <c r="M338" s="7">
        <f t="shared" si="78"/>
        <v>16.200000000000003</v>
      </c>
      <c r="N338" s="7" t="str">
        <f t="shared" si="76"/>
        <v/>
      </c>
      <c r="O338" s="7" t="str">
        <f t="shared" si="91"/>
        <v/>
      </c>
      <c r="P338" s="7" t="str">
        <f t="shared" si="93"/>
        <v/>
      </c>
    </row>
    <row r="339" spans="1:19">
      <c r="A339" s="46" t="s">
        <v>75</v>
      </c>
      <c r="B339" s="23"/>
      <c r="D339" s="41"/>
      <c r="E339" s="41"/>
      <c r="F339" s="41"/>
      <c r="G339" s="9">
        <v>1</v>
      </c>
      <c r="H339" s="9">
        <v>3</v>
      </c>
      <c r="I339" s="9">
        <v>10</v>
      </c>
      <c r="J339" s="9">
        <f>D337+36*I339/1000</f>
        <v>5.4</v>
      </c>
      <c r="K339" s="7" t="str">
        <f t="shared" si="75"/>
        <v/>
      </c>
      <c r="L339" s="7" t="str">
        <f t="shared" si="92"/>
        <v/>
      </c>
      <c r="M339" s="7">
        <f t="shared" si="78"/>
        <v>16.200000000000003</v>
      </c>
      <c r="N339" s="7" t="str">
        <f t="shared" si="76"/>
        <v/>
      </c>
      <c r="O339" s="7" t="str">
        <f t="shared" si="91"/>
        <v/>
      </c>
      <c r="P339" s="7" t="str">
        <f t="shared" si="93"/>
        <v/>
      </c>
    </row>
    <row r="340" spans="1:19">
      <c r="A340" s="46" t="s">
        <v>76</v>
      </c>
      <c r="B340" s="23"/>
      <c r="D340" s="41"/>
      <c r="E340" s="41"/>
      <c r="F340" s="41"/>
      <c r="G340" s="9">
        <v>1</v>
      </c>
      <c r="H340" s="9">
        <f>ROUNDUP((D337/0.2)+10,0)</f>
        <v>36</v>
      </c>
      <c r="I340" s="9">
        <v>6</v>
      </c>
      <c r="J340" s="9">
        <f>2*(E337-0.025+F337-0.025)+20.5*I340/1000</f>
        <v>1.2229999999999999</v>
      </c>
      <c r="K340" s="7">
        <f t="shared" si="75"/>
        <v>44.027999999999992</v>
      </c>
      <c r="L340" s="7" t="str">
        <f t="shared" si="92"/>
        <v/>
      </c>
      <c r="M340" s="7" t="str">
        <f t="shared" si="78"/>
        <v/>
      </c>
      <c r="N340" s="7" t="str">
        <f t="shared" si="76"/>
        <v/>
      </c>
      <c r="O340" s="7" t="str">
        <f t="shared" si="91"/>
        <v/>
      </c>
      <c r="P340" s="7" t="str">
        <f t="shared" si="93"/>
        <v/>
      </c>
    </row>
    <row r="341" spans="1:19">
      <c r="A341" s="46" t="s">
        <v>77</v>
      </c>
      <c r="B341" s="23"/>
      <c r="D341" s="41"/>
      <c r="E341" s="41"/>
      <c r="F341" s="41"/>
      <c r="G341" s="9">
        <v>1</v>
      </c>
      <c r="H341" s="9">
        <f>ROUNDUP((D337/0.2)+10,0)</f>
        <v>36</v>
      </c>
      <c r="I341" s="9">
        <v>6</v>
      </c>
      <c r="J341" s="9">
        <f>(F337-0.025)+22*I341/1000</f>
        <v>0.30700000000000005</v>
      </c>
      <c r="K341" s="7">
        <f t="shared" si="75"/>
        <v>11.052000000000001</v>
      </c>
      <c r="L341" s="7" t="str">
        <f t="shared" si="92"/>
        <v/>
      </c>
      <c r="M341" s="7" t="str">
        <f t="shared" si="78"/>
        <v/>
      </c>
      <c r="N341" s="7" t="str">
        <f t="shared" si="76"/>
        <v/>
      </c>
      <c r="O341" s="7" t="str">
        <f t="shared" si="91"/>
        <v/>
      </c>
      <c r="P341" s="7" t="str">
        <f t="shared" si="93"/>
        <v/>
      </c>
    </row>
    <row r="342" spans="1:19">
      <c r="A342" s="23" t="s">
        <v>114</v>
      </c>
      <c r="B342" s="23" t="s">
        <v>80</v>
      </c>
      <c r="C342" t="s">
        <v>84</v>
      </c>
      <c r="D342" s="12">
        <f>1.08+0.15+3.82</f>
        <v>5.05</v>
      </c>
      <c r="E342" s="55">
        <v>0.4</v>
      </c>
      <c r="F342" s="41">
        <v>0.2</v>
      </c>
      <c r="K342" s="7" t="str">
        <f t="shared" si="75"/>
        <v/>
      </c>
      <c r="L342" s="7" t="str">
        <f t="shared" si="92"/>
        <v/>
      </c>
      <c r="M342" s="7" t="str">
        <f t="shared" si="78"/>
        <v/>
      </c>
      <c r="N342" s="7" t="str">
        <f t="shared" si="76"/>
        <v/>
      </c>
      <c r="O342" s="7" t="str">
        <f t="shared" si="91"/>
        <v/>
      </c>
      <c r="P342" s="7" t="str">
        <f t="shared" si="93"/>
        <v/>
      </c>
      <c r="S342" s="7" t="str">
        <f t="shared" si="79"/>
        <v/>
      </c>
    </row>
    <row r="343" spans="1:19">
      <c r="A343" s="46" t="s">
        <v>74</v>
      </c>
      <c r="B343" s="23"/>
      <c r="D343" s="41"/>
      <c r="E343" s="41"/>
      <c r="F343" s="41"/>
      <c r="G343" s="9">
        <v>1</v>
      </c>
      <c r="H343" s="9">
        <v>3</v>
      </c>
      <c r="I343" s="9">
        <v>10</v>
      </c>
      <c r="J343" s="9">
        <f>D342+36*I343/1000</f>
        <v>5.41</v>
      </c>
      <c r="K343" s="7" t="str">
        <f t="shared" si="75"/>
        <v/>
      </c>
      <c r="L343" s="7" t="str">
        <f t="shared" si="92"/>
        <v/>
      </c>
      <c r="M343" s="7">
        <f t="shared" si="78"/>
        <v>16.23</v>
      </c>
      <c r="N343" s="7" t="str">
        <f t="shared" si="76"/>
        <v/>
      </c>
      <c r="O343" s="7" t="str">
        <f t="shared" si="91"/>
        <v/>
      </c>
      <c r="P343" s="7" t="str">
        <f t="shared" si="93"/>
        <v/>
      </c>
    </row>
    <row r="344" spans="1:19">
      <c r="A344" s="46" t="s">
        <v>75</v>
      </c>
      <c r="B344" s="23"/>
      <c r="D344" s="41"/>
      <c r="E344" s="41"/>
      <c r="F344" s="41"/>
      <c r="G344" s="9">
        <v>1</v>
      </c>
      <c r="H344" s="9">
        <v>3</v>
      </c>
      <c r="I344" s="9">
        <v>10</v>
      </c>
      <c r="J344" s="9">
        <f>D342+36*I344/1000</f>
        <v>5.41</v>
      </c>
      <c r="K344" s="7" t="str">
        <f t="shared" si="75"/>
        <v/>
      </c>
      <c r="L344" s="7" t="str">
        <f t="shared" si="92"/>
        <v/>
      </c>
      <c r="M344" s="7">
        <f t="shared" si="78"/>
        <v>16.23</v>
      </c>
      <c r="N344" s="7" t="str">
        <f t="shared" si="76"/>
        <v/>
      </c>
      <c r="O344" s="7" t="str">
        <f t="shared" si="91"/>
        <v/>
      </c>
      <c r="P344" s="7" t="str">
        <f t="shared" si="93"/>
        <v/>
      </c>
    </row>
    <row r="345" spans="1:19">
      <c r="A345" s="46" t="s">
        <v>76</v>
      </c>
      <c r="B345" s="23"/>
      <c r="D345" s="41"/>
      <c r="E345" s="41"/>
      <c r="F345" s="41"/>
      <c r="G345" s="9">
        <v>1</v>
      </c>
      <c r="H345" s="9">
        <f>ROUNDUP((D342/0.2)+10,0)</f>
        <v>36</v>
      </c>
      <c r="I345" s="9">
        <v>6</v>
      </c>
      <c r="J345" s="9">
        <f>2*(E342-0.025+F342-0.025)+20.5*I345/1000</f>
        <v>1.2229999999999999</v>
      </c>
      <c r="K345" s="7">
        <f t="shared" si="75"/>
        <v>44.027999999999992</v>
      </c>
      <c r="L345" s="7" t="str">
        <f t="shared" si="92"/>
        <v/>
      </c>
      <c r="M345" s="7" t="str">
        <f t="shared" si="78"/>
        <v/>
      </c>
      <c r="N345" s="7" t="str">
        <f t="shared" si="76"/>
        <v/>
      </c>
      <c r="O345" s="7" t="str">
        <f t="shared" si="91"/>
        <v/>
      </c>
      <c r="P345" s="7" t="str">
        <f t="shared" si="93"/>
        <v/>
      </c>
    </row>
    <row r="346" spans="1:19">
      <c r="A346" s="46" t="s">
        <v>77</v>
      </c>
      <c r="B346" s="23"/>
      <c r="D346" s="41"/>
      <c r="E346" s="41"/>
      <c r="F346" s="41"/>
      <c r="G346" s="9">
        <v>1</v>
      </c>
      <c r="H346" s="9">
        <f>ROUNDUP((D342/0.2)+10,0)</f>
        <v>36</v>
      </c>
      <c r="I346" s="9">
        <v>6</v>
      </c>
      <c r="J346" s="9">
        <f>(F342-0.025)+22*I346/1000</f>
        <v>0.30700000000000005</v>
      </c>
      <c r="K346" s="7">
        <f t="shared" si="75"/>
        <v>11.052000000000001</v>
      </c>
      <c r="L346" s="7" t="str">
        <f t="shared" si="92"/>
        <v/>
      </c>
      <c r="M346" s="7" t="str">
        <f t="shared" si="78"/>
        <v/>
      </c>
      <c r="N346" s="7" t="str">
        <f t="shared" si="76"/>
        <v/>
      </c>
      <c r="O346" s="7" t="str">
        <f t="shared" si="91"/>
        <v/>
      </c>
      <c r="P346" s="7" t="str">
        <f t="shared" si="93"/>
        <v/>
      </c>
    </row>
    <row r="347" spans="1:19">
      <c r="A347" s="23" t="s">
        <v>85</v>
      </c>
      <c r="B347" s="23" t="s">
        <v>118</v>
      </c>
      <c r="C347" t="s">
        <v>84</v>
      </c>
      <c r="D347" s="12">
        <f>3.82+0.4</f>
        <v>4.22</v>
      </c>
      <c r="E347" s="55">
        <v>0.4</v>
      </c>
      <c r="F347" s="41">
        <v>0.2</v>
      </c>
      <c r="K347" s="7" t="str">
        <f t="shared" si="75"/>
        <v/>
      </c>
      <c r="L347" s="7" t="str">
        <f t="shared" si="92"/>
        <v/>
      </c>
      <c r="M347" s="7" t="str">
        <f t="shared" si="78"/>
        <v/>
      </c>
      <c r="N347" s="7" t="str">
        <f t="shared" si="76"/>
        <v/>
      </c>
      <c r="O347" s="7" t="str">
        <f t="shared" si="91"/>
        <v/>
      </c>
      <c r="P347" s="7" t="str">
        <f t="shared" si="93"/>
        <v/>
      </c>
      <c r="S347" s="7" t="str">
        <f t="shared" si="79"/>
        <v/>
      </c>
    </row>
    <row r="348" spans="1:19">
      <c r="A348" s="46" t="s">
        <v>74</v>
      </c>
      <c r="B348" s="23"/>
      <c r="D348" s="41"/>
      <c r="E348" s="41"/>
      <c r="F348" s="41"/>
      <c r="G348" s="9">
        <v>1</v>
      </c>
      <c r="H348" s="9">
        <v>3</v>
      </c>
      <c r="I348" s="9">
        <v>10</v>
      </c>
      <c r="J348" s="9">
        <f>D347+36*I348/1000</f>
        <v>4.58</v>
      </c>
      <c r="K348" s="7" t="str">
        <f t="shared" si="75"/>
        <v/>
      </c>
      <c r="L348" s="7" t="str">
        <f t="shared" si="92"/>
        <v/>
      </c>
      <c r="M348" s="7">
        <f t="shared" si="78"/>
        <v>13.74</v>
      </c>
      <c r="N348" s="7" t="str">
        <f t="shared" si="76"/>
        <v/>
      </c>
      <c r="O348" s="7" t="str">
        <f t="shared" si="91"/>
        <v/>
      </c>
      <c r="P348" s="7" t="str">
        <f t="shared" si="93"/>
        <v/>
      </c>
    </row>
    <row r="349" spans="1:19">
      <c r="A349" s="46" t="s">
        <v>75</v>
      </c>
      <c r="B349" s="23"/>
      <c r="D349" s="41"/>
      <c r="E349" s="41"/>
      <c r="F349" s="41"/>
      <c r="G349" s="9">
        <v>1</v>
      </c>
      <c r="H349" s="9">
        <v>3</v>
      </c>
      <c r="I349" s="9">
        <v>10</v>
      </c>
      <c r="J349" s="9">
        <f>D347+36*I349/1000</f>
        <v>4.58</v>
      </c>
      <c r="K349" s="7" t="str">
        <f t="shared" si="75"/>
        <v/>
      </c>
      <c r="L349" s="7" t="str">
        <f t="shared" si="92"/>
        <v/>
      </c>
      <c r="M349" s="7">
        <f t="shared" si="78"/>
        <v>13.74</v>
      </c>
      <c r="N349" s="7" t="str">
        <f t="shared" si="76"/>
        <v/>
      </c>
      <c r="O349" s="7" t="str">
        <f t="shared" si="91"/>
        <v/>
      </c>
      <c r="P349" s="7" t="str">
        <f t="shared" si="93"/>
        <v/>
      </c>
    </row>
    <row r="350" spans="1:19">
      <c r="A350" s="46" t="s">
        <v>76</v>
      </c>
      <c r="B350" s="23"/>
      <c r="D350" s="41"/>
      <c r="E350" s="41"/>
      <c r="F350" s="41"/>
      <c r="G350" s="9">
        <v>1</v>
      </c>
      <c r="H350" s="9">
        <f>ROUNDUP((D347/0.2)+10,0)</f>
        <v>32</v>
      </c>
      <c r="I350" s="9">
        <v>6</v>
      </c>
      <c r="J350" s="9">
        <f>2*(E347-0.025+F347-0.025)+20.5*I350/1000</f>
        <v>1.2229999999999999</v>
      </c>
      <c r="K350" s="7">
        <f t="shared" si="75"/>
        <v>39.135999999999996</v>
      </c>
      <c r="L350" s="7" t="str">
        <f t="shared" si="92"/>
        <v/>
      </c>
      <c r="M350" s="7" t="str">
        <f t="shared" si="78"/>
        <v/>
      </c>
      <c r="N350" s="7" t="str">
        <f t="shared" si="76"/>
        <v/>
      </c>
      <c r="O350" s="7" t="str">
        <f t="shared" si="91"/>
        <v/>
      </c>
      <c r="P350" s="7" t="str">
        <f t="shared" si="93"/>
        <v/>
      </c>
    </row>
    <row r="351" spans="1:19">
      <c r="A351" s="46" t="s">
        <v>77</v>
      </c>
      <c r="B351" s="23"/>
      <c r="D351" s="41"/>
      <c r="E351" s="41"/>
      <c r="F351" s="41"/>
      <c r="G351" s="9">
        <v>1</v>
      </c>
      <c r="H351" s="9">
        <f>ROUNDUP((D347/0.2)+10,0)</f>
        <v>32</v>
      </c>
      <c r="I351" s="9">
        <v>6</v>
      </c>
      <c r="J351" s="9">
        <f>(F347-0.025)+22*I351/1000</f>
        <v>0.30700000000000005</v>
      </c>
      <c r="K351" s="7">
        <f t="shared" si="75"/>
        <v>9.8240000000000016</v>
      </c>
      <c r="L351" s="7" t="str">
        <f t="shared" si="92"/>
        <v/>
      </c>
      <c r="M351" s="7" t="str">
        <f t="shared" si="78"/>
        <v/>
      </c>
      <c r="N351" s="7" t="str">
        <f t="shared" si="76"/>
        <v/>
      </c>
      <c r="O351" s="7" t="str">
        <f t="shared" si="91"/>
        <v/>
      </c>
      <c r="P351" s="7" t="str">
        <f t="shared" si="93"/>
        <v/>
      </c>
    </row>
    <row r="352" spans="1:19">
      <c r="A352" s="40" t="s">
        <v>119</v>
      </c>
      <c r="B352" s="23" t="s">
        <v>118</v>
      </c>
      <c r="C352" t="s">
        <v>84</v>
      </c>
      <c r="D352" s="12">
        <f>0.82+1.08</f>
        <v>1.9</v>
      </c>
      <c r="E352" s="55">
        <v>0.4</v>
      </c>
      <c r="F352" s="41">
        <v>0.2</v>
      </c>
      <c r="K352" s="7" t="str">
        <f t="shared" si="75"/>
        <v/>
      </c>
      <c r="L352" s="7" t="str">
        <f t="shared" si="92"/>
        <v/>
      </c>
      <c r="M352" s="7" t="str">
        <f t="shared" si="78"/>
        <v/>
      </c>
      <c r="N352" s="7" t="str">
        <f t="shared" si="76"/>
        <v/>
      </c>
      <c r="O352" s="7" t="str">
        <f t="shared" si="91"/>
        <v/>
      </c>
      <c r="P352" s="7" t="str">
        <f t="shared" si="93"/>
        <v/>
      </c>
      <c r="S352" s="7" t="str">
        <f t="shared" si="79"/>
        <v/>
      </c>
    </row>
    <row r="353" spans="1:20">
      <c r="A353" s="46" t="s">
        <v>74</v>
      </c>
      <c r="B353" s="23"/>
      <c r="D353" s="41"/>
      <c r="E353" s="41"/>
      <c r="F353" s="41"/>
      <c r="G353" s="9">
        <v>1</v>
      </c>
      <c r="H353" s="9">
        <v>3</v>
      </c>
      <c r="I353" s="9">
        <v>10</v>
      </c>
      <c r="J353" s="9">
        <f>D352+36*I353/1000</f>
        <v>2.2599999999999998</v>
      </c>
      <c r="K353" s="7" t="str">
        <f t="shared" si="75"/>
        <v/>
      </c>
      <c r="L353" s="7" t="str">
        <f t="shared" si="92"/>
        <v/>
      </c>
      <c r="M353" s="7">
        <f t="shared" si="78"/>
        <v>6.7799999999999994</v>
      </c>
      <c r="N353" s="7" t="str">
        <f t="shared" si="76"/>
        <v/>
      </c>
      <c r="O353" s="7" t="str">
        <f t="shared" si="91"/>
        <v/>
      </c>
      <c r="P353" s="7" t="str">
        <f t="shared" si="93"/>
        <v/>
      </c>
    </row>
    <row r="354" spans="1:20">
      <c r="A354" s="46" t="s">
        <v>75</v>
      </c>
      <c r="B354" s="23"/>
      <c r="D354" s="41"/>
      <c r="E354" s="41"/>
      <c r="F354" s="41"/>
      <c r="G354" s="9">
        <v>1</v>
      </c>
      <c r="H354" s="9">
        <v>3</v>
      </c>
      <c r="I354" s="9">
        <v>10</v>
      </c>
      <c r="J354" s="9">
        <f>D352+36*I354/1000</f>
        <v>2.2599999999999998</v>
      </c>
      <c r="K354" s="7" t="str">
        <f t="shared" si="75"/>
        <v/>
      </c>
      <c r="L354" s="7" t="str">
        <f t="shared" si="92"/>
        <v/>
      </c>
      <c r="M354" s="7">
        <f t="shared" si="78"/>
        <v>6.7799999999999994</v>
      </c>
      <c r="N354" s="7" t="str">
        <f t="shared" si="76"/>
        <v/>
      </c>
      <c r="O354" s="7" t="str">
        <f t="shared" si="91"/>
        <v/>
      </c>
      <c r="P354" s="7" t="str">
        <f t="shared" si="93"/>
        <v/>
      </c>
    </row>
    <row r="355" spans="1:20">
      <c r="A355" s="46" t="s">
        <v>76</v>
      </c>
      <c r="B355" s="23"/>
      <c r="D355" s="41"/>
      <c r="E355" s="41"/>
      <c r="F355" s="41"/>
      <c r="G355" s="9">
        <v>1</v>
      </c>
      <c r="H355" s="9">
        <f>ROUNDUP((D352/0.2)+10,0)</f>
        <v>20</v>
      </c>
      <c r="I355" s="9">
        <v>6</v>
      </c>
      <c r="J355" s="9">
        <f>2*(E352-0.025+F352-0.025)+20.5*I355/1000</f>
        <v>1.2229999999999999</v>
      </c>
      <c r="K355" s="7">
        <f t="shared" si="75"/>
        <v>24.459999999999997</v>
      </c>
      <c r="L355" s="7" t="str">
        <f t="shared" si="92"/>
        <v/>
      </c>
      <c r="M355" s="7" t="str">
        <f t="shared" si="78"/>
        <v/>
      </c>
      <c r="N355" s="7" t="str">
        <f t="shared" si="76"/>
        <v/>
      </c>
      <c r="O355" s="7" t="str">
        <f t="shared" si="91"/>
        <v/>
      </c>
      <c r="P355" s="7" t="str">
        <f t="shared" si="93"/>
        <v/>
      </c>
    </row>
    <row r="356" spans="1:20">
      <c r="A356" s="46" t="s">
        <v>77</v>
      </c>
      <c r="B356" s="23"/>
      <c r="D356" s="41"/>
      <c r="E356" s="41"/>
      <c r="F356" s="41"/>
      <c r="G356" s="9">
        <v>1</v>
      </c>
      <c r="H356" s="9">
        <f>ROUNDUP((D352/0.2)+10,0)</f>
        <v>20</v>
      </c>
      <c r="I356" s="9">
        <v>6</v>
      </c>
      <c r="J356" s="9">
        <f>(F352-0.025)+22*I356/1000</f>
        <v>0.30700000000000005</v>
      </c>
      <c r="K356" s="7">
        <f t="shared" si="75"/>
        <v>6.1400000000000006</v>
      </c>
      <c r="L356" s="7" t="str">
        <f t="shared" si="92"/>
        <v/>
      </c>
      <c r="M356" s="7" t="str">
        <f t="shared" si="78"/>
        <v/>
      </c>
      <c r="N356" s="7" t="str">
        <f t="shared" si="76"/>
        <v/>
      </c>
      <c r="O356" s="7" t="str">
        <f t="shared" si="91"/>
        <v/>
      </c>
      <c r="P356" s="7" t="str">
        <f t="shared" si="93"/>
        <v/>
      </c>
    </row>
    <row r="357" spans="1:20">
      <c r="A357" s="53" t="s">
        <v>115</v>
      </c>
      <c r="B357" s="23" t="s">
        <v>118</v>
      </c>
      <c r="C357" t="s">
        <v>84</v>
      </c>
      <c r="D357" s="55">
        <f>0.15+3.82</f>
        <v>3.9699999999999998</v>
      </c>
      <c r="E357" s="55">
        <v>0.4</v>
      </c>
      <c r="F357" s="55">
        <v>0.2</v>
      </c>
      <c r="K357" s="7" t="str">
        <f t="shared" ref="K357:K361" si="94">IF(I357=6,G357*H357*J357,"")</f>
        <v/>
      </c>
      <c r="L357" s="7" t="str">
        <f t="shared" ref="L357:L361" si="95">IF(I357=8,G357*H357*J357,"")</f>
        <v/>
      </c>
      <c r="M357" s="7" t="str">
        <f t="shared" ref="M357:M361" si="96">IF(I357=10,G357*H357*J357,"")</f>
        <v/>
      </c>
      <c r="N357" s="7" t="str">
        <f t="shared" ref="N357:N361" si="97">IF(I357=12,G357*H357*J357,"")</f>
        <v/>
      </c>
      <c r="O357" s="7" t="str">
        <f t="shared" ref="O357:O361" si="98">IF(I357=14,G357*H357*J357,"")</f>
        <v/>
      </c>
      <c r="P357" s="7" t="str">
        <f t="shared" ref="P357:P361" si="99">IF(I357=16,G357*H357*J357,"")</f>
        <v/>
      </c>
      <c r="S357" s="7" t="str">
        <f t="shared" ref="S357" si="100">IF(I357=32,G357*H357*J357,"")</f>
        <v/>
      </c>
    </row>
    <row r="358" spans="1:20">
      <c r="A358" s="46" t="s">
        <v>74</v>
      </c>
      <c r="B358" s="23"/>
      <c r="D358" s="55"/>
      <c r="E358" s="55"/>
      <c r="F358" s="55"/>
      <c r="G358" s="9">
        <v>1</v>
      </c>
      <c r="H358" s="9">
        <v>3</v>
      </c>
      <c r="I358" s="9">
        <v>10</v>
      </c>
      <c r="J358" s="9">
        <f>D357+36*I358/1000</f>
        <v>4.33</v>
      </c>
      <c r="K358" s="7" t="str">
        <f t="shared" si="94"/>
        <v/>
      </c>
      <c r="L358" s="7" t="str">
        <f t="shared" si="95"/>
        <v/>
      </c>
      <c r="M358" s="7">
        <f t="shared" si="96"/>
        <v>12.99</v>
      </c>
      <c r="N358" s="7" t="str">
        <f t="shared" si="97"/>
        <v/>
      </c>
      <c r="O358" s="7" t="str">
        <f t="shared" si="98"/>
        <v/>
      </c>
      <c r="P358" s="7" t="str">
        <f t="shared" si="99"/>
        <v/>
      </c>
    </row>
    <row r="359" spans="1:20">
      <c r="A359" s="46" t="s">
        <v>75</v>
      </c>
      <c r="B359" s="23"/>
      <c r="D359" s="55"/>
      <c r="E359" s="55"/>
      <c r="F359" s="55"/>
      <c r="G359" s="9">
        <v>1</v>
      </c>
      <c r="H359" s="9">
        <v>3</v>
      </c>
      <c r="I359" s="9">
        <v>10</v>
      </c>
      <c r="J359" s="9">
        <f>D357+36*I359/1000</f>
        <v>4.33</v>
      </c>
      <c r="K359" s="7" t="str">
        <f t="shared" si="94"/>
        <v/>
      </c>
      <c r="L359" s="7" t="str">
        <f t="shared" si="95"/>
        <v/>
      </c>
      <c r="M359" s="7">
        <f t="shared" si="96"/>
        <v>12.99</v>
      </c>
      <c r="N359" s="7" t="str">
        <f t="shared" si="97"/>
        <v/>
      </c>
      <c r="O359" s="7" t="str">
        <f t="shared" si="98"/>
        <v/>
      </c>
      <c r="P359" s="7" t="str">
        <f t="shared" si="99"/>
        <v/>
      </c>
    </row>
    <row r="360" spans="1:20">
      <c r="A360" s="46" t="s">
        <v>76</v>
      </c>
      <c r="B360" s="23"/>
      <c r="D360" s="55"/>
      <c r="E360" s="55"/>
      <c r="F360" s="55"/>
      <c r="G360" s="9">
        <v>1</v>
      </c>
      <c r="H360" s="9">
        <f>ROUNDUP((D357/0.2)+10,0)</f>
        <v>30</v>
      </c>
      <c r="I360" s="9">
        <v>6</v>
      </c>
      <c r="J360" s="9">
        <f>2*(E357-0.025+F357-0.025)+20.5*I360/1000</f>
        <v>1.2229999999999999</v>
      </c>
      <c r="K360" s="7">
        <f t="shared" si="94"/>
        <v>36.69</v>
      </c>
      <c r="L360" s="7" t="str">
        <f t="shared" si="95"/>
        <v/>
      </c>
      <c r="M360" s="7" t="str">
        <f t="shared" si="96"/>
        <v/>
      </c>
      <c r="N360" s="7" t="str">
        <f t="shared" si="97"/>
        <v/>
      </c>
      <c r="O360" s="7" t="str">
        <f t="shared" si="98"/>
        <v/>
      </c>
      <c r="P360" s="7" t="str">
        <f t="shared" si="99"/>
        <v/>
      </c>
    </row>
    <row r="361" spans="1:20">
      <c r="A361" s="46" t="s">
        <v>77</v>
      </c>
      <c r="B361" s="23"/>
      <c r="D361" s="55"/>
      <c r="E361" s="55"/>
      <c r="F361" s="55"/>
      <c r="G361" s="9">
        <v>1</v>
      </c>
      <c r="H361" s="9">
        <f>ROUNDUP((D357/0.2)+10,0)</f>
        <v>30</v>
      </c>
      <c r="I361" s="9">
        <v>6</v>
      </c>
      <c r="J361" s="9">
        <f>(F357-0.025)+22*I361/1000</f>
        <v>0.30700000000000005</v>
      </c>
      <c r="K361" s="7">
        <f t="shared" si="94"/>
        <v>9.2100000000000009</v>
      </c>
      <c r="L361" s="7" t="str">
        <f t="shared" si="95"/>
        <v/>
      </c>
      <c r="M361" s="7" t="str">
        <f t="shared" si="96"/>
        <v/>
      </c>
      <c r="N361" s="7" t="str">
        <f t="shared" si="97"/>
        <v/>
      </c>
      <c r="O361" s="7" t="str">
        <f t="shared" si="98"/>
        <v/>
      </c>
      <c r="P361" s="7" t="str">
        <f t="shared" si="99"/>
        <v/>
      </c>
    </row>
    <row r="362" spans="1:20">
      <c r="A362" s="154" t="s">
        <v>55</v>
      </c>
      <c r="B362" s="154"/>
      <c r="C362" s="154"/>
      <c r="D362" s="3"/>
      <c r="E362" s="3"/>
      <c r="F362" s="3"/>
      <c r="K362" s="7" t="str">
        <f t="shared" si="75"/>
        <v/>
      </c>
      <c r="L362" s="7" t="str">
        <f t="shared" si="92"/>
        <v/>
      </c>
      <c r="M362" s="7" t="str">
        <f t="shared" si="78"/>
        <v/>
      </c>
      <c r="N362" s="7" t="str">
        <f t="shared" si="76"/>
        <v/>
      </c>
      <c r="O362" s="7" t="str">
        <f t="shared" si="91"/>
        <v/>
      </c>
      <c r="P362" s="7" t="str">
        <f t="shared" si="93"/>
        <v/>
      </c>
      <c r="S362" s="7" t="str">
        <f t="shared" si="79"/>
        <v/>
      </c>
      <c r="T362" t="s">
        <v>89</v>
      </c>
    </row>
    <row r="363" spans="1:20">
      <c r="B363" s="2" t="s">
        <v>2</v>
      </c>
      <c r="C363" s="2" t="s">
        <v>3</v>
      </c>
      <c r="D363" s="2" t="s">
        <v>12</v>
      </c>
      <c r="E363" s="43"/>
      <c r="F363" s="43"/>
      <c r="G363" s="44"/>
      <c r="H363" s="44"/>
      <c r="I363" s="44"/>
      <c r="J363" s="44"/>
      <c r="K363" s="7" t="str">
        <f t="shared" si="75"/>
        <v/>
      </c>
      <c r="L363" s="7" t="str">
        <f t="shared" si="92"/>
        <v/>
      </c>
      <c r="M363" s="7" t="str">
        <f t="shared" ref="M363:M426" si="101">IF(I363=10,G363*H363*J363,"")</f>
        <v/>
      </c>
      <c r="N363" s="7" t="str">
        <f t="shared" ref="N363:N426" si="102">IF(I363=12,G363*H363*J363,"")</f>
        <v/>
      </c>
      <c r="O363" s="7" t="str">
        <f t="shared" si="91"/>
        <v/>
      </c>
      <c r="T363">
        <v>7</v>
      </c>
    </row>
    <row r="364" spans="1:20">
      <c r="B364" s="53" t="s">
        <v>4</v>
      </c>
      <c r="C364" s="53">
        <v>1</v>
      </c>
      <c r="D364" s="43" t="s">
        <v>43</v>
      </c>
      <c r="E364" s="43">
        <v>0.3</v>
      </c>
      <c r="F364" s="43">
        <v>0.3</v>
      </c>
      <c r="G364" s="44"/>
      <c r="H364" s="44"/>
      <c r="I364" s="44"/>
      <c r="J364" s="44"/>
      <c r="K364" s="7" t="str">
        <f t="shared" ref="K364:K427" si="103">IF(I364=6,G364*H364*J364,"")</f>
        <v/>
      </c>
      <c r="L364" s="7" t="str">
        <f t="shared" si="92"/>
        <v/>
      </c>
      <c r="M364" s="7" t="str">
        <f t="shared" si="101"/>
        <v/>
      </c>
      <c r="N364" s="7" t="str">
        <f t="shared" si="102"/>
        <v/>
      </c>
      <c r="O364" s="7" t="str">
        <f t="shared" si="91"/>
        <v/>
      </c>
    </row>
    <row r="365" spans="1:20">
      <c r="A365" t="s">
        <v>86</v>
      </c>
      <c r="B365" s="53"/>
      <c r="C365" s="53"/>
      <c r="D365" s="43"/>
      <c r="E365" s="43"/>
      <c r="F365" s="43"/>
      <c r="G365" s="44">
        <v>1</v>
      </c>
      <c r="H365" s="44">
        <v>4</v>
      </c>
      <c r="I365" s="44">
        <v>14</v>
      </c>
      <c r="J365" s="44">
        <f>T363</f>
        <v>7</v>
      </c>
      <c r="K365" s="7" t="str">
        <f t="shared" si="103"/>
        <v/>
      </c>
      <c r="L365" s="7" t="str">
        <f t="shared" si="92"/>
        <v/>
      </c>
      <c r="M365" s="7" t="str">
        <f t="shared" si="101"/>
        <v/>
      </c>
      <c r="N365" s="7" t="str">
        <f t="shared" si="102"/>
        <v/>
      </c>
      <c r="O365" s="7">
        <f t="shared" si="91"/>
        <v>28</v>
      </c>
    </row>
    <row r="366" spans="1:20">
      <c r="A366" t="s">
        <v>86</v>
      </c>
      <c r="B366" s="53"/>
      <c r="C366" s="53"/>
      <c r="D366" s="43"/>
      <c r="E366" s="43"/>
      <c r="F366" s="43"/>
      <c r="G366" s="44">
        <v>1</v>
      </c>
      <c r="H366" s="44">
        <v>2</v>
      </c>
      <c r="I366" s="44">
        <v>10</v>
      </c>
      <c r="J366" s="44">
        <f>$T$363</f>
        <v>7</v>
      </c>
      <c r="K366" s="7" t="str">
        <f t="shared" si="103"/>
        <v/>
      </c>
      <c r="L366" s="7" t="str">
        <f t="shared" si="92"/>
        <v/>
      </c>
      <c r="M366" s="7">
        <f t="shared" si="101"/>
        <v>14</v>
      </c>
      <c r="N366" s="7" t="str">
        <f t="shared" si="102"/>
        <v/>
      </c>
      <c r="O366" s="7" t="str">
        <f t="shared" si="91"/>
        <v/>
      </c>
    </row>
    <row r="367" spans="1:20">
      <c r="A367" t="s">
        <v>76</v>
      </c>
      <c r="B367" s="53"/>
      <c r="C367" s="53"/>
      <c r="D367" s="43"/>
      <c r="E367" s="43"/>
      <c r="F367" s="43"/>
      <c r="G367" s="44">
        <v>1</v>
      </c>
      <c r="H367" s="44">
        <f>ROUNDUP(($T$363-0.25)/0.15,0)</f>
        <v>45</v>
      </c>
      <c r="I367" s="44">
        <v>6</v>
      </c>
      <c r="J367" s="44">
        <f>2*(E364+F364)+20.5*I367/1000</f>
        <v>1.323</v>
      </c>
      <c r="K367" s="7">
        <f t="shared" si="103"/>
        <v>59.534999999999997</v>
      </c>
      <c r="L367" s="7" t="str">
        <f t="shared" si="92"/>
        <v/>
      </c>
      <c r="M367" s="7" t="str">
        <f t="shared" si="101"/>
        <v/>
      </c>
      <c r="N367" s="7" t="str">
        <f t="shared" si="102"/>
        <v/>
      </c>
      <c r="O367" s="7" t="str">
        <f t="shared" si="91"/>
        <v/>
      </c>
    </row>
    <row r="368" spans="1:20">
      <c r="A368" t="s">
        <v>77</v>
      </c>
      <c r="B368" s="53"/>
      <c r="C368" s="53"/>
      <c r="D368" s="43"/>
      <c r="E368" s="43"/>
      <c r="F368" s="43"/>
      <c r="G368" s="44">
        <v>1</v>
      </c>
      <c r="H368" s="44">
        <f>ROUNDUP(($T$363-0.25)/0.15,0)</f>
        <v>45</v>
      </c>
      <c r="I368" s="44">
        <v>6</v>
      </c>
      <c r="J368" s="44">
        <f>E364+22*I368/1000</f>
        <v>0.432</v>
      </c>
      <c r="K368" s="7">
        <f t="shared" si="103"/>
        <v>19.440000000000001</v>
      </c>
      <c r="L368" s="7" t="str">
        <f t="shared" si="92"/>
        <v/>
      </c>
      <c r="M368" s="7" t="str">
        <f t="shared" si="101"/>
        <v/>
      </c>
      <c r="N368" s="7" t="str">
        <f t="shared" si="102"/>
        <v/>
      </c>
      <c r="O368" s="7" t="str">
        <f t="shared" si="91"/>
        <v/>
      </c>
    </row>
    <row r="369" spans="1:15">
      <c r="B369" s="53" t="s">
        <v>4</v>
      </c>
      <c r="C369" s="55">
        <v>2</v>
      </c>
      <c r="D369" s="43" t="s">
        <v>42</v>
      </c>
      <c r="E369" s="43">
        <v>0.4</v>
      </c>
      <c r="F369" s="43">
        <v>0.4</v>
      </c>
      <c r="G369" s="44"/>
      <c r="H369" s="44"/>
      <c r="I369" s="44"/>
      <c r="J369" s="44"/>
      <c r="K369" s="7" t="str">
        <f t="shared" si="103"/>
        <v/>
      </c>
      <c r="L369" s="7" t="str">
        <f t="shared" si="92"/>
        <v/>
      </c>
      <c r="M369" s="7" t="str">
        <f t="shared" si="101"/>
        <v/>
      </c>
      <c r="N369" s="7" t="str">
        <f t="shared" si="102"/>
        <v/>
      </c>
      <c r="O369" s="7" t="str">
        <f t="shared" si="91"/>
        <v/>
      </c>
    </row>
    <row r="370" spans="1:15">
      <c r="A370" t="s">
        <v>86</v>
      </c>
      <c r="B370" s="53"/>
      <c r="C370" s="53"/>
      <c r="D370" s="43"/>
      <c r="E370" s="43"/>
      <c r="F370" s="43"/>
      <c r="G370" s="44">
        <v>1</v>
      </c>
      <c r="H370" s="44">
        <v>4</v>
      </c>
      <c r="I370" s="44">
        <v>14</v>
      </c>
      <c r="J370" s="44">
        <f>$T$363</f>
        <v>7</v>
      </c>
      <c r="K370" s="7" t="str">
        <f t="shared" si="103"/>
        <v/>
      </c>
      <c r="L370" s="7" t="str">
        <f t="shared" si="92"/>
        <v/>
      </c>
      <c r="M370" s="7" t="str">
        <f t="shared" si="101"/>
        <v/>
      </c>
      <c r="N370" s="7" t="str">
        <f t="shared" si="102"/>
        <v/>
      </c>
      <c r="O370" s="7">
        <f t="shared" si="91"/>
        <v>28</v>
      </c>
    </row>
    <row r="371" spans="1:15">
      <c r="A371" t="s">
        <v>86</v>
      </c>
      <c r="B371" s="53"/>
      <c r="C371" s="53"/>
      <c r="D371" s="43"/>
      <c r="E371" s="43"/>
      <c r="F371" s="43"/>
      <c r="G371" s="44">
        <v>1</v>
      </c>
      <c r="H371" s="44">
        <v>2</v>
      </c>
      <c r="I371" s="44">
        <v>10</v>
      </c>
      <c r="J371" s="44">
        <f>$T$363</f>
        <v>7</v>
      </c>
      <c r="K371" s="7" t="str">
        <f t="shared" si="103"/>
        <v/>
      </c>
      <c r="L371" s="7" t="str">
        <f t="shared" si="92"/>
        <v/>
      </c>
      <c r="M371" s="7">
        <f t="shared" si="101"/>
        <v>14</v>
      </c>
      <c r="N371" s="7" t="str">
        <f t="shared" si="102"/>
        <v/>
      </c>
      <c r="O371" s="7" t="str">
        <f t="shared" si="91"/>
        <v/>
      </c>
    </row>
    <row r="372" spans="1:15">
      <c r="A372" t="s">
        <v>76</v>
      </c>
      <c r="B372" s="53"/>
      <c r="C372" s="53"/>
      <c r="D372" s="43"/>
      <c r="E372" s="43"/>
      <c r="F372" s="43"/>
      <c r="G372" s="44">
        <v>1</v>
      </c>
      <c r="H372" s="44">
        <f>ROUNDUP(($T$363-0.25)/0.15,0)</f>
        <v>45</v>
      </c>
      <c r="I372" s="44">
        <v>6</v>
      </c>
      <c r="J372" s="44">
        <f>2*(E369+F369)+20.5*I372/1000</f>
        <v>1.7230000000000001</v>
      </c>
      <c r="K372" s="7">
        <f t="shared" si="103"/>
        <v>77.535000000000011</v>
      </c>
      <c r="L372" s="7" t="str">
        <f t="shared" ref="L372:L435" si="104">IF(I372=8,G372*H372*J372,"")</f>
        <v/>
      </c>
      <c r="M372" s="7" t="str">
        <f t="shared" si="101"/>
        <v/>
      </c>
      <c r="N372" s="7" t="str">
        <f t="shared" si="102"/>
        <v/>
      </c>
      <c r="O372" s="7" t="str">
        <f t="shared" si="91"/>
        <v/>
      </c>
    </row>
    <row r="373" spans="1:15">
      <c r="A373" t="s">
        <v>77</v>
      </c>
      <c r="B373" s="53"/>
      <c r="C373" s="53"/>
      <c r="D373" s="43"/>
      <c r="E373" s="43"/>
      <c r="F373" s="43"/>
      <c r="G373" s="44">
        <v>1</v>
      </c>
      <c r="H373" s="44">
        <f>ROUNDUP(($T$363-0.25)/0.15,0)</f>
        <v>45</v>
      </c>
      <c r="I373" s="44">
        <v>6</v>
      </c>
      <c r="J373" s="44">
        <f>E369+22*I373/1000</f>
        <v>0.53200000000000003</v>
      </c>
      <c r="K373" s="7">
        <f t="shared" si="103"/>
        <v>23.94</v>
      </c>
      <c r="L373" s="7" t="str">
        <f t="shared" si="104"/>
        <v/>
      </c>
      <c r="M373" s="7" t="str">
        <f t="shared" si="101"/>
        <v/>
      </c>
      <c r="N373" s="7" t="str">
        <f t="shared" si="102"/>
        <v/>
      </c>
      <c r="O373" s="7" t="str">
        <f t="shared" si="91"/>
        <v/>
      </c>
    </row>
    <row r="374" spans="1:15">
      <c r="B374" s="53" t="s">
        <v>4</v>
      </c>
      <c r="C374" s="55">
        <v>4</v>
      </c>
      <c r="D374" s="43" t="s">
        <v>42</v>
      </c>
      <c r="E374" s="43">
        <v>0.4</v>
      </c>
      <c r="F374" s="43">
        <v>0.4</v>
      </c>
      <c r="G374" s="44"/>
      <c r="H374" s="44"/>
      <c r="I374" s="44"/>
      <c r="J374" s="44"/>
      <c r="K374" s="7" t="str">
        <f t="shared" si="103"/>
        <v/>
      </c>
      <c r="L374" s="7" t="str">
        <f t="shared" si="104"/>
        <v/>
      </c>
      <c r="M374" s="7" t="str">
        <f t="shared" si="101"/>
        <v/>
      </c>
      <c r="N374" s="7" t="str">
        <f t="shared" si="102"/>
        <v/>
      </c>
      <c r="O374" s="7" t="str">
        <f t="shared" si="91"/>
        <v/>
      </c>
    </row>
    <row r="375" spans="1:15">
      <c r="A375" t="s">
        <v>86</v>
      </c>
      <c r="B375" s="53"/>
      <c r="C375" s="55"/>
      <c r="D375" s="43"/>
      <c r="E375" s="43"/>
      <c r="F375" s="43"/>
      <c r="G375" s="44">
        <v>1</v>
      </c>
      <c r="H375" s="44">
        <v>4</v>
      </c>
      <c r="I375" s="44">
        <v>14</v>
      </c>
      <c r="J375" s="44">
        <f>$T$363</f>
        <v>7</v>
      </c>
      <c r="K375" s="7" t="str">
        <f t="shared" si="103"/>
        <v/>
      </c>
      <c r="L375" s="7" t="str">
        <f t="shared" si="104"/>
        <v/>
      </c>
      <c r="M375" s="7" t="str">
        <f t="shared" si="101"/>
        <v/>
      </c>
      <c r="N375" s="7" t="str">
        <f t="shared" si="102"/>
        <v/>
      </c>
      <c r="O375" s="7">
        <f t="shared" si="91"/>
        <v>28</v>
      </c>
    </row>
    <row r="376" spans="1:15">
      <c r="A376" t="s">
        <v>86</v>
      </c>
      <c r="B376" s="53"/>
      <c r="C376" s="55"/>
      <c r="D376" s="43"/>
      <c r="E376" s="43"/>
      <c r="F376" s="43"/>
      <c r="G376" s="44">
        <v>1</v>
      </c>
      <c r="H376" s="44">
        <v>2</v>
      </c>
      <c r="I376" s="44">
        <v>10</v>
      </c>
      <c r="J376" s="44">
        <f>$T$363</f>
        <v>7</v>
      </c>
      <c r="K376" s="7" t="str">
        <f t="shared" si="103"/>
        <v/>
      </c>
      <c r="L376" s="7" t="str">
        <f t="shared" si="104"/>
        <v/>
      </c>
      <c r="M376" s="7">
        <f t="shared" si="101"/>
        <v>14</v>
      </c>
      <c r="N376" s="7" t="str">
        <f t="shared" si="102"/>
        <v/>
      </c>
      <c r="O376" s="7" t="str">
        <f t="shared" si="91"/>
        <v/>
      </c>
    </row>
    <row r="377" spans="1:15">
      <c r="A377" t="s">
        <v>76</v>
      </c>
      <c r="B377" s="53"/>
      <c r="C377" s="53"/>
      <c r="D377" s="43"/>
      <c r="E377" s="43"/>
      <c r="F377" s="43"/>
      <c r="G377" s="44">
        <v>1</v>
      </c>
      <c r="H377" s="44">
        <f>ROUNDUP(($T$363-0.25)/0.15,0)</f>
        <v>45</v>
      </c>
      <c r="I377" s="44">
        <v>6</v>
      </c>
      <c r="J377" s="44">
        <f>2*(E374+F374)+20.5*I377/1000</f>
        <v>1.7230000000000001</v>
      </c>
      <c r="K377" s="7">
        <f t="shared" si="103"/>
        <v>77.535000000000011</v>
      </c>
      <c r="L377" s="7" t="str">
        <f t="shared" si="104"/>
        <v/>
      </c>
      <c r="M377" s="7" t="str">
        <f t="shared" si="101"/>
        <v/>
      </c>
      <c r="N377" s="7" t="str">
        <f t="shared" si="102"/>
        <v/>
      </c>
      <c r="O377" s="7" t="str">
        <f t="shared" si="91"/>
        <v/>
      </c>
    </row>
    <row r="378" spans="1:15">
      <c r="A378" t="s">
        <v>77</v>
      </c>
      <c r="B378" s="53"/>
      <c r="C378" s="53"/>
      <c r="D378" s="43"/>
      <c r="E378" s="43"/>
      <c r="F378" s="43"/>
      <c r="G378" s="44">
        <v>1</v>
      </c>
      <c r="H378" s="44">
        <f>ROUNDUP(($T$363-0.25)/0.15,0)</f>
        <v>45</v>
      </c>
      <c r="I378" s="44">
        <v>6</v>
      </c>
      <c r="J378" s="44">
        <f>E374+22*I378/1000</f>
        <v>0.53200000000000003</v>
      </c>
      <c r="K378" s="7">
        <f t="shared" si="103"/>
        <v>23.94</v>
      </c>
      <c r="L378" s="7" t="str">
        <f t="shared" si="104"/>
        <v/>
      </c>
      <c r="M378" s="7" t="str">
        <f t="shared" si="101"/>
        <v/>
      </c>
      <c r="N378" s="7" t="str">
        <f t="shared" si="102"/>
        <v/>
      </c>
      <c r="O378" s="7" t="str">
        <f t="shared" si="91"/>
        <v/>
      </c>
    </row>
    <row r="379" spans="1:15">
      <c r="B379" s="53" t="s">
        <v>4</v>
      </c>
      <c r="C379" s="53">
        <v>5</v>
      </c>
      <c r="D379" s="43" t="s">
        <v>43</v>
      </c>
      <c r="E379" s="43">
        <v>0.3</v>
      </c>
      <c r="F379" s="43">
        <v>0.3</v>
      </c>
      <c r="G379" s="44"/>
      <c r="H379" s="44"/>
      <c r="I379" s="44"/>
      <c r="J379" s="44"/>
      <c r="K379" s="7" t="str">
        <f t="shared" si="103"/>
        <v/>
      </c>
      <c r="L379" s="7" t="str">
        <f t="shared" si="104"/>
        <v/>
      </c>
      <c r="M379" s="7" t="str">
        <f t="shared" si="101"/>
        <v/>
      </c>
      <c r="N379" s="7" t="str">
        <f t="shared" si="102"/>
        <v/>
      </c>
      <c r="O379" s="7" t="str">
        <f t="shared" si="91"/>
        <v/>
      </c>
    </row>
    <row r="380" spans="1:15">
      <c r="A380" t="s">
        <v>86</v>
      </c>
      <c r="B380" s="53"/>
      <c r="C380" s="53"/>
      <c r="D380" s="43"/>
      <c r="E380" s="43"/>
      <c r="F380" s="43"/>
      <c r="G380" s="44">
        <v>1</v>
      </c>
      <c r="H380" s="44">
        <v>4</v>
      </c>
      <c r="I380" s="44">
        <v>14</v>
      </c>
      <c r="J380" s="44">
        <f>$T$363</f>
        <v>7</v>
      </c>
      <c r="K380" s="7" t="str">
        <f t="shared" si="103"/>
        <v/>
      </c>
      <c r="L380" s="7" t="str">
        <f t="shared" si="104"/>
        <v/>
      </c>
      <c r="M380" s="7" t="str">
        <f t="shared" si="101"/>
        <v/>
      </c>
      <c r="N380" s="7" t="str">
        <f t="shared" si="102"/>
        <v/>
      </c>
      <c r="O380" s="7">
        <f t="shared" si="91"/>
        <v>28</v>
      </c>
    </row>
    <row r="381" spans="1:15">
      <c r="A381" t="s">
        <v>86</v>
      </c>
      <c r="B381" s="53"/>
      <c r="C381" s="53"/>
      <c r="D381" s="43"/>
      <c r="E381" s="43"/>
      <c r="F381" s="43"/>
      <c r="G381" s="44">
        <v>1</v>
      </c>
      <c r="H381" s="44">
        <v>2</v>
      </c>
      <c r="I381" s="44">
        <v>10</v>
      </c>
      <c r="J381" s="44">
        <f>$T$363</f>
        <v>7</v>
      </c>
      <c r="K381" s="7" t="str">
        <f t="shared" si="103"/>
        <v/>
      </c>
      <c r="L381" s="7" t="str">
        <f t="shared" si="104"/>
        <v/>
      </c>
      <c r="M381" s="7">
        <f t="shared" si="101"/>
        <v>14</v>
      </c>
      <c r="N381" s="7" t="str">
        <f t="shared" si="102"/>
        <v/>
      </c>
      <c r="O381" s="7" t="str">
        <f t="shared" si="91"/>
        <v/>
      </c>
    </row>
    <row r="382" spans="1:15">
      <c r="A382" t="s">
        <v>76</v>
      </c>
      <c r="B382" s="53"/>
      <c r="C382" s="53"/>
      <c r="D382" s="43"/>
      <c r="E382" s="43"/>
      <c r="F382" s="43"/>
      <c r="G382" s="44">
        <v>1</v>
      </c>
      <c r="H382" s="44">
        <f>ROUNDUP(($T$363-0.25)/0.15,0)</f>
        <v>45</v>
      </c>
      <c r="I382" s="44">
        <v>6</v>
      </c>
      <c r="J382" s="44">
        <f>2*(E379+F379)+20.5*I382/1000</f>
        <v>1.323</v>
      </c>
      <c r="K382" s="7">
        <f t="shared" si="103"/>
        <v>59.534999999999997</v>
      </c>
      <c r="L382" s="7" t="str">
        <f t="shared" si="104"/>
        <v/>
      </c>
      <c r="M382" s="7" t="str">
        <f t="shared" si="101"/>
        <v/>
      </c>
      <c r="N382" s="7" t="str">
        <f t="shared" si="102"/>
        <v/>
      </c>
      <c r="O382" s="7" t="str">
        <f t="shared" si="91"/>
        <v/>
      </c>
    </row>
    <row r="383" spans="1:15">
      <c r="A383" t="s">
        <v>77</v>
      </c>
      <c r="B383" s="53"/>
      <c r="C383" s="53"/>
      <c r="D383" s="43"/>
      <c r="E383" s="43"/>
      <c r="F383" s="43"/>
      <c r="G383" s="44">
        <v>1</v>
      </c>
      <c r="H383" s="44">
        <f>ROUNDUP(($T$363-0.25)/0.15,0)</f>
        <v>45</v>
      </c>
      <c r="I383" s="44">
        <v>6</v>
      </c>
      <c r="J383" s="44">
        <f>E379+22*I383/1000</f>
        <v>0.432</v>
      </c>
      <c r="K383" s="7">
        <f t="shared" si="103"/>
        <v>19.440000000000001</v>
      </c>
      <c r="L383" s="7" t="str">
        <f t="shared" si="104"/>
        <v/>
      </c>
      <c r="M383" s="7" t="str">
        <f t="shared" si="101"/>
        <v/>
      </c>
      <c r="N383" s="7" t="str">
        <f t="shared" si="102"/>
        <v/>
      </c>
      <c r="O383" s="7" t="str">
        <f t="shared" si="91"/>
        <v/>
      </c>
    </row>
    <row r="384" spans="1:15">
      <c r="B384" s="53" t="s">
        <v>4</v>
      </c>
      <c r="C384" s="55">
        <v>6</v>
      </c>
      <c r="D384" s="43" t="s">
        <v>24</v>
      </c>
      <c r="E384" s="43">
        <v>0.25</v>
      </c>
      <c r="F384" s="43">
        <v>0.35</v>
      </c>
      <c r="G384" s="44"/>
      <c r="H384" s="44"/>
      <c r="I384" s="44"/>
      <c r="J384" s="44"/>
      <c r="K384" s="7" t="str">
        <f t="shared" si="103"/>
        <v/>
      </c>
      <c r="L384" s="7" t="str">
        <f t="shared" si="104"/>
        <v/>
      </c>
      <c r="M384" s="7" t="str">
        <f t="shared" si="101"/>
        <v/>
      </c>
      <c r="N384" s="7" t="str">
        <f t="shared" si="102"/>
        <v/>
      </c>
      <c r="O384" s="7" t="str">
        <f t="shared" si="91"/>
        <v/>
      </c>
    </row>
    <row r="385" spans="1:15">
      <c r="A385" t="s">
        <v>86</v>
      </c>
      <c r="B385" s="53"/>
      <c r="C385" s="55"/>
      <c r="D385" s="43"/>
      <c r="E385" s="43"/>
      <c r="F385" s="43"/>
      <c r="G385" s="44">
        <v>1</v>
      </c>
      <c r="H385" s="44">
        <v>4</v>
      </c>
      <c r="I385" s="44">
        <v>14</v>
      </c>
      <c r="J385" s="44">
        <f>$T$363</f>
        <v>7</v>
      </c>
      <c r="K385" s="7" t="str">
        <f t="shared" si="103"/>
        <v/>
      </c>
      <c r="L385" s="7" t="str">
        <f t="shared" si="104"/>
        <v/>
      </c>
      <c r="M385" s="7" t="str">
        <f t="shared" si="101"/>
        <v/>
      </c>
      <c r="N385" s="7" t="str">
        <f t="shared" si="102"/>
        <v/>
      </c>
      <c r="O385" s="7">
        <f t="shared" si="91"/>
        <v>28</v>
      </c>
    </row>
    <row r="386" spans="1:15">
      <c r="A386" t="s">
        <v>86</v>
      </c>
      <c r="B386" s="53"/>
      <c r="C386" s="55"/>
      <c r="D386" s="43"/>
      <c r="E386" s="43"/>
      <c r="F386" s="43"/>
      <c r="G386" s="44">
        <v>1</v>
      </c>
      <c r="H386" s="44">
        <v>2</v>
      </c>
      <c r="I386" s="44">
        <v>10</v>
      </c>
      <c r="J386" s="44">
        <f>$T$363</f>
        <v>7</v>
      </c>
      <c r="K386" s="7" t="str">
        <f t="shared" si="103"/>
        <v/>
      </c>
      <c r="L386" s="7" t="str">
        <f t="shared" si="104"/>
        <v/>
      </c>
      <c r="M386" s="7">
        <f t="shared" si="101"/>
        <v>14</v>
      </c>
      <c r="N386" s="7" t="str">
        <f t="shared" si="102"/>
        <v/>
      </c>
      <c r="O386" s="7" t="str">
        <f t="shared" si="91"/>
        <v/>
      </c>
    </row>
    <row r="387" spans="1:15">
      <c r="A387" t="s">
        <v>76</v>
      </c>
      <c r="B387" s="53"/>
      <c r="C387" s="53"/>
      <c r="D387" s="43"/>
      <c r="E387" s="43"/>
      <c r="F387" s="43"/>
      <c r="G387" s="44">
        <v>1</v>
      </c>
      <c r="H387" s="44">
        <f>ROUNDUP(($T$363-0.25)/0.15,0)</f>
        <v>45</v>
      </c>
      <c r="I387" s="44">
        <v>6</v>
      </c>
      <c r="J387" s="44">
        <f>2*(E384+F384)+20.5*I387/1000</f>
        <v>1.323</v>
      </c>
      <c r="K387" s="7">
        <f t="shared" si="103"/>
        <v>59.534999999999997</v>
      </c>
      <c r="L387" s="7" t="str">
        <f t="shared" si="104"/>
        <v/>
      </c>
      <c r="M387" s="7" t="str">
        <f t="shared" si="101"/>
        <v/>
      </c>
      <c r="N387" s="7" t="str">
        <f t="shared" si="102"/>
        <v/>
      </c>
      <c r="O387" s="7" t="str">
        <f t="shared" si="91"/>
        <v/>
      </c>
    </row>
    <row r="388" spans="1:15">
      <c r="A388" t="s">
        <v>77</v>
      </c>
      <c r="B388" s="53"/>
      <c r="C388" s="53"/>
      <c r="D388" s="43"/>
      <c r="E388" s="43"/>
      <c r="F388" s="43"/>
      <c r="G388" s="44">
        <v>1</v>
      </c>
      <c r="H388" s="44">
        <f>ROUNDUP(($T$363-0.25)/0.15,0)</f>
        <v>45</v>
      </c>
      <c r="I388" s="44">
        <v>6</v>
      </c>
      <c r="J388" s="44">
        <f>E384+22*I388/1000</f>
        <v>0.38200000000000001</v>
      </c>
      <c r="K388" s="7">
        <f t="shared" si="103"/>
        <v>17.190000000000001</v>
      </c>
      <c r="L388" s="7" t="str">
        <f t="shared" si="104"/>
        <v/>
      </c>
      <c r="M388" s="7" t="str">
        <f t="shared" si="101"/>
        <v/>
      </c>
      <c r="N388" s="7" t="str">
        <f t="shared" si="102"/>
        <v/>
      </c>
      <c r="O388" s="7" t="str">
        <f t="shared" si="91"/>
        <v/>
      </c>
    </row>
    <row r="389" spans="1:15">
      <c r="B389" s="53" t="s">
        <v>4</v>
      </c>
      <c r="C389" s="55">
        <v>7</v>
      </c>
      <c r="D389" s="43" t="s">
        <v>24</v>
      </c>
      <c r="E389" s="43">
        <v>0.25</v>
      </c>
      <c r="F389" s="43">
        <v>0.35</v>
      </c>
      <c r="G389" s="44"/>
      <c r="H389" s="44"/>
      <c r="I389" s="44"/>
      <c r="J389" s="44"/>
      <c r="K389" s="7" t="str">
        <f t="shared" si="103"/>
        <v/>
      </c>
      <c r="L389" s="7" t="str">
        <f t="shared" si="104"/>
        <v/>
      </c>
      <c r="M389" s="7" t="str">
        <f t="shared" si="101"/>
        <v/>
      </c>
      <c r="N389" s="7" t="str">
        <f t="shared" si="102"/>
        <v/>
      </c>
      <c r="O389" s="7" t="str">
        <f t="shared" si="91"/>
        <v/>
      </c>
    </row>
    <row r="390" spans="1:15">
      <c r="A390" t="s">
        <v>86</v>
      </c>
      <c r="B390" s="53"/>
      <c r="C390" s="55"/>
      <c r="D390" s="43"/>
      <c r="E390" s="43"/>
      <c r="F390" s="43"/>
      <c r="G390" s="44">
        <v>1</v>
      </c>
      <c r="H390" s="44">
        <v>4</v>
      </c>
      <c r="I390" s="44">
        <v>14</v>
      </c>
      <c r="J390" s="44">
        <f>$T$363</f>
        <v>7</v>
      </c>
      <c r="K390" s="7" t="str">
        <f t="shared" si="103"/>
        <v/>
      </c>
      <c r="L390" s="7" t="str">
        <f t="shared" si="104"/>
        <v/>
      </c>
      <c r="M390" s="7" t="str">
        <f t="shared" si="101"/>
        <v/>
      </c>
      <c r="N390" s="7" t="str">
        <f t="shared" si="102"/>
        <v/>
      </c>
      <c r="O390" s="7">
        <f t="shared" si="91"/>
        <v>28</v>
      </c>
    </row>
    <row r="391" spans="1:15">
      <c r="A391" t="s">
        <v>86</v>
      </c>
      <c r="B391" s="53"/>
      <c r="C391" s="55"/>
      <c r="D391" s="43"/>
      <c r="E391" s="43"/>
      <c r="F391" s="43"/>
      <c r="G391" s="44">
        <v>1</v>
      </c>
      <c r="H391" s="44">
        <v>2</v>
      </c>
      <c r="I391" s="44">
        <v>10</v>
      </c>
      <c r="J391" s="44">
        <f>$T$363</f>
        <v>7</v>
      </c>
      <c r="K391" s="7" t="str">
        <f t="shared" si="103"/>
        <v/>
      </c>
      <c r="L391" s="7" t="str">
        <f t="shared" si="104"/>
        <v/>
      </c>
      <c r="M391" s="7">
        <f t="shared" si="101"/>
        <v>14</v>
      </c>
      <c r="N391" s="7" t="str">
        <f t="shared" si="102"/>
        <v/>
      </c>
      <c r="O391" s="7" t="str">
        <f t="shared" si="91"/>
        <v/>
      </c>
    </row>
    <row r="392" spans="1:15">
      <c r="A392" t="s">
        <v>76</v>
      </c>
      <c r="B392" s="53"/>
      <c r="C392" s="53"/>
      <c r="D392" s="43"/>
      <c r="E392" s="43"/>
      <c r="F392" s="43"/>
      <c r="G392" s="44">
        <v>1</v>
      </c>
      <c r="H392" s="44">
        <f>ROUNDUP(($T$363-0.25)/0.15,0)</f>
        <v>45</v>
      </c>
      <c r="I392" s="44">
        <v>6</v>
      </c>
      <c r="J392" s="44">
        <f>2*(E389+F389)+20.5*I392/1000</f>
        <v>1.323</v>
      </c>
      <c r="K392" s="7">
        <f t="shared" si="103"/>
        <v>59.534999999999997</v>
      </c>
      <c r="L392" s="7" t="str">
        <f t="shared" si="104"/>
        <v/>
      </c>
      <c r="M392" s="7" t="str">
        <f t="shared" si="101"/>
        <v/>
      </c>
      <c r="N392" s="7" t="str">
        <f t="shared" si="102"/>
        <v/>
      </c>
      <c r="O392" s="7" t="str">
        <f t="shared" si="91"/>
        <v/>
      </c>
    </row>
    <row r="393" spans="1:15">
      <c r="A393" t="s">
        <v>77</v>
      </c>
      <c r="B393" s="53"/>
      <c r="C393" s="53"/>
      <c r="D393" s="43"/>
      <c r="E393" s="43"/>
      <c r="F393" s="43"/>
      <c r="G393" s="44">
        <v>1</v>
      </c>
      <c r="H393" s="44">
        <f>ROUNDUP(($T$363-0.25)/0.15,0)</f>
        <v>45</v>
      </c>
      <c r="I393" s="44">
        <v>6</v>
      </c>
      <c r="J393" s="44">
        <f>E389+22*I393/1000</f>
        <v>0.38200000000000001</v>
      </c>
      <c r="K393" s="7">
        <f t="shared" si="103"/>
        <v>17.190000000000001</v>
      </c>
      <c r="L393" s="7" t="str">
        <f t="shared" si="104"/>
        <v/>
      </c>
      <c r="M393" s="7" t="str">
        <f t="shared" si="101"/>
        <v/>
      </c>
      <c r="N393" s="7" t="str">
        <f t="shared" si="102"/>
        <v/>
      </c>
      <c r="O393" s="7" t="str">
        <f t="shared" si="91"/>
        <v/>
      </c>
    </row>
    <row r="394" spans="1:15">
      <c r="B394" s="53" t="s">
        <v>6</v>
      </c>
      <c r="C394" s="53">
        <v>5</v>
      </c>
      <c r="D394" s="43" t="s">
        <v>44</v>
      </c>
      <c r="E394" s="43">
        <v>0.35</v>
      </c>
      <c r="F394" s="43">
        <v>0.35</v>
      </c>
      <c r="G394" s="44"/>
      <c r="H394" s="44"/>
      <c r="I394" s="44"/>
      <c r="J394" s="44"/>
      <c r="K394" s="7" t="str">
        <f t="shared" si="103"/>
        <v/>
      </c>
      <c r="L394" s="7" t="str">
        <f t="shared" si="104"/>
        <v/>
      </c>
      <c r="M394" s="7" t="str">
        <f t="shared" si="101"/>
        <v/>
      </c>
      <c r="N394" s="7" t="str">
        <f t="shared" si="102"/>
        <v/>
      </c>
      <c r="O394" s="7" t="str">
        <f t="shared" si="91"/>
        <v/>
      </c>
    </row>
    <row r="395" spans="1:15">
      <c r="A395" t="s">
        <v>86</v>
      </c>
      <c r="B395" s="53"/>
      <c r="C395" s="53"/>
      <c r="D395" s="43"/>
      <c r="E395" s="43"/>
      <c r="F395" s="43"/>
      <c r="G395" s="44">
        <v>1</v>
      </c>
      <c r="H395" s="44">
        <v>12</v>
      </c>
      <c r="I395" s="44">
        <v>14</v>
      </c>
      <c r="J395" s="44">
        <f>$T$363</f>
        <v>7</v>
      </c>
      <c r="K395" s="7" t="str">
        <f t="shared" si="103"/>
        <v/>
      </c>
      <c r="L395" s="7" t="str">
        <f t="shared" si="104"/>
        <v/>
      </c>
      <c r="M395" s="7" t="str">
        <f t="shared" si="101"/>
        <v/>
      </c>
      <c r="N395" s="7" t="str">
        <f t="shared" si="102"/>
        <v/>
      </c>
      <c r="O395" s="7">
        <f t="shared" si="91"/>
        <v>84</v>
      </c>
    </row>
    <row r="396" spans="1:15">
      <c r="A396" t="s">
        <v>76</v>
      </c>
      <c r="B396" s="53"/>
      <c r="C396" s="53"/>
      <c r="D396" s="43"/>
      <c r="E396" s="43"/>
      <c r="F396" s="43"/>
      <c r="G396" s="44">
        <v>1</v>
      </c>
      <c r="H396" s="44">
        <f>ROUNDUP(($T$363-0.25)/0.15,0)</f>
        <v>45</v>
      </c>
      <c r="I396" s="44">
        <v>6</v>
      </c>
      <c r="J396" s="44">
        <f>2*(E394+F394)+20.5*I396/1000</f>
        <v>1.5229999999999999</v>
      </c>
      <c r="K396" s="7">
        <f t="shared" si="103"/>
        <v>68.534999999999997</v>
      </c>
      <c r="L396" s="7" t="str">
        <f t="shared" si="104"/>
        <v/>
      </c>
      <c r="M396" s="7" t="str">
        <f t="shared" si="101"/>
        <v/>
      </c>
      <c r="N396" s="7" t="str">
        <f t="shared" si="102"/>
        <v/>
      </c>
      <c r="O396" s="7" t="str">
        <f t="shared" si="91"/>
        <v/>
      </c>
    </row>
    <row r="397" spans="1:15">
      <c r="A397" t="s">
        <v>77</v>
      </c>
      <c r="B397" s="53"/>
      <c r="C397" s="53"/>
      <c r="D397" s="43"/>
      <c r="E397" s="43"/>
      <c r="F397" s="43"/>
      <c r="G397" s="44">
        <v>1</v>
      </c>
      <c r="H397" s="44">
        <f>ROUNDUP(($T$363-0.25)/0.15,0)</f>
        <v>45</v>
      </c>
      <c r="I397" s="44">
        <v>6</v>
      </c>
      <c r="J397" s="44">
        <f>E394+22*I397/1000</f>
        <v>0.48199999999999998</v>
      </c>
      <c r="K397" s="7">
        <f t="shared" si="103"/>
        <v>21.689999999999998</v>
      </c>
      <c r="L397" s="7" t="str">
        <f t="shared" si="104"/>
        <v/>
      </c>
      <c r="M397" s="7" t="str">
        <f t="shared" si="101"/>
        <v/>
      </c>
      <c r="N397" s="7" t="str">
        <f t="shared" si="102"/>
        <v/>
      </c>
      <c r="O397" s="7" t="str">
        <f t="shared" si="91"/>
        <v/>
      </c>
    </row>
    <row r="398" spans="1:15">
      <c r="B398" s="53" t="s">
        <v>7</v>
      </c>
      <c r="C398" s="53">
        <v>6</v>
      </c>
      <c r="D398" s="43" t="s">
        <v>24</v>
      </c>
      <c r="E398" s="43">
        <v>0.25</v>
      </c>
      <c r="F398" s="43">
        <v>0.35</v>
      </c>
      <c r="G398" s="44"/>
      <c r="H398" s="44"/>
      <c r="I398" s="44"/>
      <c r="J398" s="44"/>
      <c r="K398" s="7" t="str">
        <f t="shared" si="103"/>
        <v/>
      </c>
      <c r="L398" s="7" t="str">
        <f t="shared" si="104"/>
        <v/>
      </c>
      <c r="M398" s="7" t="str">
        <f t="shared" si="101"/>
        <v/>
      </c>
      <c r="N398" s="7" t="str">
        <f t="shared" si="102"/>
        <v/>
      </c>
      <c r="O398" s="7" t="str">
        <f t="shared" si="91"/>
        <v/>
      </c>
    </row>
    <row r="399" spans="1:15">
      <c r="A399" t="s">
        <v>86</v>
      </c>
      <c r="B399" s="53"/>
      <c r="C399" s="53"/>
      <c r="D399" s="43"/>
      <c r="E399" s="43"/>
      <c r="F399" s="43"/>
      <c r="G399" s="44">
        <v>1</v>
      </c>
      <c r="H399" s="44">
        <v>4</v>
      </c>
      <c r="I399" s="44">
        <v>14</v>
      </c>
      <c r="J399" s="44">
        <f>$T$363</f>
        <v>7</v>
      </c>
      <c r="K399" s="7" t="str">
        <f t="shared" si="103"/>
        <v/>
      </c>
      <c r="L399" s="7" t="str">
        <f t="shared" si="104"/>
        <v/>
      </c>
      <c r="M399" s="7" t="str">
        <f t="shared" si="101"/>
        <v/>
      </c>
      <c r="N399" s="7" t="str">
        <f t="shared" si="102"/>
        <v/>
      </c>
      <c r="O399" s="7">
        <f t="shared" si="91"/>
        <v>28</v>
      </c>
    </row>
    <row r="400" spans="1:15">
      <c r="A400" t="s">
        <v>86</v>
      </c>
      <c r="B400" s="53"/>
      <c r="C400" s="53"/>
      <c r="D400" s="43"/>
      <c r="E400" s="43"/>
      <c r="F400" s="43"/>
      <c r="G400" s="44">
        <v>1</v>
      </c>
      <c r="H400" s="44">
        <v>2</v>
      </c>
      <c r="I400" s="44">
        <v>10</v>
      </c>
      <c r="J400" s="44">
        <f>$T$363</f>
        <v>7</v>
      </c>
      <c r="K400" s="7" t="str">
        <f t="shared" si="103"/>
        <v/>
      </c>
      <c r="L400" s="7" t="str">
        <f t="shared" si="104"/>
        <v/>
      </c>
      <c r="M400" s="7">
        <f t="shared" si="101"/>
        <v>14</v>
      </c>
      <c r="N400" s="7" t="str">
        <f t="shared" si="102"/>
        <v/>
      </c>
      <c r="O400" s="7" t="str">
        <f t="shared" si="91"/>
        <v/>
      </c>
    </row>
    <row r="401" spans="1:15">
      <c r="A401" t="s">
        <v>76</v>
      </c>
      <c r="B401" s="53"/>
      <c r="C401" s="53"/>
      <c r="D401" s="43"/>
      <c r="E401" s="43"/>
      <c r="F401" s="43"/>
      <c r="G401" s="44">
        <v>1</v>
      </c>
      <c r="H401" s="44">
        <f>ROUNDUP(($T$363-0.25)/0.15,0)</f>
        <v>45</v>
      </c>
      <c r="I401" s="44">
        <v>6</v>
      </c>
      <c r="J401" s="44">
        <f>2*(E398+F398)+20.5*I401/1000</f>
        <v>1.323</v>
      </c>
      <c r="K401" s="7">
        <f t="shared" si="103"/>
        <v>59.534999999999997</v>
      </c>
      <c r="L401" s="7" t="str">
        <f t="shared" si="104"/>
        <v/>
      </c>
      <c r="M401" s="7" t="str">
        <f t="shared" si="101"/>
        <v/>
      </c>
      <c r="N401" s="7" t="str">
        <f t="shared" si="102"/>
        <v/>
      </c>
      <c r="O401" s="7" t="str">
        <f t="shared" si="91"/>
        <v/>
      </c>
    </row>
    <row r="402" spans="1:15">
      <c r="A402" t="s">
        <v>77</v>
      </c>
      <c r="B402" s="53"/>
      <c r="C402" s="53"/>
      <c r="D402" s="43"/>
      <c r="E402" s="43"/>
      <c r="F402" s="43"/>
      <c r="G402" s="44">
        <v>1</v>
      </c>
      <c r="H402" s="44">
        <f>ROUNDUP(($T$363-0.25)/0.15,0)</f>
        <v>45</v>
      </c>
      <c r="I402" s="44">
        <v>6</v>
      </c>
      <c r="J402" s="44">
        <f>E398+22*I402/1000</f>
        <v>0.38200000000000001</v>
      </c>
      <c r="K402" s="7">
        <f t="shared" si="103"/>
        <v>17.190000000000001</v>
      </c>
      <c r="L402" s="7" t="str">
        <f t="shared" si="104"/>
        <v/>
      </c>
      <c r="M402" s="7" t="str">
        <f t="shared" si="101"/>
        <v/>
      </c>
      <c r="N402" s="7" t="str">
        <f t="shared" si="102"/>
        <v/>
      </c>
      <c r="O402" s="7" t="str">
        <f t="shared" si="91"/>
        <v/>
      </c>
    </row>
    <row r="403" spans="1:15">
      <c r="B403" s="53" t="s">
        <v>7</v>
      </c>
      <c r="C403" s="53">
        <v>7</v>
      </c>
      <c r="D403" s="43" t="s">
        <v>24</v>
      </c>
      <c r="E403" s="43">
        <v>0.25</v>
      </c>
      <c r="F403" s="43">
        <v>0.35</v>
      </c>
      <c r="G403" s="44"/>
      <c r="H403" s="44"/>
      <c r="I403" s="44"/>
      <c r="J403" s="44"/>
      <c r="K403" s="7" t="str">
        <f t="shared" si="103"/>
        <v/>
      </c>
      <c r="L403" s="7" t="str">
        <f t="shared" si="104"/>
        <v/>
      </c>
      <c r="M403" s="7" t="str">
        <f t="shared" si="101"/>
        <v/>
      </c>
      <c r="N403" s="7" t="str">
        <f t="shared" si="102"/>
        <v/>
      </c>
      <c r="O403" s="7" t="str">
        <f t="shared" si="91"/>
        <v/>
      </c>
    </row>
    <row r="404" spans="1:15">
      <c r="A404" t="s">
        <v>86</v>
      </c>
      <c r="B404" s="53"/>
      <c r="C404" s="53"/>
      <c r="D404" s="43"/>
      <c r="E404" s="43"/>
      <c r="F404" s="43"/>
      <c r="G404" s="44">
        <v>1</v>
      </c>
      <c r="H404" s="44">
        <v>12</v>
      </c>
      <c r="I404" s="44">
        <v>14</v>
      </c>
      <c r="J404" s="44">
        <f>$T$363</f>
        <v>7</v>
      </c>
      <c r="K404" s="7" t="str">
        <f t="shared" si="103"/>
        <v/>
      </c>
      <c r="L404" s="7" t="str">
        <f t="shared" si="104"/>
        <v/>
      </c>
      <c r="M404" s="7" t="str">
        <f t="shared" si="101"/>
        <v/>
      </c>
      <c r="N404" s="7" t="str">
        <f t="shared" si="102"/>
        <v/>
      </c>
      <c r="O404" s="7">
        <f t="shared" si="91"/>
        <v>84</v>
      </c>
    </row>
    <row r="405" spans="1:15">
      <c r="A405" t="s">
        <v>76</v>
      </c>
      <c r="B405" s="53"/>
      <c r="C405" s="53"/>
      <c r="D405" s="43"/>
      <c r="E405" s="43"/>
      <c r="F405" s="43"/>
      <c r="G405" s="44">
        <v>1</v>
      </c>
      <c r="H405" s="44">
        <f>ROUNDUP(($T$363-0.25)/0.15,0)</f>
        <v>45</v>
      </c>
      <c r="I405" s="44">
        <v>6</v>
      </c>
      <c r="J405" s="44">
        <f>2*(E403+F403)+20.5*I405/1000</f>
        <v>1.323</v>
      </c>
      <c r="K405" s="7">
        <f t="shared" si="103"/>
        <v>59.534999999999997</v>
      </c>
      <c r="L405" s="7" t="str">
        <f t="shared" si="104"/>
        <v/>
      </c>
      <c r="M405" s="7" t="str">
        <f t="shared" si="101"/>
        <v/>
      </c>
      <c r="N405" s="7" t="str">
        <f t="shared" si="102"/>
        <v/>
      </c>
      <c r="O405" s="7" t="str">
        <f t="shared" si="91"/>
        <v/>
      </c>
    </row>
    <row r="406" spans="1:15">
      <c r="A406" t="s">
        <v>77</v>
      </c>
      <c r="B406" s="53"/>
      <c r="C406" s="53"/>
      <c r="D406" s="43"/>
      <c r="E406" s="43"/>
      <c r="F406" s="43"/>
      <c r="G406" s="44">
        <v>1</v>
      </c>
      <c r="H406" s="44">
        <f>ROUNDUP(($T$363-0.25)/0.15,0)</f>
        <v>45</v>
      </c>
      <c r="I406" s="44">
        <v>6</v>
      </c>
      <c r="J406" s="44">
        <f>E402+22*I406/1000</f>
        <v>0.13200000000000001</v>
      </c>
      <c r="K406" s="7">
        <f t="shared" si="103"/>
        <v>5.94</v>
      </c>
      <c r="L406" s="7" t="str">
        <f t="shared" si="104"/>
        <v/>
      </c>
      <c r="M406" s="7" t="str">
        <f t="shared" si="101"/>
        <v/>
      </c>
      <c r="N406" s="7" t="str">
        <f t="shared" si="102"/>
        <v/>
      </c>
      <c r="O406" s="7" t="str">
        <f t="shared" si="91"/>
        <v/>
      </c>
    </row>
    <row r="407" spans="1:15">
      <c r="B407" s="53" t="s">
        <v>7</v>
      </c>
      <c r="C407" s="53">
        <v>8</v>
      </c>
      <c r="D407" s="43" t="s">
        <v>24</v>
      </c>
      <c r="E407" s="43">
        <v>0.25</v>
      </c>
      <c r="F407" s="43">
        <v>0.35</v>
      </c>
      <c r="G407" s="44"/>
      <c r="H407" s="44"/>
      <c r="I407" s="44"/>
      <c r="J407" s="44"/>
      <c r="K407" s="7" t="str">
        <f t="shared" si="103"/>
        <v/>
      </c>
      <c r="L407" s="7" t="str">
        <f t="shared" si="104"/>
        <v/>
      </c>
      <c r="M407" s="7" t="str">
        <f t="shared" si="101"/>
        <v/>
      </c>
      <c r="N407" s="7" t="str">
        <f t="shared" si="102"/>
        <v/>
      </c>
      <c r="O407" s="7" t="str">
        <f t="shared" si="91"/>
        <v/>
      </c>
    </row>
    <row r="408" spans="1:15">
      <c r="A408" t="s">
        <v>86</v>
      </c>
      <c r="B408" s="53"/>
      <c r="C408" s="53"/>
      <c r="D408" s="43"/>
      <c r="E408" s="43"/>
      <c r="F408" s="43"/>
      <c r="G408" s="44">
        <v>1</v>
      </c>
      <c r="H408" s="44">
        <v>4</v>
      </c>
      <c r="I408" s="44">
        <v>14</v>
      </c>
      <c r="J408" s="44">
        <f>$T$363</f>
        <v>7</v>
      </c>
      <c r="K408" s="7" t="str">
        <f t="shared" si="103"/>
        <v/>
      </c>
      <c r="L408" s="7" t="str">
        <f t="shared" si="104"/>
        <v/>
      </c>
      <c r="M408" s="7" t="str">
        <f t="shared" si="101"/>
        <v/>
      </c>
      <c r="N408" s="7" t="str">
        <f t="shared" si="102"/>
        <v/>
      </c>
      <c r="O408" s="7">
        <f t="shared" si="91"/>
        <v>28</v>
      </c>
    </row>
    <row r="409" spans="1:15">
      <c r="A409" t="s">
        <v>86</v>
      </c>
      <c r="B409" s="53"/>
      <c r="C409" s="53"/>
      <c r="D409" s="43"/>
      <c r="E409" s="43"/>
      <c r="F409" s="43"/>
      <c r="G409" s="44">
        <v>1</v>
      </c>
      <c r="H409" s="44">
        <v>2</v>
      </c>
      <c r="I409" s="44">
        <v>10</v>
      </c>
      <c r="J409" s="44">
        <f>$T$363</f>
        <v>7</v>
      </c>
      <c r="K409" s="7" t="str">
        <f t="shared" si="103"/>
        <v/>
      </c>
      <c r="L409" s="7" t="str">
        <f t="shared" si="104"/>
        <v/>
      </c>
      <c r="M409" s="7">
        <f t="shared" si="101"/>
        <v>14</v>
      </c>
      <c r="N409" s="7" t="str">
        <f t="shared" si="102"/>
        <v/>
      </c>
      <c r="O409" s="7" t="str">
        <f t="shared" si="91"/>
        <v/>
      </c>
    </row>
    <row r="410" spans="1:15">
      <c r="A410" t="s">
        <v>76</v>
      </c>
      <c r="B410" s="53"/>
      <c r="C410" s="53"/>
      <c r="D410" s="43"/>
      <c r="E410" s="43"/>
      <c r="F410" s="43"/>
      <c r="G410" s="44">
        <v>1</v>
      </c>
      <c r="H410" s="44">
        <f>ROUNDUP(($T$363-0.25)/0.15,0)</f>
        <v>45</v>
      </c>
      <c r="I410" s="44">
        <v>6</v>
      </c>
      <c r="J410" s="44">
        <f>2*(E407+F407)+20.5*I410/1000</f>
        <v>1.323</v>
      </c>
      <c r="K410" s="7">
        <f t="shared" si="103"/>
        <v>59.534999999999997</v>
      </c>
      <c r="L410" s="7" t="str">
        <f t="shared" si="104"/>
        <v/>
      </c>
      <c r="M410" s="7" t="str">
        <f t="shared" si="101"/>
        <v/>
      </c>
      <c r="N410" s="7" t="str">
        <f t="shared" si="102"/>
        <v/>
      </c>
      <c r="O410" s="7" t="str">
        <f t="shared" si="91"/>
        <v/>
      </c>
    </row>
    <row r="411" spans="1:15">
      <c r="A411" t="s">
        <v>77</v>
      </c>
      <c r="B411" s="53"/>
      <c r="C411" s="53"/>
      <c r="D411" s="43"/>
      <c r="E411" s="43"/>
      <c r="F411" s="43"/>
      <c r="G411" s="44">
        <v>1</v>
      </c>
      <c r="H411" s="44">
        <f>ROUNDUP(($T$363-0.25)/0.15,0)</f>
        <v>45</v>
      </c>
      <c r="I411" s="44">
        <v>6</v>
      </c>
      <c r="J411" s="44">
        <f>E407+22*I411/1000</f>
        <v>0.38200000000000001</v>
      </c>
      <c r="K411" s="7">
        <f t="shared" si="103"/>
        <v>17.190000000000001</v>
      </c>
      <c r="L411" s="7" t="str">
        <f t="shared" si="104"/>
        <v/>
      </c>
      <c r="M411" s="7" t="str">
        <f t="shared" si="101"/>
        <v/>
      </c>
      <c r="N411" s="7" t="str">
        <f t="shared" si="102"/>
        <v/>
      </c>
      <c r="O411" s="7" t="str">
        <f t="shared" si="91"/>
        <v/>
      </c>
    </row>
    <row r="412" spans="1:15">
      <c r="B412" s="53" t="s">
        <v>10</v>
      </c>
      <c r="C412" s="53">
        <v>5</v>
      </c>
      <c r="D412" s="43" t="s">
        <v>44</v>
      </c>
      <c r="E412" s="43">
        <v>0.35</v>
      </c>
      <c r="F412" s="43">
        <v>0.35</v>
      </c>
      <c r="G412" s="44"/>
      <c r="H412" s="44"/>
      <c r="I412" s="44"/>
      <c r="J412" s="44"/>
      <c r="K412" s="7" t="str">
        <f t="shared" si="103"/>
        <v/>
      </c>
      <c r="L412" s="7" t="str">
        <f t="shared" si="104"/>
        <v/>
      </c>
      <c r="M412" s="7" t="str">
        <f t="shared" si="101"/>
        <v/>
      </c>
      <c r="N412" s="7" t="str">
        <f t="shared" si="102"/>
        <v/>
      </c>
      <c r="O412" s="7" t="str">
        <f t="shared" si="91"/>
        <v/>
      </c>
    </row>
    <row r="413" spans="1:15">
      <c r="A413" t="s">
        <v>86</v>
      </c>
      <c r="B413" s="53"/>
      <c r="C413" s="53"/>
      <c r="D413" s="43"/>
      <c r="E413" s="43"/>
      <c r="F413" s="43"/>
      <c r="G413" s="44">
        <v>1</v>
      </c>
      <c r="H413" s="44">
        <v>6</v>
      </c>
      <c r="I413" s="44">
        <v>14</v>
      </c>
      <c r="J413" s="44">
        <f>$T$363</f>
        <v>7</v>
      </c>
      <c r="K413" s="7" t="str">
        <f t="shared" si="103"/>
        <v/>
      </c>
      <c r="L413" s="7" t="str">
        <f t="shared" si="104"/>
        <v/>
      </c>
      <c r="M413" s="7" t="str">
        <f t="shared" si="101"/>
        <v/>
      </c>
      <c r="N413" s="7" t="str">
        <f t="shared" si="102"/>
        <v/>
      </c>
      <c r="O413" s="7">
        <f t="shared" si="91"/>
        <v>42</v>
      </c>
    </row>
    <row r="414" spans="1:15">
      <c r="A414" t="s">
        <v>76</v>
      </c>
      <c r="B414" s="53"/>
      <c r="C414" s="53"/>
      <c r="D414" s="43"/>
      <c r="E414" s="43"/>
      <c r="F414" s="43"/>
      <c r="G414" s="44">
        <v>1</v>
      </c>
      <c r="H414" s="44">
        <f>ROUNDUP(($T$363-0.25)/0.15,0)</f>
        <v>45</v>
      </c>
      <c r="I414" s="44">
        <v>6</v>
      </c>
      <c r="J414" s="44">
        <f>2*(E412+F412)+20.5*I414/1000</f>
        <v>1.5229999999999999</v>
      </c>
      <c r="K414" s="7">
        <f t="shared" si="103"/>
        <v>68.534999999999997</v>
      </c>
      <c r="L414" s="7" t="str">
        <f t="shared" si="104"/>
        <v/>
      </c>
      <c r="M414" s="7" t="str">
        <f t="shared" si="101"/>
        <v/>
      </c>
      <c r="N414" s="7" t="str">
        <f t="shared" si="102"/>
        <v/>
      </c>
      <c r="O414" s="7" t="str">
        <f t="shared" si="91"/>
        <v/>
      </c>
    </row>
    <row r="415" spans="1:15">
      <c r="A415" t="s">
        <v>77</v>
      </c>
      <c r="B415" s="53"/>
      <c r="C415" s="53"/>
      <c r="D415" s="43"/>
      <c r="E415" s="43"/>
      <c r="F415" s="43"/>
      <c r="G415" s="44">
        <v>1</v>
      </c>
      <c r="H415" s="44">
        <f>ROUNDUP(($T$363-0.25)/0.15,0)</f>
        <v>45</v>
      </c>
      <c r="I415" s="44">
        <v>6</v>
      </c>
      <c r="J415" s="44">
        <f>E412+22*I415/1000</f>
        <v>0.48199999999999998</v>
      </c>
      <c r="K415" s="7">
        <f t="shared" si="103"/>
        <v>21.689999999999998</v>
      </c>
      <c r="L415" s="7" t="str">
        <f t="shared" si="104"/>
        <v/>
      </c>
      <c r="M415" s="7" t="str">
        <f t="shared" si="101"/>
        <v/>
      </c>
      <c r="N415" s="7" t="str">
        <f t="shared" si="102"/>
        <v/>
      </c>
      <c r="O415" s="7" t="str">
        <f t="shared" si="91"/>
        <v/>
      </c>
    </row>
    <row r="416" spans="1:15">
      <c r="B416" s="53" t="s">
        <v>9</v>
      </c>
      <c r="C416" s="53">
        <v>6</v>
      </c>
      <c r="D416" s="43" t="s">
        <v>24</v>
      </c>
      <c r="E416" s="43">
        <v>0.25</v>
      </c>
      <c r="F416" s="43">
        <v>0.35</v>
      </c>
      <c r="G416" s="44"/>
      <c r="H416" s="44"/>
      <c r="I416" s="44"/>
      <c r="J416" s="44"/>
      <c r="K416" s="7" t="str">
        <f t="shared" si="103"/>
        <v/>
      </c>
      <c r="L416" s="7" t="str">
        <f t="shared" si="104"/>
        <v/>
      </c>
      <c r="M416" s="7" t="str">
        <f t="shared" si="101"/>
        <v/>
      </c>
      <c r="N416" s="7" t="str">
        <f t="shared" si="102"/>
        <v/>
      </c>
      <c r="O416" s="7" t="str">
        <f t="shared" si="91"/>
        <v/>
      </c>
    </row>
    <row r="417" spans="1:19">
      <c r="A417" t="s">
        <v>86</v>
      </c>
      <c r="B417" s="53"/>
      <c r="C417" s="53"/>
      <c r="D417" s="43"/>
      <c r="E417" s="43"/>
      <c r="F417" s="43"/>
      <c r="G417" s="44">
        <v>1</v>
      </c>
      <c r="H417" s="44">
        <v>6</v>
      </c>
      <c r="I417" s="44">
        <v>14</v>
      </c>
      <c r="J417" s="44">
        <f>$T$363</f>
        <v>7</v>
      </c>
      <c r="K417" s="7" t="str">
        <f t="shared" si="103"/>
        <v/>
      </c>
      <c r="L417" s="7" t="str">
        <f t="shared" si="104"/>
        <v/>
      </c>
      <c r="M417" s="7" t="str">
        <f t="shared" si="101"/>
        <v/>
      </c>
      <c r="N417" s="7" t="str">
        <f t="shared" si="102"/>
        <v/>
      </c>
      <c r="O417" s="7">
        <f t="shared" si="91"/>
        <v>42</v>
      </c>
    </row>
    <row r="418" spans="1:19">
      <c r="A418" t="s">
        <v>76</v>
      </c>
      <c r="B418" s="53"/>
      <c r="C418" s="53"/>
      <c r="D418" s="43"/>
      <c r="E418" s="43"/>
      <c r="F418" s="43"/>
      <c r="G418" s="44">
        <v>1</v>
      </c>
      <c r="H418" s="44">
        <f>ROUNDUP(($T$363-0.25)/0.15,0)</f>
        <v>45</v>
      </c>
      <c r="I418" s="44">
        <v>6</v>
      </c>
      <c r="J418" s="44">
        <f>2*(E416+F416)+20.5*I418/1000</f>
        <v>1.323</v>
      </c>
      <c r="K418" s="7">
        <f t="shared" si="103"/>
        <v>59.534999999999997</v>
      </c>
      <c r="L418" s="7" t="str">
        <f t="shared" si="104"/>
        <v/>
      </c>
      <c r="M418" s="7" t="str">
        <f t="shared" si="101"/>
        <v/>
      </c>
      <c r="N418" s="7" t="str">
        <f t="shared" si="102"/>
        <v/>
      </c>
      <c r="O418" s="7" t="str">
        <f t="shared" si="91"/>
        <v/>
      </c>
    </row>
    <row r="419" spans="1:19">
      <c r="A419" t="s">
        <v>77</v>
      </c>
      <c r="B419" s="53"/>
      <c r="C419" s="53"/>
      <c r="D419" s="43"/>
      <c r="E419" s="43"/>
      <c r="F419" s="43"/>
      <c r="G419" s="44">
        <v>1</v>
      </c>
      <c r="H419" s="44">
        <f>ROUNDUP(($T$363-0.25)/0.15,0)</f>
        <v>45</v>
      </c>
      <c r="I419" s="44">
        <v>6</v>
      </c>
      <c r="J419" s="44">
        <f>E416+22*I419/1000</f>
        <v>0.38200000000000001</v>
      </c>
      <c r="K419" s="7">
        <f t="shared" si="103"/>
        <v>17.190000000000001</v>
      </c>
      <c r="L419" s="7" t="str">
        <f t="shared" si="104"/>
        <v/>
      </c>
      <c r="M419" s="7" t="str">
        <f t="shared" si="101"/>
        <v/>
      </c>
      <c r="N419" s="7" t="str">
        <f t="shared" si="102"/>
        <v/>
      </c>
      <c r="O419" s="7" t="str">
        <f t="shared" si="91"/>
        <v/>
      </c>
    </row>
    <row r="420" spans="1:19">
      <c r="B420" s="53" t="s">
        <v>9</v>
      </c>
      <c r="C420" s="53">
        <v>7</v>
      </c>
      <c r="D420" s="43" t="s">
        <v>24</v>
      </c>
      <c r="E420" s="43">
        <v>0.25</v>
      </c>
      <c r="F420" s="43">
        <v>0.35</v>
      </c>
      <c r="G420" s="44"/>
      <c r="H420" s="44"/>
      <c r="I420" s="44"/>
      <c r="J420" s="44"/>
      <c r="K420" s="7" t="str">
        <f t="shared" si="103"/>
        <v/>
      </c>
      <c r="L420" s="7" t="str">
        <f t="shared" si="104"/>
        <v/>
      </c>
      <c r="M420" s="7" t="str">
        <f t="shared" si="101"/>
        <v/>
      </c>
      <c r="N420" s="7" t="str">
        <f t="shared" si="102"/>
        <v/>
      </c>
      <c r="O420" s="7" t="str">
        <f t="shared" si="91"/>
        <v/>
      </c>
    </row>
    <row r="421" spans="1:19">
      <c r="A421" t="s">
        <v>86</v>
      </c>
      <c r="B421" s="53"/>
      <c r="C421" s="53"/>
      <c r="D421" s="43"/>
      <c r="E421" s="43"/>
      <c r="F421" s="43"/>
      <c r="G421" s="44">
        <v>1</v>
      </c>
      <c r="H421" s="44">
        <v>6</v>
      </c>
      <c r="I421" s="44">
        <v>14</v>
      </c>
      <c r="J421" s="44">
        <f>$T$363</f>
        <v>7</v>
      </c>
      <c r="K421" s="7" t="str">
        <f t="shared" si="103"/>
        <v/>
      </c>
      <c r="L421" s="7" t="str">
        <f t="shared" si="104"/>
        <v/>
      </c>
      <c r="M421" s="7" t="str">
        <f t="shared" si="101"/>
        <v/>
      </c>
      <c r="N421" s="7" t="str">
        <f t="shared" si="102"/>
        <v/>
      </c>
      <c r="O421" s="7">
        <f t="shared" si="91"/>
        <v>42</v>
      </c>
    </row>
    <row r="422" spans="1:19">
      <c r="A422" t="s">
        <v>76</v>
      </c>
      <c r="B422" s="53"/>
      <c r="C422" s="53"/>
      <c r="D422" s="43"/>
      <c r="E422" s="43"/>
      <c r="F422" s="43"/>
      <c r="G422" s="44">
        <v>1</v>
      </c>
      <c r="H422" s="44">
        <f>ROUNDUP(($T$363-0.25)/0.15,0)</f>
        <v>45</v>
      </c>
      <c r="I422" s="44">
        <v>6</v>
      </c>
      <c r="J422" s="44">
        <f>2*(E420+F420)+20.5*I422/1000</f>
        <v>1.323</v>
      </c>
      <c r="K422" s="7">
        <f t="shared" si="103"/>
        <v>59.534999999999997</v>
      </c>
      <c r="L422" s="7" t="str">
        <f t="shared" si="104"/>
        <v/>
      </c>
      <c r="M422" s="7" t="str">
        <f t="shared" si="101"/>
        <v/>
      </c>
      <c r="N422" s="7" t="str">
        <f t="shared" si="102"/>
        <v/>
      </c>
      <c r="O422" s="7" t="str">
        <f t="shared" si="91"/>
        <v/>
      </c>
    </row>
    <row r="423" spans="1:19">
      <c r="A423" t="s">
        <v>77</v>
      </c>
      <c r="B423" s="53"/>
      <c r="C423" s="53"/>
      <c r="D423" s="43"/>
      <c r="E423" s="43"/>
      <c r="F423" s="43"/>
      <c r="G423" s="44">
        <v>1</v>
      </c>
      <c r="H423" s="44">
        <f>ROUNDUP(($T$363-0.25)/0.15,0)</f>
        <v>45</v>
      </c>
      <c r="I423" s="44">
        <v>6</v>
      </c>
      <c r="J423" s="44">
        <f>E420+22*I423/1000</f>
        <v>0.38200000000000001</v>
      </c>
      <c r="K423" s="7">
        <f t="shared" si="103"/>
        <v>17.190000000000001</v>
      </c>
      <c r="L423" s="7" t="str">
        <f t="shared" si="104"/>
        <v/>
      </c>
      <c r="M423" s="7" t="str">
        <f t="shared" si="101"/>
        <v/>
      </c>
      <c r="N423" s="7" t="str">
        <f t="shared" si="102"/>
        <v/>
      </c>
      <c r="O423" s="7" t="str">
        <f t="shared" si="91"/>
        <v/>
      </c>
    </row>
    <row r="424" spans="1:19">
      <c r="B424" s="53" t="s">
        <v>9</v>
      </c>
      <c r="C424" s="53">
        <v>8</v>
      </c>
      <c r="D424" s="43" t="s">
        <v>24</v>
      </c>
      <c r="E424" s="43">
        <v>0.25</v>
      </c>
      <c r="F424" s="43">
        <v>0.35</v>
      </c>
      <c r="G424" s="44"/>
      <c r="H424" s="44"/>
      <c r="I424" s="44"/>
      <c r="J424" s="44"/>
      <c r="K424" s="7" t="str">
        <f t="shared" si="103"/>
        <v/>
      </c>
      <c r="L424" s="7" t="str">
        <f t="shared" si="104"/>
        <v/>
      </c>
      <c r="M424" s="7" t="str">
        <f t="shared" si="101"/>
        <v/>
      </c>
      <c r="N424" s="7" t="str">
        <f t="shared" si="102"/>
        <v/>
      </c>
      <c r="O424" s="7" t="str">
        <f t="shared" si="91"/>
        <v/>
      </c>
      <c r="P424" s="7" t="str">
        <f t="shared" si="93"/>
        <v/>
      </c>
      <c r="S424" s="7" t="str">
        <f t="shared" ref="S424:S432" si="105">IF(I424=32,G424*H424*J424,"")</f>
        <v/>
      </c>
    </row>
    <row r="425" spans="1:19">
      <c r="A425" t="s">
        <v>86</v>
      </c>
      <c r="B425" s="53"/>
      <c r="C425" s="53"/>
      <c r="D425" s="43"/>
      <c r="E425" s="43"/>
      <c r="F425" s="43"/>
      <c r="G425" s="44">
        <v>1</v>
      </c>
      <c r="H425" s="44">
        <v>6</v>
      </c>
      <c r="I425" s="44">
        <v>14</v>
      </c>
      <c r="J425" s="44">
        <f>$T$363</f>
        <v>7</v>
      </c>
      <c r="K425" s="7" t="str">
        <f t="shared" si="103"/>
        <v/>
      </c>
      <c r="L425" s="7" t="str">
        <f t="shared" si="104"/>
        <v/>
      </c>
      <c r="M425" s="7" t="str">
        <f t="shared" si="101"/>
        <v/>
      </c>
      <c r="N425" s="7" t="str">
        <f t="shared" si="102"/>
        <v/>
      </c>
      <c r="O425" s="7">
        <f t="shared" si="91"/>
        <v>42</v>
      </c>
      <c r="P425" s="7" t="str">
        <f t="shared" si="93"/>
        <v/>
      </c>
      <c r="S425" s="7" t="str">
        <f t="shared" si="105"/>
        <v/>
      </c>
    </row>
    <row r="426" spans="1:19">
      <c r="A426" t="s">
        <v>76</v>
      </c>
      <c r="B426" s="53"/>
      <c r="C426" s="53"/>
      <c r="D426" s="43"/>
      <c r="E426" s="43"/>
      <c r="F426" s="43"/>
      <c r="G426" s="44">
        <v>1</v>
      </c>
      <c r="H426" s="44">
        <f>ROUNDUP(($T$363-0.25)/0.15,0)</f>
        <v>45</v>
      </c>
      <c r="I426" s="44">
        <v>6</v>
      </c>
      <c r="J426" s="44">
        <f>2*(E424+F424)+20.5*I426/1000</f>
        <v>1.323</v>
      </c>
      <c r="K426" s="7">
        <f t="shared" si="103"/>
        <v>59.534999999999997</v>
      </c>
      <c r="L426" s="7" t="str">
        <f t="shared" si="104"/>
        <v/>
      </c>
      <c r="M426" s="7" t="str">
        <f t="shared" si="101"/>
        <v/>
      </c>
      <c r="N426" s="7" t="str">
        <f t="shared" si="102"/>
        <v/>
      </c>
      <c r="O426" s="7" t="str">
        <f t="shared" si="91"/>
        <v/>
      </c>
      <c r="P426" s="7" t="str">
        <f t="shared" si="93"/>
        <v/>
      </c>
      <c r="S426" s="7" t="str">
        <f t="shared" si="105"/>
        <v/>
      </c>
    </row>
    <row r="427" spans="1:19">
      <c r="A427" t="s">
        <v>77</v>
      </c>
      <c r="B427" s="53"/>
      <c r="C427" s="53"/>
      <c r="D427" s="43"/>
      <c r="E427" s="43"/>
      <c r="F427" s="43"/>
      <c r="G427" s="44">
        <v>1</v>
      </c>
      <c r="H427" s="44">
        <f>ROUNDUP(($T$363-0.25)/0.15,0)</f>
        <v>45</v>
      </c>
      <c r="I427" s="44">
        <v>6</v>
      </c>
      <c r="J427" s="44">
        <f>E424+22*I427/1000</f>
        <v>0.38200000000000001</v>
      </c>
      <c r="K427" s="7">
        <f t="shared" si="103"/>
        <v>17.190000000000001</v>
      </c>
      <c r="L427" s="7" t="str">
        <f t="shared" si="104"/>
        <v/>
      </c>
      <c r="M427" s="7" t="str">
        <f t="shared" ref="M427:M458" si="106">IF(I427=10,G427*H427*J427,"")</f>
        <v/>
      </c>
      <c r="N427" s="7" t="str">
        <f t="shared" ref="N427:N458" si="107">IF(I427=12,G427*H427*J427,"")</f>
        <v/>
      </c>
      <c r="O427" s="7" t="str">
        <f t="shared" si="91"/>
        <v/>
      </c>
      <c r="P427" s="7" t="str">
        <f t="shared" si="93"/>
        <v/>
      </c>
      <c r="S427" s="7" t="str">
        <f t="shared" si="105"/>
        <v/>
      </c>
    </row>
    <row r="428" spans="1:19">
      <c r="A428" s="45"/>
      <c r="B428" s="53" t="s">
        <v>11</v>
      </c>
      <c r="C428" s="53">
        <v>1</v>
      </c>
      <c r="D428" s="43" t="s">
        <v>43</v>
      </c>
      <c r="E428" s="43">
        <v>0.3</v>
      </c>
      <c r="F428" s="43">
        <v>0.3</v>
      </c>
      <c r="G428" s="44"/>
      <c r="H428" s="44"/>
      <c r="I428" s="44"/>
      <c r="J428" s="44"/>
      <c r="K428" s="7" t="str">
        <f t="shared" ref="K428:K458" si="108">IF(I428=6,G428*H428*J428,"")</f>
        <v/>
      </c>
      <c r="L428" s="7" t="str">
        <f t="shared" si="104"/>
        <v/>
      </c>
      <c r="M428" s="7" t="str">
        <f t="shared" si="106"/>
        <v/>
      </c>
      <c r="N428" s="7" t="str">
        <f t="shared" si="107"/>
        <v/>
      </c>
      <c r="O428" s="7" t="str">
        <f t="shared" si="91"/>
        <v/>
      </c>
      <c r="P428" s="7" t="str">
        <f t="shared" si="93"/>
        <v/>
      </c>
      <c r="S428" s="7" t="str">
        <f t="shared" si="105"/>
        <v/>
      </c>
    </row>
    <row r="429" spans="1:19">
      <c r="A429" t="s">
        <v>86</v>
      </c>
      <c r="B429" s="53"/>
      <c r="C429" s="53"/>
      <c r="D429" s="43"/>
      <c r="E429" s="43"/>
      <c r="F429" s="43"/>
      <c r="G429" s="44">
        <v>1</v>
      </c>
      <c r="H429" s="44">
        <v>6</v>
      </c>
      <c r="I429" s="44">
        <v>14</v>
      </c>
      <c r="J429" s="44">
        <f>$T$363</f>
        <v>7</v>
      </c>
      <c r="K429" s="7" t="str">
        <f t="shared" si="108"/>
        <v/>
      </c>
      <c r="L429" s="7" t="str">
        <f t="shared" si="104"/>
        <v/>
      </c>
      <c r="M429" s="7" t="str">
        <f t="shared" si="106"/>
        <v/>
      </c>
      <c r="N429" s="7" t="str">
        <f t="shared" si="107"/>
        <v/>
      </c>
      <c r="O429" s="7">
        <f t="shared" si="91"/>
        <v>42</v>
      </c>
      <c r="P429" s="7" t="str">
        <f t="shared" si="93"/>
        <v/>
      </c>
      <c r="S429" s="7" t="str">
        <f t="shared" si="105"/>
        <v/>
      </c>
    </row>
    <row r="430" spans="1:19">
      <c r="A430" t="s">
        <v>76</v>
      </c>
      <c r="B430" s="53"/>
      <c r="C430" s="53"/>
      <c r="D430" s="43"/>
      <c r="E430" s="43"/>
      <c r="F430" s="43"/>
      <c r="G430" s="44">
        <v>1</v>
      </c>
      <c r="H430" s="44">
        <f>ROUNDUP(($T$363-0.25)/0.15,0)</f>
        <v>45</v>
      </c>
      <c r="I430" s="44">
        <v>6</v>
      </c>
      <c r="J430" s="44">
        <f>2*(E428+F428)+20.5*I430/1000</f>
        <v>1.323</v>
      </c>
      <c r="K430" s="7">
        <f t="shared" si="108"/>
        <v>59.534999999999997</v>
      </c>
      <c r="L430" s="7" t="str">
        <f t="shared" si="104"/>
        <v/>
      </c>
      <c r="M430" s="7" t="str">
        <f t="shared" si="106"/>
        <v/>
      </c>
      <c r="N430" s="7" t="str">
        <f t="shared" si="107"/>
        <v/>
      </c>
      <c r="O430" s="7" t="str">
        <f t="shared" si="91"/>
        <v/>
      </c>
      <c r="P430" s="7" t="str">
        <f t="shared" si="93"/>
        <v/>
      </c>
      <c r="S430" s="7" t="str">
        <f t="shared" si="105"/>
        <v/>
      </c>
    </row>
    <row r="431" spans="1:19">
      <c r="A431" t="s">
        <v>77</v>
      </c>
      <c r="B431" s="53"/>
      <c r="C431" s="53"/>
      <c r="D431" s="43"/>
      <c r="E431" s="43"/>
      <c r="F431" s="43"/>
      <c r="G431" s="44">
        <v>1</v>
      </c>
      <c r="H431" s="44">
        <f>ROUNDUP(($T$363-0.25)/0.15,0)</f>
        <v>45</v>
      </c>
      <c r="I431" s="44">
        <v>6</v>
      </c>
      <c r="J431" s="44">
        <f>E428+22*I431/1000</f>
        <v>0.432</v>
      </c>
      <c r="K431" s="7">
        <f t="shared" si="108"/>
        <v>19.440000000000001</v>
      </c>
      <c r="L431" s="7" t="str">
        <f t="shared" si="104"/>
        <v/>
      </c>
      <c r="M431" s="7" t="str">
        <f t="shared" si="106"/>
        <v/>
      </c>
      <c r="N431" s="7" t="str">
        <f t="shared" si="107"/>
        <v/>
      </c>
      <c r="O431" s="7" t="str">
        <f t="shared" si="91"/>
        <v/>
      </c>
      <c r="P431" s="7" t="str">
        <f t="shared" si="93"/>
        <v/>
      </c>
      <c r="S431" s="7" t="str">
        <f t="shared" si="105"/>
        <v/>
      </c>
    </row>
    <row r="432" spans="1:19">
      <c r="A432" s="45"/>
      <c r="B432" s="53" t="s">
        <v>11</v>
      </c>
      <c r="C432" s="53">
        <v>2</v>
      </c>
      <c r="D432" s="43" t="s">
        <v>42</v>
      </c>
      <c r="E432" s="43">
        <v>0.4</v>
      </c>
      <c r="F432" s="43">
        <v>0.4</v>
      </c>
      <c r="G432" s="44"/>
      <c r="H432" s="44"/>
      <c r="I432" s="44"/>
      <c r="J432" s="44"/>
      <c r="K432" s="7" t="str">
        <f t="shared" si="108"/>
        <v/>
      </c>
      <c r="L432" s="7" t="str">
        <f t="shared" si="104"/>
        <v/>
      </c>
      <c r="M432" s="7" t="str">
        <f t="shared" si="106"/>
        <v/>
      </c>
      <c r="N432" s="7" t="str">
        <f t="shared" si="107"/>
        <v/>
      </c>
      <c r="O432" s="7" t="str">
        <f t="shared" ref="O432:O458" si="109">IF(I432=14,G432*H432*J432,"")</f>
        <v/>
      </c>
      <c r="P432" s="7" t="str">
        <f t="shared" si="93"/>
        <v/>
      </c>
      <c r="S432" s="7" t="str">
        <f t="shared" si="105"/>
        <v/>
      </c>
    </row>
    <row r="433" spans="1:16">
      <c r="A433" t="s">
        <v>86</v>
      </c>
      <c r="B433" s="53"/>
      <c r="C433" s="53"/>
      <c r="D433" s="43"/>
      <c r="E433" s="43"/>
      <c r="F433" s="43"/>
      <c r="G433" s="44">
        <v>1</v>
      </c>
      <c r="H433" s="44">
        <v>6</v>
      </c>
      <c r="I433" s="44">
        <v>14</v>
      </c>
      <c r="J433" s="44">
        <f>$T$363</f>
        <v>7</v>
      </c>
      <c r="K433" s="7" t="str">
        <f t="shared" si="108"/>
        <v/>
      </c>
      <c r="L433" s="7" t="str">
        <f t="shared" si="104"/>
        <v/>
      </c>
      <c r="M433" s="7" t="str">
        <f t="shared" si="106"/>
        <v/>
      </c>
      <c r="N433" s="7" t="str">
        <f t="shared" si="107"/>
        <v/>
      </c>
      <c r="O433" s="7">
        <f t="shared" si="109"/>
        <v>42</v>
      </c>
      <c r="P433" s="7" t="str">
        <f t="shared" si="93"/>
        <v/>
      </c>
    </row>
    <row r="434" spans="1:16">
      <c r="A434" t="s">
        <v>76</v>
      </c>
      <c r="B434" s="53"/>
      <c r="C434" s="53"/>
      <c r="D434" s="43"/>
      <c r="E434" s="43"/>
      <c r="F434" s="43"/>
      <c r="G434" s="44">
        <v>1</v>
      </c>
      <c r="H434" s="44">
        <f>ROUNDUP(($T$363-0.25)/0.15,0)</f>
        <v>45</v>
      </c>
      <c r="I434" s="44">
        <v>6</v>
      </c>
      <c r="J434" s="44">
        <f>2*(E432+F432)+20.5*I434/1000</f>
        <v>1.7230000000000001</v>
      </c>
      <c r="K434" s="7">
        <f t="shared" si="108"/>
        <v>77.535000000000011</v>
      </c>
      <c r="L434" s="7" t="str">
        <f t="shared" si="104"/>
        <v/>
      </c>
      <c r="M434" s="7" t="str">
        <f t="shared" si="106"/>
        <v/>
      </c>
      <c r="N434" s="7" t="str">
        <f t="shared" si="107"/>
        <v/>
      </c>
      <c r="O434" s="7" t="str">
        <f t="shared" si="109"/>
        <v/>
      </c>
      <c r="P434" s="7" t="str">
        <f t="shared" si="93"/>
        <v/>
      </c>
    </row>
    <row r="435" spans="1:16">
      <c r="A435" t="s">
        <v>77</v>
      </c>
      <c r="B435" s="53"/>
      <c r="C435" s="53"/>
      <c r="D435" s="43"/>
      <c r="E435" s="43"/>
      <c r="F435" s="43"/>
      <c r="G435" s="44">
        <v>1</v>
      </c>
      <c r="H435" s="44">
        <f>ROUNDUP(($T$363-0.25)/0.15,0)</f>
        <v>45</v>
      </c>
      <c r="I435" s="44">
        <v>6</v>
      </c>
      <c r="J435" s="44">
        <f>E432+22*I435/1000</f>
        <v>0.53200000000000003</v>
      </c>
      <c r="K435" s="7">
        <f t="shared" si="108"/>
        <v>23.94</v>
      </c>
      <c r="L435" s="7" t="str">
        <f t="shared" si="104"/>
        <v/>
      </c>
      <c r="M435" s="7" t="str">
        <f t="shared" si="106"/>
        <v/>
      </c>
      <c r="N435" s="7" t="str">
        <f t="shared" si="107"/>
        <v/>
      </c>
      <c r="O435" s="7" t="str">
        <f t="shared" si="109"/>
        <v/>
      </c>
      <c r="P435" s="7" t="str">
        <f t="shared" si="93"/>
        <v/>
      </c>
    </row>
    <row r="436" spans="1:16">
      <c r="A436" s="45"/>
      <c r="B436" s="53"/>
      <c r="C436" s="53"/>
      <c r="D436" s="43"/>
      <c r="E436" s="43"/>
      <c r="F436" s="43"/>
      <c r="G436" s="44"/>
      <c r="H436" s="44"/>
      <c r="I436" s="44"/>
      <c r="J436" s="44"/>
      <c r="K436" s="7" t="str">
        <f t="shared" si="108"/>
        <v/>
      </c>
      <c r="L436" s="7" t="str">
        <f t="shared" ref="L436:L464" si="110">IF(I436=8,G436*H436*J436,"")</f>
        <v/>
      </c>
      <c r="M436" s="7" t="str">
        <f t="shared" si="106"/>
        <v/>
      </c>
      <c r="N436" s="7" t="str">
        <f t="shared" si="107"/>
        <v/>
      </c>
      <c r="O436" s="7" t="str">
        <f t="shared" si="109"/>
        <v/>
      </c>
      <c r="P436" s="7" t="str">
        <f t="shared" si="93"/>
        <v/>
      </c>
    </row>
    <row r="437" spans="1:16">
      <c r="B437" s="53" t="s">
        <v>11</v>
      </c>
      <c r="C437" s="53">
        <v>3</v>
      </c>
      <c r="D437" s="43" t="s">
        <v>42</v>
      </c>
      <c r="E437" s="43">
        <v>0.4</v>
      </c>
      <c r="F437" s="43">
        <v>0.4</v>
      </c>
      <c r="G437" s="44"/>
      <c r="H437" s="44"/>
      <c r="I437" s="44"/>
      <c r="J437" s="44"/>
      <c r="K437" s="7" t="str">
        <f t="shared" si="108"/>
        <v/>
      </c>
      <c r="L437" s="7" t="str">
        <f t="shared" si="110"/>
        <v/>
      </c>
      <c r="M437" s="7" t="str">
        <f t="shared" si="106"/>
        <v/>
      </c>
      <c r="N437" s="7" t="str">
        <f t="shared" si="107"/>
        <v/>
      </c>
      <c r="O437" s="7" t="str">
        <f t="shared" si="109"/>
        <v/>
      </c>
      <c r="P437" s="7" t="str">
        <f t="shared" ref="P437:P452" si="111">IF(I437=16,G437*H437*J437,"")</f>
        <v/>
      </c>
    </row>
    <row r="438" spans="1:16">
      <c r="A438" t="s">
        <v>86</v>
      </c>
      <c r="B438" s="53"/>
      <c r="C438" s="53"/>
      <c r="D438" s="43"/>
      <c r="E438" s="43"/>
      <c r="F438" s="43"/>
      <c r="G438" s="44">
        <v>1</v>
      </c>
      <c r="H438" s="44">
        <v>4</v>
      </c>
      <c r="I438" s="44">
        <v>14</v>
      </c>
      <c r="J438" s="44">
        <f>$T$363</f>
        <v>7</v>
      </c>
      <c r="K438" s="7" t="str">
        <f t="shared" si="108"/>
        <v/>
      </c>
      <c r="L438" s="7" t="str">
        <f t="shared" si="110"/>
        <v/>
      </c>
      <c r="M438" s="7" t="str">
        <f t="shared" si="106"/>
        <v/>
      </c>
      <c r="N438" s="7" t="str">
        <f t="shared" si="107"/>
        <v/>
      </c>
      <c r="O438" s="7">
        <f t="shared" si="109"/>
        <v>28</v>
      </c>
      <c r="P438" s="7" t="str">
        <f t="shared" si="111"/>
        <v/>
      </c>
    </row>
    <row r="439" spans="1:16">
      <c r="A439" t="s">
        <v>86</v>
      </c>
      <c r="B439" s="53"/>
      <c r="C439" s="53"/>
      <c r="D439" s="43"/>
      <c r="E439" s="43"/>
      <c r="F439" s="43"/>
      <c r="G439" s="44">
        <v>1</v>
      </c>
      <c r="H439" s="44">
        <v>2</v>
      </c>
      <c r="I439" s="44">
        <v>10</v>
      </c>
      <c r="J439" s="44">
        <f>$T$363</f>
        <v>7</v>
      </c>
      <c r="K439" s="7" t="str">
        <f t="shared" si="108"/>
        <v/>
      </c>
      <c r="L439" s="7" t="str">
        <f t="shared" si="110"/>
        <v/>
      </c>
      <c r="M439" s="7">
        <f t="shared" si="106"/>
        <v>14</v>
      </c>
      <c r="N439" s="7" t="str">
        <f t="shared" si="107"/>
        <v/>
      </c>
      <c r="O439" s="7" t="str">
        <f t="shared" si="109"/>
        <v/>
      </c>
      <c r="P439" s="7" t="str">
        <f t="shared" si="111"/>
        <v/>
      </c>
    </row>
    <row r="440" spans="1:16">
      <c r="A440" t="s">
        <v>76</v>
      </c>
      <c r="B440" s="53"/>
      <c r="C440" s="53"/>
      <c r="D440" s="43"/>
      <c r="E440" s="43"/>
      <c r="F440" s="43"/>
      <c r="G440" s="44">
        <v>1</v>
      </c>
      <c r="H440" s="44">
        <f>ROUNDUP(($T$363-0.25)/0.15,0)</f>
        <v>45</v>
      </c>
      <c r="I440" s="44">
        <v>6</v>
      </c>
      <c r="J440" s="44">
        <f>2*(E437+F437)+20.5*I440/1000</f>
        <v>1.7230000000000001</v>
      </c>
      <c r="K440" s="7">
        <f t="shared" si="108"/>
        <v>77.535000000000011</v>
      </c>
      <c r="L440" s="7" t="str">
        <f t="shared" si="110"/>
        <v/>
      </c>
      <c r="M440" s="7" t="str">
        <f t="shared" si="106"/>
        <v/>
      </c>
      <c r="N440" s="7" t="str">
        <f t="shared" si="107"/>
        <v/>
      </c>
      <c r="O440" s="7" t="str">
        <f t="shared" si="109"/>
        <v/>
      </c>
      <c r="P440" s="7" t="str">
        <f t="shared" si="111"/>
        <v/>
      </c>
    </row>
    <row r="441" spans="1:16">
      <c r="A441" t="s">
        <v>77</v>
      </c>
      <c r="B441" s="53"/>
      <c r="C441" s="53"/>
      <c r="D441" s="43"/>
      <c r="E441" s="43"/>
      <c r="F441" s="43"/>
      <c r="G441" s="44">
        <v>1</v>
      </c>
      <c r="H441" s="44">
        <f>ROUNDUP(($T$363-0.25)/0.15,0)</f>
        <v>45</v>
      </c>
      <c r="I441" s="44">
        <v>6</v>
      </c>
      <c r="J441" s="48">
        <f>E437+22*I441/1000</f>
        <v>0.53200000000000003</v>
      </c>
      <c r="K441" s="7">
        <f t="shared" si="108"/>
        <v>23.94</v>
      </c>
      <c r="L441" s="7" t="str">
        <f t="shared" si="110"/>
        <v/>
      </c>
      <c r="M441" s="7" t="str">
        <f t="shared" si="106"/>
        <v/>
      </c>
      <c r="N441" s="7" t="str">
        <f t="shared" si="107"/>
        <v/>
      </c>
      <c r="O441" s="7" t="str">
        <f t="shared" si="109"/>
        <v/>
      </c>
      <c r="P441" s="7" t="str">
        <f t="shared" si="111"/>
        <v/>
      </c>
    </row>
    <row r="442" spans="1:16">
      <c r="B442" s="53" t="s">
        <v>11</v>
      </c>
      <c r="C442" s="53">
        <v>5</v>
      </c>
      <c r="D442" s="43" t="s">
        <v>43</v>
      </c>
      <c r="E442" s="43">
        <v>0.3</v>
      </c>
      <c r="F442" s="43">
        <v>0.3</v>
      </c>
      <c r="G442" s="44"/>
      <c r="H442" s="44"/>
      <c r="I442" s="44"/>
      <c r="J442" s="48"/>
      <c r="K442" s="7" t="str">
        <f t="shared" si="108"/>
        <v/>
      </c>
      <c r="L442" s="7" t="str">
        <f t="shared" si="110"/>
        <v/>
      </c>
      <c r="M442" s="7" t="str">
        <f t="shared" si="106"/>
        <v/>
      </c>
      <c r="N442" s="7" t="str">
        <f t="shared" si="107"/>
        <v/>
      </c>
      <c r="O442" s="7" t="str">
        <f t="shared" si="109"/>
        <v/>
      </c>
      <c r="P442" s="7" t="str">
        <f t="shared" si="111"/>
        <v/>
      </c>
    </row>
    <row r="443" spans="1:16">
      <c r="A443" t="s">
        <v>86</v>
      </c>
      <c r="B443" s="53"/>
      <c r="C443" s="53"/>
      <c r="D443" s="43"/>
      <c r="E443" s="43"/>
      <c r="F443" s="43"/>
      <c r="G443" s="44">
        <v>1</v>
      </c>
      <c r="H443" s="44">
        <v>6</v>
      </c>
      <c r="I443" s="44">
        <v>14</v>
      </c>
      <c r="J443" s="44">
        <f>$T$363</f>
        <v>7</v>
      </c>
      <c r="K443" s="7" t="str">
        <f t="shared" si="108"/>
        <v/>
      </c>
      <c r="L443" s="7" t="str">
        <f t="shared" si="110"/>
        <v/>
      </c>
      <c r="M443" s="7" t="str">
        <f t="shared" si="106"/>
        <v/>
      </c>
      <c r="N443" s="7" t="str">
        <f t="shared" si="107"/>
        <v/>
      </c>
      <c r="O443" s="7">
        <f t="shared" si="109"/>
        <v>42</v>
      </c>
      <c r="P443" s="7" t="str">
        <f t="shared" si="111"/>
        <v/>
      </c>
    </row>
    <row r="444" spans="1:16">
      <c r="A444" t="s">
        <v>76</v>
      </c>
      <c r="B444" s="53"/>
      <c r="C444" s="53"/>
      <c r="D444" s="43"/>
      <c r="E444" s="43"/>
      <c r="F444" s="43"/>
      <c r="G444" s="44">
        <v>1</v>
      </c>
      <c r="H444" s="44">
        <f>ROUNDUP(($T$363-0.25)/0.15,0)</f>
        <v>45</v>
      </c>
      <c r="I444" s="44">
        <v>6</v>
      </c>
      <c r="J444" s="48">
        <f>2*(E442+F442)+20.5*I444/1000</f>
        <v>1.323</v>
      </c>
      <c r="K444" s="7">
        <f t="shared" si="108"/>
        <v>59.534999999999997</v>
      </c>
      <c r="L444" s="7" t="str">
        <f t="shared" si="110"/>
        <v/>
      </c>
      <c r="M444" s="7" t="str">
        <f t="shared" si="106"/>
        <v/>
      </c>
      <c r="N444" s="7" t="str">
        <f t="shared" si="107"/>
        <v/>
      </c>
      <c r="O444" s="7" t="str">
        <f t="shared" si="109"/>
        <v/>
      </c>
      <c r="P444" s="7" t="str">
        <f>IF(I444=16,G444*H444*J444,"")</f>
        <v/>
      </c>
    </row>
    <row r="445" spans="1:16">
      <c r="A445" t="s">
        <v>77</v>
      </c>
      <c r="B445" s="53"/>
      <c r="C445" s="53"/>
      <c r="D445" s="43"/>
      <c r="E445" s="43"/>
      <c r="F445" s="43"/>
      <c r="G445" s="44">
        <v>1</v>
      </c>
      <c r="H445" s="44">
        <f>ROUNDUP(($T$363-0.25)/0.15,0)</f>
        <v>45</v>
      </c>
      <c r="I445" s="44">
        <v>6</v>
      </c>
      <c r="J445" s="48">
        <f>E442+22*I445/1000</f>
        <v>0.432</v>
      </c>
      <c r="K445" s="7">
        <f t="shared" si="108"/>
        <v>19.440000000000001</v>
      </c>
      <c r="L445" s="7" t="str">
        <f t="shared" si="110"/>
        <v/>
      </c>
      <c r="M445" s="7" t="str">
        <f t="shared" si="106"/>
        <v/>
      </c>
      <c r="N445" s="7" t="str">
        <f>IF(I445=12,G445*H445*J445,"")</f>
        <v/>
      </c>
      <c r="O445" s="7" t="str">
        <f t="shared" si="109"/>
        <v/>
      </c>
      <c r="P445" s="7" t="str">
        <f t="shared" si="111"/>
        <v/>
      </c>
    </row>
    <row r="446" spans="1:16">
      <c r="B446" s="53" t="s">
        <v>11</v>
      </c>
      <c r="C446" s="53">
        <v>6</v>
      </c>
      <c r="D446" s="43" t="s">
        <v>24</v>
      </c>
      <c r="E446" s="43">
        <v>0.25</v>
      </c>
      <c r="F446" s="43">
        <v>0.35</v>
      </c>
      <c r="G446" s="44"/>
      <c r="H446" s="44"/>
      <c r="I446" s="44"/>
      <c r="J446" s="48"/>
      <c r="K446" s="7" t="str">
        <f t="shared" si="108"/>
        <v/>
      </c>
      <c r="L446" s="7" t="str">
        <f>IF(I446=8,G446*H446*J446,"")</f>
        <v/>
      </c>
      <c r="M446" s="7" t="str">
        <f t="shared" si="106"/>
        <v/>
      </c>
      <c r="N446" s="7" t="str">
        <f t="shared" si="107"/>
        <v/>
      </c>
      <c r="O446" s="7" t="str">
        <f t="shared" si="109"/>
        <v/>
      </c>
      <c r="P446" s="7" t="str">
        <f t="shared" si="111"/>
        <v/>
      </c>
    </row>
    <row r="447" spans="1:16">
      <c r="A447" t="s">
        <v>86</v>
      </c>
      <c r="B447" s="53"/>
      <c r="C447" s="53"/>
      <c r="D447" s="43"/>
      <c r="E447" s="43"/>
      <c r="F447" s="43"/>
      <c r="G447" s="44">
        <v>1</v>
      </c>
      <c r="H447" s="44">
        <v>12</v>
      </c>
      <c r="I447" s="44">
        <v>14</v>
      </c>
      <c r="J447" s="44">
        <f>$T$363</f>
        <v>7</v>
      </c>
      <c r="K447" s="7" t="str">
        <f t="shared" si="108"/>
        <v/>
      </c>
      <c r="L447" s="7" t="str">
        <f t="shared" si="110"/>
        <v/>
      </c>
      <c r="M447" s="7" t="str">
        <f t="shared" si="106"/>
        <v/>
      </c>
      <c r="N447" s="7" t="str">
        <f t="shared" si="107"/>
        <v/>
      </c>
      <c r="O447" s="7">
        <f t="shared" si="109"/>
        <v>84</v>
      </c>
      <c r="P447" s="7" t="str">
        <f t="shared" si="111"/>
        <v/>
      </c>
    </row>
    <row r="448" spans="1:16">
      <c r="A448" t="s">
        <v>76</v>
      </c>
      <c r="B448" s="53"/>
      <c r="C448" s="53"/>
      <c r="D448" s="43"/>
      <c r="E448" s="43"/>
      <c r="F448" s="43"/>
      <c r="G448" s="44">
        <v>1</v>
      </c>
      <c r="H448" s="44">
        <f>ROUNDUP(($T$363-0.25)/0.15,0)</f>
        <v>45</v>
      </c>
      <c r="I448" s="44">
        <v>6</v>
      </c>
      <c r="J448" s="44">
        <f>2*(E446+F446)+20.5*I448/1000</f>
        <v>1.323</v>
      </c>
      <c r="K448" s="7">
        <f t="shared" si="108"/>
        <v>59.534999999999997</v>
      </c>
      <c r="L448" s="7" t="str">
        <f t="shared" si="110"/>
        <v/>
      </c>
      <c r="M448" s="7" t="str">
        <f t="shared" si="106"/>
        <v/>
      </c>
      <c r="N448" s="7" t="str">
        <f t="shared" si="107"/>
        <v/>
      </c>
      <c r="O448" s="7" t="str">
        <f t="shared" si="109"/>
        <v/>
      </c>
      <c r="P448" s="7" t="str">
        <f t="shared" si="111"/>
        <v/>
      </c>
    </row>
    <row r="449" spans="1:19">
      <c r="A449" t="s">
        <v>77</v>
      </c>
      <c r="B449" s="53"/>
      <c r="C449" s="53"/>
      <c r="D449" s="43"/>
      <c r="E449" s="43"/>
      <c r="F449" s="43"/>
      <c r="G449" s="44">
        <v>1</v>
      </c>
      <c r="H449" s="44">
        <f>ROUNDUP(($T$363-0.25)/0.15,0)</f>
        <v>45</v>
      </c>
      <c r="I449" s="44">
        <v>6</v>
      </c>
      <c r="J449" s="44">
        <f>E446+22*I449/1000</f>
        <v>0.38200000000000001</v>
      </c>
      <c r="K449" s="7">
        <f t="shared" si="108"/>
        <v>17.190000000000001</v>
      </c>
      <c r="L449" s="7" t="str">
        <f t="shared" si="110"/>
        <v/>
      </c>
      <c r="M449" s="7" t="str">
        <f t="shared" si="106"/>
        <v/>
      </c>
      <c r="N449" s="7" t="str">
        <f t="shared" si="107"/>
        <v/>
      </c>
      <c r="O449" s="7" t="str">
        <f t="shared" si="109"/>
        <v/>
      </c>
      <c r="P449" s="7" t="str">
        <f t="shared" si="111"/>
        <v/>
      </c>
    </row>
    <row r="450" spans="1:19">
      <c r="B450" s="53" t="s">
        <v>11</v>
      </c>
      <c r="C450" s="53">
        <v>7</v>
      </c>
      <c r="D450" s="43" t="s">
        <v>24</v>
      </c>
      <c r="E450" s="43">
        <v>0.25</v>
      </c>
      <c r="F450" s="43">
        <v>0.35</v>
      </c>
      <c r="G450" s="44"/>
      <c r="H450" s="44"/>
      <c r="I450" s="44"/>
      <c r="J450" s="44"/>
      <c r="K450" s="7" t="str">
        <f t="shared" si="108"/>
        <v/>
      </c>
      <c r="L450" s="7" t="str">
        <f t="shared" si="110"/>
        <v/>
      </c>
      <c r="M450" s="7" t="str">
        <f t="shared" si="106"/>
        <v/>
      </c>
      <c r="N450" s="7" t="str">
        <f t="shared" si="107"/>
        <v/>
      </c>
      <c r="O450" s="7" t="str">
        <f t="shared" si="109"/>
        <v/>
      </c>
      <c r="P450" s="7" t="str">
        <f t="shared" si="111"/>
        <v/>
      </c>
    </row>
    <row r="451" spans="1:19">
      <c r="A451" t="s">
        <v>86</v>
      </c>
      <c r="B451" s="53"/>
      <c r="C451" s="53"/>
      <c r="D451" s="43"/>
      <c r="E451" s="43"/>
      <c r="F451" s="43"/>
      <c r="G451" s="44">
        <v>1</v>
      </c>
      <c r="H451" s="44">
        <v>12</v>
      </c>
      <c r="I451" s="44">
        <v>14</v>
      </c>
      <c r="J451" s="44">
        <f>$T$363</f>
        <v>7</v>
      </c>
      <c r="K451" s="7" t="str">
        <f t="shared" si="108"/>
        <v/>
      </c>
      <c r="L451" s="7" t="str">
        <f t="shared" si="110"/>
        <v/>
      </c>
      <c r="M451" s="7" t="str">
        <f>IF(I451=10,G451*H451*J451,"")</f>
        <v/>
      </c>
      <c r="N451" s="7" t="str">
        <f t="shared" si="107"/>
        <v/>
      </c>
      <c r="O451" s="7">
        <f t="shared" si="109"/>
        <v>84</v>
      </c>
      <c r="P451" s="7" t="str">
        <f t="shared" si="111"/>
        <v/>
      </c>
    </row>
    <row r="452" spans="1:19">
      <c r="A452" t="s">
        <v>76</v>
      </c>
      <c r="B452" s="53"/>
      <c r="C452" s="53"/>
      <c r="D452" s="43"/>
      <c r="E452" s="43"/>
      <c r="F452" s="43"/>
      <c r="G452" s="44">
        <v>1</v>
      </c>
      <c r="H452" s="44">
        <f>ROUNDUP(($T$363-0.25)/0.15,0)</f>
        <v>45</v>
      </c>
      <c r="I452" s="44">
        <v>6</v>
      </c>
      <c r="J452" s="44">
        <f>2*(E450+F450)+20.5*I452/1000</f>
        <v>1.323</v>
      </c>
      <c r="K452" s="7">
        <f t="shared" si="108"/>
        <v>59.534999999999997</v>
      </c>
      <c r="L452" s="7" t="str">
        <f t="shared" si="110"/>
        <v/>
      </c>
      <c r="M452" s="7" t="str">
        <f t="shared" si="106"/>
        <v/>
      </c>
      <c r="N452" s="7" t="str">
        <f t="shared" si="107"/>
        <v/>
      </c>
      <c r="O452" s="7" t="str">
        <f t="shared" si="109"/>
        <v/>
      </c>
      <c r="P452" s="7" t="str">
        <f t="shared" si="111"/>
        <v/>
      </c>
    </row>
    <row r="453" spans="1:19">
      <c r="A453" t="s">
        <v>77</v>
      </c>
      <c r="B453" s="53"/>
      <c r="C453" s="53"/>
      <c r="D453" s="43"/>
      <c r="E453" s="43"/>
      <c r="F453" s="43"/>
      <c r="G453" s="44">
        <v>1</v>
      </c>
      <c r="H453" s="44">
        <f>ROUNDUP(($T$363-0.25)/0.15,0)</f>
        <v>45</v>
      </c>
      <c r="I453" s="44">
        <v>6</v>
      </c>
      <c r="J453" s="44">
        <f>E450+22*I453/1000</f>
        <v>0.38200000000000001</v>
      </c>
      <c r="K453" s="7">
        <f t="shared" si="108"/>
        <v>17.190000000000001</v>
      </c>
      <c r="L453" s="7" t="str">
        <f t="shared" si="110"/>
        <v/>
      </c>
      <c r="M453" s="7" t="str">
        <f t="shared" si="106"/>
        <v/>
      </c>
      <c r="N453" s="7" t="str">
        <f t="shared" si="107"/>
        <v/>
      </c>
      <c r="O453" s="7" t="str">
        <f t="shared" si="109"/>
        <v/>
      </c>
    </row>
    <row r="454" spans="1:19">
      <c r="B454" s="53" t="s">
        <v>11</v>
      </c>
      <c r="C454" s="53">
        <v>8</v>
      </c>
      <c r="D454" s="43" t="s">
        <v>24</v>
      </c>
      <c r="E454" s="43">
        <v>0.25</v>
      </c>
      <c r="F454" s="43">
        <v>0.35</v>
      </c>
      <c r="G454" s="44"/>
      <c r="H454" s="44"/>
      <c r="I454" s="44"/>
      <c r="J454" s="44"/>
      <c r="K454" s="7" t="str">
        <f t="shared" si="108"/>
        <v/>
      </c>
      <c r="L454" s="7" t="str">
        <f t="shared" si="110"/>
        <v/>
      </c>
      <c r="M454" s="7" t="str">
        <f t="shared" si="106"/>
        <v/>
      </c>
      <c r="N454" s="7" t="str">
        <f t="shared" si="107"/>
        <v/>
      </c>
      <c r="O454" s="7" t="str">
        <f t="shared" si="109"/>
        <v/>
      </c>
    </row>
    <row r="455" spans="1:19">
      <c r="A455" t="s">
        <v>86</v>
      </c>
      <c r="B455" s="53"/>
      <c r="C455" s="53"/>
      <c r="D455" s="43"/>
      <c r="E455" s="43"/>
      <c r="F455" s="43"/>
      <c r="G455" s="44">
        <v>1</v>
      </c>
      <c r="H455" s="44">
        <v>4</v>
      </c>
      <c r="I455" s="44">
        <v>14</v>
      </c>
      <c r="J455" s="44">
        <f>$T$363</f>
        <v>7</v>
      </c>
      <c r="K455" s="7" t="str">
        <f t="shared" si="108"/>
        <v/>
      </c>
      <c r="L455" s="7" t="str">
        <f t="shared" si="110"/>
        <v/>
      </c>
      <c r="M455" s="7" t="str">
        <f t="shared" si="106"/>
        <v/>
      </c>
      <c r="N455" s="7" t="str">
        <f t="shared" si="107"/>
        <v/>
      </c>
      <c r="O455" s="7">
        <f t="shared" si="109"/>
        <v>28</v>
      </c>
    </row>
    <row r="456" spans="1:19">
      <c r="A456" t="s">
        <v>86</v>
      </c>
      <c r="B456" s="53"/>
      <c r="C456" s="53"/>
      <c r="D456" s="43"/>
      <c r="E456" s="43"/>
      <c r="F456" s="43"/>
      <c r="G456" s="44">
        <v>1</v>
      </c>
      <c r="H456" s="44">
        <v>2</v>
      </c>
      <c r="I456" s="44">
        <v>10</v>
      </c>
      <c r="J456" s="44">
        <f>$T$363</f>
        <v>7</v>
      </c>
      <c r="K456" s="7" t="str">
        <f t="shared" si="108"/>
        <v/>
      </c>
      <c r="L456" s="7" t="str">
        <f t="shared" si="110"/>
        <v/>
      </c>
      <c r="M456" s="7">
        <f t="shared" si="106"/>
        <v>14</v>
      </c>
      <c r="N456" s="7" t="str">
        <f t="shared" si="107"/>
        <v/>
      </c>
      <c r="O456" s="7" t="str">
        <f t="shared" si="109"/>
        <v/>
      </c>
    </row>
    <row r="457" spans="1:19">
      <c r="A457" t="s">
        <v>76</v>
      </c>
      <c r="B457" s="53"/>
      <c r="C457" s="53"/>
      <c r="D457" s="43"/>
      <c r="E457" s="43"/>
      <c r="F457" s="43"/>
      <c r="G457" s="44">
        <v>1</v>
      </c>
      <c r="H457" s="44">
        <f>ROUNDUP(($T$363-0.25)/0.15,0)</f>
        <v>45</v>
      </c>
      <c r="I457" s="44">
        <v>6</v>
      </c>
      <c r="J457" s="44">
        <f>2*(E454+F454)+20.5*I457/1000</f>
        <v>1.323</v>
      </c>
      <c r="K457" s="7">
        <f t="shared" si="108"/>
        <v>59.534999999999997</v>
      </c>
      <c r="L457" s="7" t="str">
        <f t="shared" si="110"/>
        <v/>
      </c>
      <c r="M457" s="7" t="str">
        <f t="shared" si="106"/>
        <v/>
      </c>
      <c r="N457" s="7" t="str">
        <f t="shared" si="107"/>
        <v/>
      </c>
      <c r="O457" s="7" t="str">
        <f t="shared" si="109"/>
        <v/>
      </c>
    </row>
    <row r="458" spans="1:19">
      <c r="A458" t="s">
        <v>77</v>
      </c>
      <c r="B458" s="53"/>
      <c r="C458" s="53"/>
      <c r="D458" s="43"/>
      <c r="E458" s="43"/>
      <c r="F458" s="43"/>
      <c r="G458" s="44">
        <v>1</v>
      </c>
      <c r="H458" s="44">
        <f>ROUNDUP(($T$363-0.25)/0.15,0)</f>
        <v>45</v>
      </c>
      <c r="I458" s="44">
        <v>6</v>
      </c>
      <c r="J458" s="44">
        <f>E454+22*I458/1000</f>
        <v>0.38200000000000001</v>
      </c>
      <c r="K458" s="7">
        <f t="shared" si="108"/>
        <v>17.190000000000001</v>
      </c>
      <c r="L458" s="7" t="str">
        <f t="shared" si="110"/>
        <v/>
      </c>
      <c r="M458" s="7" t="str">
        <f t="shared" si="106"/>
        <v/>
      </c>
      <c r="N458" s="7" t="str">
        <f t="shared" si="107"/>
        <v/>
      </c>
      <c r="O458" s="7" t="str">
        <f t="shared" si="109"/>
        <v/>
      </c>
    </row>
    <row r="459" spans="1:19">
      <c r="A459" s="155" t="s">
        <v>138</v>
      </c>
      <c r="B459" s="155"/>
      <c r="C459" s="155"/>
      <c r="D459" s="155"/>
      <c r="E459" s="155"/>
      <c r="F459" s="156"/>
      <c r="L459" s="7" t="str">
        <f t="shared" si="110"/>
        <v/>
      </c>
      <c r="M459" s="7" t="str">
        <f t="shared" ref="M459:M464" si="112">IF(I459=10,G459*H459*J459,"")</f>
        <v/>
      </c>
    </row>
    <row r="460" spans="1:19" s="45" customFormat="1">
      <c r="A460" s="172" t="s">
        <v>120</v>
      </c>
      <c r="B460" s="172"/>
      <c r="C460" s="172"/>
      <c r="D460" s="172"/>
      <c r="E460" s="172"/>
      <c r="F460" s="173"/>
      <c r="G460" s="44"/>
      <c r="H460" s="44"/>
      <c r="I460" s="44"/>
      <c r="J460" s="44"/>
      <c r="K460" s="65"/>
      <c r="L460" s="65"/>
      <c r="M460" s="65"/>
      <c r="N460" s="65"/>
      <c r="O460" s="65"/>
      <c r="P460" s="65"/>
      <c r="Q460" s="65"/>
      <c r="R460" s="65"/>
      <c r="S460" s="65"/>
    </row>
    <row r="461" spans="1:19">
      <c r="B461" s="2" t="s">
        <v>2</v>
      </c>
      <c r="C461" s="2" t="s">
        <v>3</v>
      </c>
      <c r="L461" s="7" t="str">
        <f>IF(I461=8,G461*H461*J461,"")</f>
        <v/>
      </c>
      <c r="M461" s="7" t="str">
        <f>IF(I461=10,G461*H461*J461,"")</f>
        <v/>
      </c>
    </row>
    <row r="462" spans="1:19">
      <c r="B462" s="50" t="s">
        <v>121</v>
      </c>
      <c r="C462" s="51" t="s">
        <v>122</v>
      </c>
      <c r="D462">
        <f>4.78+2.65+4.6</f>
        <v>12.03</v>
      </c>
      <c r="E462">
        <f>3.82+0.4+0.82+1.8+0.15+3.82</f>
        <v>10.81</v>
      </c>
      <c r="L462" s="7" t="str">
        <f>IF(I462=8,G462*H462*J462,"")</f>
        <v/>
      </c>
      <c r="M462" s="7" t="str">
        <f>IF(I462=10,G462*H462*J462,"")</f>
        <v/>
      </c>
    </row>
    <row r="463" spans="1:19">
      <c r="B463" t="s">
        <v>57</v>
      </c>
      <c r="C463" s="51"/>
      <c r="G463" s="9">
        <v>1</v>
      </c>
      <c r="H463" s="9">
        <f>ROUNDUP((D462/0.15),0)</f>
        <v>81</v>
      </c>
      <c r="I463" s="9">
        <v>8</v>
      </c>
      <c r="J463" s="9">
        <f>D462+4</f>
        <v>16.03</v>
      </c>
      <c r="L463" s="7">
        <f>IF(I463=8,G463*H463*J463,"")</f>
        <v>1298.43</v>
      </c>
      <c r="M463" s="7" t="str">
        <f>IF(I463=10,G463*H463*J463,"")</f>
        <v/>
      </c>
    </row>
    <row r="464" spans="1:19">
      <c r="B464" t="s">
        <v>58</v>
      </c>
      <c r="C464" s="51"/>
      <c r="G464" s="9">
        <v>1</v>
      </c>
      <c r="H464" s="9">
        <f>ROUNDUP((E462/0.15),0)</f>
        <v>73</v>
      </c>
      <c r="I464" s="9">
        <v>8</v>
      </c>
      <c r="J464" s="9">
        <f>E462+2</f>
        <v>12.81</v>
      </c>
      <c r="L464" s="7">
        <f t="shared" si="110"/>
        <v>935.13</v>
      </c>
      <c r="M464" s="7" t="str">
        <f t="shared" si="112"/>
        <v/>
      </c>
    </row>
    <row r="465" spans="1:19" s="45" customFormat="1">
      <c r="A465" s="172" t="s">
        <v>123</v>
      </c>
      <c r="B465" s="172"/>
      <c r="C465" s="172"/>
      <c r="D465" s="172"/>
      <c r="E465" s="172"/>
      <c r="F465" s="173"/>
      <c r="G465" s="44"/>
      <c r="H465" s="44"/>
      <c r="I465" s="44"/>
      <c r="J465" s="44"/>
      <c r="K465" s="65"/>
      <c r="L465" s="65"/>
      <c r="M465" s="65"/>
      <c r="N465" s="65"/>
      <c r="O465" s="65"/>
      <c r="P465" s="65"/>
      <c r="Q465" s="65"/>
      <c r="R465" s="65"/>
      <c r="S465" s="65"/>
    </row>
    <row r="466" spans="1:19">
      <c r="B466" s="50" t="s">
        <v>121</v>
      </c>
      <c r="C466" s="51" t="s">
        <v>54</v>
      </c>
      <c r="D466">
        <f>2.32+7.25+2.48</f>
        <v>12.05</v>
      </c>
      <c r="E466">
        <f>3.82+0.4+0.82+1.8+0.15+3.82</f>
        <v>10.81</v>
      </c>
      <c r="L466" s="7" t="str">
        <f>IF(I466=8,G466*H466*J466,"")</f>
        <v/>
      </c>
      <c r="M466" s="7" t="str">
        <f>IF(I466=10,G466*H466*J466,"")</f>
        <v/>
      </c>
    </row>
    <row r="467" spans="1:19">
      <c r="B467" t="s">
        <v>57</v>
      </c>
      <c r="C467" s="51"/>
      <c r="G467" s="9">
        <v>1</v>
      </c>
      <c r="H467" s="9">
        <f>ROUNDUP((D466/0.15)*2,0)</f>
        <v>161</v>
      </c>
      <c r="I467" s="9">
        <v>8</v>
      </c>
      <c r="J467" s="9">
        <f>D466+4</f>
        <v>16.05</v>
      </c>
      <c r="L467" s="7">
        <f>IF(I467=8,G467*H467*J467,"")</f>
        <v>2584.0500000000002</v>
      </c>
      <c r="M467" s="7" t="str">
        <f>IF(I467=10,G467*H467*J467,"")</f>
        <v/>
      </c>
    </row>
    <row r="468" spans="1:19">
      <c r="B468" t="s">
        <v>58</v>
      </c>
      <c r="C468" s="51"/>
      <c r="G468" s="9">
        <v>1</v>
      </c>
      <c r="H468" s="9">
        <f>ROUNDUP((E466/0.15)*2,0)</f>
        <v>145</v>
      </c>
      <c r="I468" s="9">
        <v>8</v>
      </c>
      <c r="J468" s="9">
        <f>E466+2</f>
        <v>12.81</v>
      </c>
      <c r="L468" s="7">
        <f t="shared" ref="L468:L469" si="113">IF(I468=8,G468*H468*J468,"")</f>
        <v>1857.45</v>
      </c>
      <c r="M468" s="7" t="str">
        <f t="shared" ref="M468:M469" si="114">IF(I468=10,G468*H468*J468,"")</f>
        <v/>
      </c>
    </row>
    <row r="469" spans="1:19">
      <c r="A469" s="155" t="s">
        <v>124</v>
      </c>
      <c r="B469" s="155"/>
      <c r="C469" s="155"/>
      <c r="D469" s="155"/>
      <c r="E469" s="155"/>
      <c r="F469" s="156"/>
      <c r="L469" s="7" t="str">
        <f t="shared" si="113"/>
        <v/>
      </c>
      <c r="M469" s="7" t="str">
        <f t="shared" si="114"/>
        <v/>
      </c>
    </row>
    <row r="470" spans="1:19" s="45" customFormat="1">
      <c r="A470" s="172" t="s">
        <v>125</v>
      </c>
      <c r="B470" s="172"/>
      <c r="C470" s="172"/>
      <c r="D470" s="172"/>
      <c r="E470" s="172"/>
      <c r="F470" s="173"/>
      <c r="G470" s="44"/>
      <c r="H470" s="44"/>
      <c r="I470" s="44"/>
      <c r="J470" s="44"/>
      <c r="K470" s="65"/>
      <c r="L470" s="65"/>
      <c r="M470" s="65"/>
      <c r="N470" s="65"/>
      <c r="O470" s="65"/>
      <c r="P470" s="65"/>
      <c r="Q470" s="65"/>
      <c r="R470" s="65"/>
      <c r="S470" s="65"/>
    </row>
    <row r="471" spans="1:19">
      <c r="A471" s="2" t="s">
        <v>126</v>
      </c>
      <c r="B471" s="2" t="s">
        <v>2</v>
      </c>
      <c r="C471" s="2" t="s">
        <v>3</v>
      </c>
    </row>
    <row r="472" spans="1:19">
      <c r="A472" s="50" t="s">
        <v>127</v>
      </c>
      <c r="B472" s="50" t="s">
        <v>4</v>
      </c>
      <c r="C472" s="51" t="s">
        <v>71</v>
      </c>
      <c r="D472">
        <v>2.48</v>
      </c>
      <c r="E472">
        <v>0.2</v>
      </c>
      <c r="F472">
        <v>0.2</v>
      </c>
    </row>
    <row r="473" spans="1:19">
      <c r="A473" t="s">
        <v>86</v>
      </c>
      <c r="B473" s="53"/>
      <c r="C473" s="53"/>
      <c r="D473" s="43"/>
      <c r="E473" s="43"/>
      <c r="F473" s="43"/>
      <c r="G473" s="44">
        <v>1</v>
      </c>
      <c r="H473" s="44">
        <v>4</v>
      </c>
      <c r="I473" s="44">
        <v>10</v>
      </c>
      <c r="J473" s="44">
        <f>D472+0.5</f>
        <v>2.98</v>
      </c>
      <c r="K473" s="7" t="str">
        <f t="shared" ref="K473:K474" si="115">IF(I473=6,G473*H473*J473,"")</f>
        <v/>
      </c>
      <c r="L473" s="7" t="str">
        <f t="shared" ref="L473:L474" si="116">IF(I473=8,G473*H473*J473,"")</f>
        <v/>
      </c>
      <c r="M473" s="7">
        <f t="shared" ref="M473:M474" si="117">IF(I473=10,G473*H473*J473,"")</f>
        <v>11.92</v>
      </c>
      <c r="N473" s="7" t="str">
        <f t="shared" ref="N473:N474" si="118">IF(I473=12,G473*H473*J473,"")</f>
        <v/>
      </c>
      <c r="O473" s="7" t="str">
        <f t="shared" ref="O473:O474" si="119">IF(I473=14,G473*H473*J473,"")</f>
        <v/>
      </c>
      <c r="P473" s="7" t="str">
        <f t="shared" ref="P473" si="120">IF(I473=16,G473*H473*J473,"")</f>
        <v/>
      </c>
    </row>
    <row r="474" spans="1:19">
      <c r="A474" t="s">
        <v>76</v>
      </c>
      <c r="B474" s="53"/>
      <c r="C474" s="53"/>
      <c r="D474" s="43"/>
      <c r="E474" s="43"/>
      <c r="F474" s="43"/>
      <c r="G474" s="44">
        <v>1</v>
      </c>
      <c r="H474" s="44">
        <f>ROUNDUP((D472)/0.2,0)</f>
        <v>13</v>
      </c>
      <c r="I474" s="44">
        <v>6</v>
      </c>
      <c r="J474" s="44">
        <f>2*(E472+F472)+20.5*I474/1000</f>
        <v>0.92300000000000004</v>
      </c>
      <c r="K474" s="7">
        <f t="shared" si="115"/>
        <v>11.999000000000001</v>
      </c>
      <c r="L474" s="7" t="str">
        <f t="shared" si="116"/>
        <v/>
      </c>
      <c r="M474" s="7" t="str">
        <f t="shared" si="117"/>
        <v/>
      </c>
      <c r="N474" s="7" t="str">
        <f t="shared" si="118"/>
        <v/>
      </c>
      <c r="O474" s="7" t="str">
        <f t="shared" si="119"/>
        <v/>
      </c>
      <c r="P474" s="7" t="str">
        <f>IF(I474=16,G474*H474*J474,"")</f>
        <v/>
      </c>
    </row>
    <row r="475" spans="1:19">
      <c r="A475" s="50" t="s">
        <v>127</v>
      </c>
      <c r="B475" s="50" t="s">
        <v>4</v>
      </c>
      <c r="C475" s="51" t="s">
        <v>117</v>
      </c>
      <c r="D475">
        <v>7.25</v>
      </c>
      <c r="E475">
        <v>0.2</v>
      </c>
      <c r="F475">
        <v>0.2</v>
      </c>
    </row>
    <row r="476" spans="1:19">
      <c r="A476" t="s">
        <v>86</v>
      </c>
      <c r="B476" s="53"/>
      <c r="C476" s="53"/>
      <c r="D476" s="43"/>
      <c r="E476" s="43"/>
      <c r="F476" s="43"/>
      <c r="G476" s="44">
        <v>1</v>
      </c>
      <c r="H476" s="44">
        <v>4</v>
      </c>
      <c r="I476" s="44">
        <v>10</v>
      </c>
      <c r="J476" s="44">
        <f>D475+0.5</f>
        <v>7.75</v>
      </c>
      <c r="K476" s="7" t="str">
        <f t="shared" ref="K476:K477" si="121">IF(I476=6,G476*H476*J476,"")</f>
        <v/>
      </c>
      <c r="L476" s="7" t="str">
        <f t="shared" ref="L476:L477" si="122">IF(I476=8,G476*H476*J476,"")</f>
        <v/>
      </c>
      <c r="M476" s="7">
        <f t="shared" ref="M476:M477" si="123">IF(I476=10,G476*H476*J476,"")</f>
        <v>31</v>
      </c>
      <c r="N476" s="7" t="str">
        <f t="shared" ref="N476:N477" si="124">IF(I476=12,G476*H476*J476,"")</f>
        <v/>
      </c>
      <c r="O476" s="7" t="str">
        <f t="shared" ref="O476:O477" si="125">IF(I476=14,G476*H476*J476,"")</f>
        <v/>
      </c>
      <c r="P476" s="7" t="str">
        <f t="shared" ref="P476" si="126">IF(I476=16,G476*H476*J476,"")</f>
        <v/>
      </c>
    </row>
    <row r="477" spans="1:19">
      <c r="A477" t="s">
        <v>76</v>
      </c>
      <c r="B477" s="53"/>
      <c r="C477" s="53"/>
      <c r="D477" s="43"/>
      <c r="E477" s="43"/>
      <c r="F477" s="43"/>
      <c r="G477" s="44">
        <v>1</v>
      </c>
      <c r="H477" s="44">
        <f>ROUNDUP((D475)/0.2,0)</f>
        <v>37</v>
      </c>
      <c r="I477" s="44">
        <v>6</v>
      </c>
      <c r="J477" s="44">
        <f>2*(E475+F475)+20.5*I477/1000</f>
        <v>0.92300000000000004</v>
      </c>
      <c r="K477" s="7">
        <f t="shared" si="121"/>
        <v>34.151000000000003</v>
      </c>
      <c r="L477" s="7" t="str">
        <f t="shared" si="122"/>
        <v/>
      </c>
      <c r="M477" s="7" t="str">
        <f t="shared" si="123"/>
        <v/>
      </c>
      <c r="N477" s="7" t="str">
        <f t="shared" si="124"/>
        <v/>
      </c>
      <c r="O477" s="7" t="str">
        <f t="shared" si="125"/>
        <v/>
      </c>
      <c r="P477" s="7" t="str">
        <f>IF(I477=16,G477*H477*J477,"")</f>
        <v/>
      </c>
    </row>
    <row r="478" spans="1:19">
      <c r="A478" s="50" t="s">
        <v>127</v>
      </c>
      <c r="B478" s="50" t="s">
        <v>4</v>
      </c>
      <c r="C478" s="51" t="s">
        <v>69</v>
      </c>
      <c r="D478">
        <v>2.38</v>
      </c>
      <c r="E478">
        <v>0.2</v>
      </c>
      <c r="F478">
        <v>0.2</v>
      </c>
    </row>
    <row r="479" spans="1:19">
      <c r="A479" t="s">
        <v>86</v>
      </c>
      <c r="B479" s="53"/>
      <c r="C479" s="53"/>
      <c r="D479" s="43"/>
      <c r="E479" s="43"/>
      <c r="F479" s="43"/>
      <c r="G479" s="44">
        <v>1</v>
      </c>
      <c r="H479" s="44">
        <v>4</v>
      </c>
      <c r="I479" s="44">
        <v>10</v>
      </c>
      <c r="J479" s="44">
        <f>D478+0.5</f>
        <v>2.88</v>
      </c>
      <c r="K479" s="7" t="str">
        <f t="shared" ref="K479:K480" si="127">IF(I479=6,G479*H479*J479,"")</f>
        <v/>
      </c>
      <c r="L479" s="7" t="str">
        <f t="shared" ref="L479:L480" si="128">IF(I479=8,G479*H479*J479,"")</f>
        <v/>
      </c>
      <c r="M479" s="7">
        <f t="shared" ref="M479:M480" si="129">IF(I479=10,G479*H479*J479,"")</f>
        <v>11.52</v>
      </c>
      <c r="N479" s="7" t="str">
        <f t="shared" ref="N479:N480" si="130">IF(I479=12,G479*H479*J479,"")</f>
        <v/>
      </c>
      <c r="O479" s="7" t="str">
        <f t="shared" ref="O479:O480" si="131">IF(I479=14,G479*H479*J479,"")</f>
        <v/>
      </c>
      <c r="P479" s="7" t="str">
        <f t="shared" ref="P479" si="132">IF(I479=16,G479*H479*J479,"")</f>
        <v/>
      </c>
    </row>
    <row r="480" spans="1:19">
      <c r="A480" t="s">
        <v>76</v>
      </c>
      <c r="B480" s="53"/>
      <c r="C480" s="53"/>
      <c r="D480" s="43"/>
      <c r="E480" s="43"/>
      <c r="F480" s="43"/>
      <c r="G480" s="44">
        <v>1</v>
      </c>
      <c r="H480" s="44">
        <f>ROUNDUP((D478)/0.2,0)</f>
        <v>12</v>
      </c>
      <c r="I480" s="44">
        <v>6</v>
      </c>
      <c r="J480" s="44">
        <f>2*(E478+F478)+20.5*I480/1000</f>
        <v>0.92300000000000004</v>
      </c>
      <c r="K480" s="7">
        <f t="shared" si="127"/>
        <v>11.076000000000001</v>
      </c>
      <c r="L480" s="7" t="str">
        <f t="shared" si="128"/>
        <v/>
      </c>
      <c r="M480" s="7" t="str">
        <f t="shared" si="129"/>
        <v/>
      </c>
      <c r="N480" s="7" t="str">
        <f t="shared" si="130"/>
        <v/>
      </c>
      <c r="O480" s="7" t="str">
        <f t="shared" si="131"/>
        <v/>
      </c>
      <c r="P480" s="7" t="str">
        <f>IF(I480=16,G480*H480*J480,"")</f>
        <v/>
      </c>
    </row>
    <row r="481" spans="1:16">
      <c r="A481" s="50" t="s">
        <v>127</v>
      </c>
      <c r="B481" s="50" t="s">
        <v>25</v>
      </c>
      <c r="C481" s="51" t="s">
        <v>80</v>
      </c>
      <c r="D481">
        <f>3.82+0.4+0.82</f>
        <v>5.04</v>
      </c>
      <c r="E481">
        <v>0.2</v>
      </c>
      <c r="F481">
        <v>0.2</v>
      </c>
    </row>
    <row r="482" spans="1:16">
      <c r="A482" t="s">
        <v>86</v>
      </c>
      <c r="B482" s="53"/>
      <c r="C482" s="53"/>
      <c r="D482" s="43"/>
      <c r="E482" s="43"/>
      <c r="F482" s="43"/>
      <c r="G482" s="44">
        <v>1</v>
      </c>
      <c r="H482" s="44">
        <v>4</v>
      </c>
      <c r="I482" s="44">
        <v>10</v>
      </c>
      <c r="J482" s="44">
        <f>D481+0.5</f>
        <v>5.54</v>
      </c>
      <c r="K482" s="7" t="str">
        <f t="shared" ref="K482:K483" si="133">IF(I482=6,G482*H482*J482,"")</f>
        <v/>
      </c>
      <c r="L482" s="7" t="str">
        <f t="shared" ref="L482:L483" si="134">IF(I482=8,G482*H482*J482,"")</f>
        <v/>
      </c>
      <c r="M482" s="7">
        <f t="shared" ref="M482:M483" si="135">IF(I482=10,G482*H482*J482,"")</f>
        <v>22.16</v>
      </c>
      <c r="N482" s="7" t="str">
        <f t="shared" ref="N482:N483" si="136">IF(I482=12,G482*H482*J482,"")</f>
        <v/>
      </c>
      <c r="O482" s="7" t="str">
        <f t="shared" ref="O482:O483" si="137">IF(I482=14,G482*H482*J482,"")</f>
        <v/>
      </c>
      <c r="P482" s="7" t="str">
        <f t="shared" ref="P482" si="138">IF(I482=16,G482*H482*J482,"")</f>
        <v/>
      </c>
    </row>
    <row r="483" spans="1:16">
      <c r="A483" t="s">
        <v>76</v>
      </c>
      <c r="B483" s="53"/>
      <c r="C483" s="53"/>
      <c r="D483" s="43"/>
      <c r="E483" s="43"/>
      <c r="F483" s="43"/>
      <c r="G483" s="44">
        <v>1</v>
      </c>
      <c r="H483" s="44">
        <f>ROUNDUP((D481)/0.2,0)</f>
        <v>26</v>
      </c>
      <c r="I483" s="44">
        <v>6</v>
      </c>
      <c r="J483" s="44">
        <f>2*(E481+F481)+20.5*I483/1000</f>
        <v>0.92300000000000004</v>
      </c>
      <c r="K483" s="7">
        <f t="shared" si="133"/>
        <v>23.998000000000001</v>
      </c>
      <c r="L483" s="7" t="str">
        <f t="shared" si="134"/>
        <v/>
      </c>
      <c r="M483" s="7" t="str">
        <f t="shared" si="135"/>
        <v/>
      </c>
      <c r="N483" s="7" t="str">
        <f t="shared" si="136"/>
        <v/>
      </c>
      <c r="O483" s="7" t="str">
        <f t="shared" si="137"/>
        <v/>
      </c>
      <c r="P483" s="7" t="str">
        <f>IF(I483=16,G483*H483*J483,"")</f>
        <v/>
      </c>
    </row>
    <row r="484" spans="1:16">
      <c r="A484" s="50" t="s">
        <v>127</v>
      </c>
      <c r="B484" s="50" t="s">
        <v>114</v>
      </c>
      <c r="C484" s="51" t="s">
        <v>80</v>
      </c>
      <c r="D484">
        <f>1.08+0.15+3.82</f>
        <v>5.05</v>
      </c>
      <c r="E484">
        <v>0.2</v>
      </c>
      <c r="F484">
        <v>0.2</v>
      </c>
    </row>
    <row r="485" spans="1:16">
      <c r="A485" t="s">
        <v>86</v>
      </c>
      <c r="B485" s="53"/>
      <c r="C485" s="53"/>
      <c r="D485" s="43"/>
      <c r="E485" s="43"/>
      <c r="F485" s="43"/>
      <c r="G485" s="44">
        <v>1</v>
      </c>
      <c r="H485" s="44">
        <v>4</v>
      </c>
      <c r="I485" s="44">
        <v>10</v>
      </c>
      <c r="J485" s="44">
        <f>D484+0.5</f>
        <v>5.55</v>
      </c>
      <c r="K485" s="7" t="str">
        <f t="shared" ref="K485:K486" si="139">IF(I485=6,G485*H485*J485,"")</f>
        <v/>
      </c>
      <c r="L485" s="7" t="str">
        <f t="shared" ref="L485:L486" si="140">IF(I485=8,G485*H485*J485,"")</f>
        <v/>
      </c>
      <c r="M485" s="7">
        <f t="shared" ref="M485:M486" si="141">IF(I485=10,G485*H485*J485,"")</f>
        <v>22.2</v>
      </c>
      <c r="N485" s="7" t="str">
        <f t="shared" ref="N485:N486" si="142">IF(I485=12,G485*H485*J485,"")</f>
        <v/>
      </c>
      <c r="O485" s="7" t="str">
        <f t="shared" ref="O485:O486" si="143">IF(I485=14,G485*H485*J485,"")</f>
        <v/>
      </c>
      <c r="P485" s="7" t="str">
        <f t="shared" ref="P485" si="144">IF(I485=16,G485*H485*J485,"")</f>
        <v/>
      </c>
    </row>
    <row r="486" spans="1:16">
      <c r="A486" t="s">
        <v>76</v>
      </c>
      <c r="B486" s="53"/>
      <c r="C486" s="53"/>
      <c r="D486" s="43"/>
      <c r="E486" s="43"/>
      <c r="F486" s="43"/>
      <c r="G486" s="44">
        <v>1</v>
      </c>
      <c r="H486" s="44">
        <f>ROUNDUP((D484)/0.2,0)</f>
        <v>26</v>
      </c>
      <c r="I486" s="44">
        <v>6</v>
      </c>
      <c r="J486" s="44">
        <f>2*(E484+F484)+20.5*I486/1000</f>
        <v>0.92300000000000004</v>
      </c>
      <c r="K486" s="7">
        <f t="shared" si="139"/>
        <v>23.998000000000001</v>
      </c>
      <c r="L486" s="7" t="str">
        <f t="shared" si="140"/>
        <v/>
      </c>
      <c r="M486" s="7" t="str">
        <f t="shared" si="141"/>
        <v/>
      </c>
      <c r="N486" s="7" t="str">
        <f t="shared" si="142"/>
        <v/>
      </c>
      <c r="O486" s="7" t="str">
        <f t="shared" si="143"/>
        <v/>
      </c>
      <c r="P486" s="7" t="str">
        <f>IF(I486=16,G486*H486*J486,"")</f>
        <v/>
      </c>
    </row>
    <row r="487" spans="1:16">
      <c r="A487" s="50" t="s">
        <v>127</v>
      </c>
      <c r="B487" s="50" t="s">
        <v>11</v>
      </c>
      <c r="C487" s="51" t="s">
        <v>71</v>
      </c>
      <c r="D487">
        <v>2.48</v>
      </c>
      <c r="E487">
        <v>0.2</v>
      </c>
      <c r="F487">
        <v>0.2</v>
      </c>
    </row>
    <row r="488" spans="1:16">
      <c r="A488" t="s">
        <v>86</v>
      </c>
      <c r="B488" s="53"/>
      <c r="C488" s="53"/>
      <c r="D488" s="43"/>
      <c r="E488" s="43"/>
      <c r="F488" s="43"/>
      <c r="G488" s="44">
        <v>1</v>
      </c>
      <c r="H488" s="44">
        <v>4</v>
      </c>
      <c r="I488" s="44">
        <v>10</v>
      </c>
      <c r="J488" s="44">
        <f>D487+0.5</f>
        <v>2.98</v>
      </c>
      <c r="K488" s="7" t="str">
        <f t="shared" ref="K488:K489" si="145">IF(I488=6,G488*H488*J488,"")</f>
        <v/>
      </c>
      <c r="L488" s="7" t="str">
        <f t="shared" ref="L488:L489" si="146">IF(I488=8,G488*H488*J488,"")</f>
        <v/>
      </c>
      <c r="M488" s="7">
        <f t="shared" ref="M488:M489" si="147">IF(I488=10,G488*H488*J488,"")</f>
        <v>11.92</v>
      </c>
      <c r="N488" s="7" t="str">
        <f t="shared" ref="N488:N489" si="148">IF(I488=12,G488*H488*J488,"")</f>
        <v/>
      </c>
      <c r="O488" s="7" t="str">
        <f t="shared" ref="O488:O489" si="149">IF(I488=14,G488*H488*J488,"")</f>
        <v/>
      </c>
      <c r="P488" s="7" t="str">
        <f t="shared" ref="P488" si="150">IF(I488=16,G488*H488*J488,"")</f>
        <v/>
      </c>
    </row>
    <row r="489" spans="1:16">
      <c r="A489" t="s">
        <v>76</v>
      </c>
      <c r="B489" s="53"/>
      <c r="C489" s="53"/>
      <c r="D489" s="43"/>
      <c r="E489" s="43"/>
      <c r="F489" s="43"/>
      <c r="G489" s="44">
        <v>1</v>
      </c>
      <c r="H489" s="44">
        <f>ROUNDUP((D487)/0.2,0)</f>
        <v>13</v>
      </c>
      <c r="I489" s="44">
        <v>6</v>
      </c>
      <c r="J489" s="44">
        <f>2*(E487+F487)+20.5*I489/1000</f>
        <v>0.92300000000000004</v>
      </c>
      <c r="K489" s="7">
        <f t="shared" si="145"/>
        <v>11.999000000000001</v>
      </c>
      <c r="L489" s="7" t="str">
        <f t="shared" si="146"/>
        <v/>
      </c>
      <c r="M489" s="7" t="str">
        <f t="shared" si="147"/>
        <v/>
      </c>
      <c r="N489" s="7" t="str">
        <f t="shared" si="148"/>
        <v/>
      </c>
      <c r="O489" s="7" t="str">
        <f t="shared" si="149"/>
        <v/>
      </c>
      <c r="P489" s="7" t="str">
        <f>IF(I489=16,G489*H489*J489,"")</f>
        <v/>
      </c>
    </row>
    <row r="490" spans="1:16">
      <c r="A490" s="50" t="s">
        <v>127</v>
      </c>
      <c r="B490" s="50" t="s">
        <v>11</v>
      </c>
      <c r="C490" s="51" t="s">
        <v>117</v>
      </c>
      <c r="D490">
        <v>7.25</v>
      </c>
      <c r="E490">
        <v>0.2</v>
      </c>
      <c r="F490">
        <v>0.2</v>
      </c>
    </row>
    <row r="491" spans="1:16">
      <c r="A491" t="s">
        <v>86</v>
      </c>
      <c r="B491" s="53"/>
      <c r="C491" s="53"/>
      <c r="D491" s="43"/>
      <c r="E491" s="43"/>
      <c r="F491" s="43"/>
      <c r="G491" s="44">
        <v>1</v>
      </c>
      <c r="H491" s="44">
        <v>4</v>
      </c>
      <c r="I491" s="44">
        <v>10</v>
      </c>
      <c r="J491" s="44">
        <f>D490+0.5</f>
        <v>7.75</v>
      </c>
      <c r="K491" s="7" t="str">
        <f t="shared" ref="K491:K492" si="151">IF(I491=6,G491*H491*J491,"")</f>
        <v/>
      </c>
      <c r="L491" s="7" t="str">
        <f t="shared" ref="L491:L492" si="152">IF(I491=8,G491*H491*J491,"")</f>
        <v/>
      </c>
      <c r="M491" s="7">
        <f t="shared" ref="M491:M492" si="153">IF(I491=10,G491*H491*J491,"")</f>
        <v>31</v>
      </c>
      <c r="N491" s="7" t="str">
        <f t="shared" ref="N491:N492" si="154">IF(I491=12,G491*H491*J491,"")</f>
        <v/>
      </c>
      <c r="O491" s="7" t="str">
        <f t="shared" ref="O491:O492" si="155">IF(I491=14,G491*H491*J491,"")</f>
        <v/>
      </c>
      <c r="P491" s="7" t="str">
        <f t="shared" ref="P491" si="156">IF(I491=16,G491*H491*J491,"")</f>
        <v/>
      </c>
    </row>
    <row r="492" spans="1:16">
      <c r="A492" t="s">
        <v>76</v>
      </c>
      <c r="B492" s="53"/>
      <c r="C492" s="53"/>
      <c r="D492" s="43"/>
      <c r="E492" s="43"/>
      <c r="F492" s="43"/>
      <c r="G492" s="44">
        <v>1</v>
      </c>
      <c r="H492" s="44">
        <f>ROUNDUP((D490)/0.2,0)</f>
        <v>37</v>
      </c>
      <c r="I492" s="44">
        <v>6</v>
      </c>
      <c r="J492" s="44">
        <f>2*(E490+F490)+20.5*I492/1000</f>
        <v>0.92300000000000004</v>
      </c>
      <c r="K492" s="7">
        <f t="shared" si="151"/>
        <v>34.151000000000003</v>
      </c>
      <c r="L492" s="7" t="str">
        <f t="shared" si="152"/>
        <v/>
      </c>
      <c r="M492" s="7" t="str">
        <f t="shared" si="153"/>
        <v/>
      </c>
      <c r="N492" s="7" t="str">
        <f t="shared" si="154"/>
        <v/>
      </c>
      <c r="O492" s="7" t="str">
        <f t="shared" si="155"/>
        <v/>
      </c>
      <c r="P492" s="7" t="str">
        <f>IF(I492=16,G492*H492*J492,"")</f>
        <v/>
      </c>
    </row>
    <row r="493" spans="1:16">
      <c r="A493" s="50" t="s">
        <v>128</v>
      </c>
      <c r="B493" s="50" t="s">
        <v>4</v>
      </c>
      <c r="C493" s="51" t="s">
        <v>70</v>
      </c>
      <c r="D493">
        <v>4.78</v>
      </c>
      <c r="E493">
        <v>0.2</v>
      </c>
      <c r="F493">
        <v>0.35</v>
      </c>
    </row>
    <row r="494" spans="1:16">
      <c r="A494" t="s">
        <v>130</v>
      </c>
      <c r="B494" s="53"/>
      <c r="C494" s="53"/>
      <c r="D494" s="43"/>
      <c r="E494" s="43"/>
      <c r="F494" s="43"/>
      <c r="G494" s="44">
        <v>1</v>
      </c>
      <c r="H494" s="44">
        <v>6</v>
      </c>
      <c r="I494" s="44">
        <v>12</v>
      </c>
      <c r="J494" s="44">
        <f>D493+0.5</f>
        <v>5.28</v>
      </c>
      <c r="K494" s="7" t="str">
        <f t="shared" ref="K494:K496" si="157">IF(I494=6,G494*H494*J494,"")</f>
        <v/>
      </c>
      <c r="L494" s="7" t="str">
        <f t="shared" ref="L494:L496" si="158">IF(I494=8,G494*H494*J494,"")</f>
        <v/>
      </c>
      <c r="M494" s="7" t="str">
        <f t="shared" ref="M494:M496" si="159">IF(I494=10,G494*H494*J494,"")</f>
        <v/>
      </c>
      <c r="N494" s="7">
        <f t="shared" ref="N494:N496" si="160">IF(I494=12,G494*H494*J494,"")</f>
        <v>31.68</v>
      </c>
      <c r="O494" s="7" t="str">
        <f t="shared" ref="O494:O496" si="161">IF(I494=14,G494*H494*J494,"")</f>
        <v/>
      </c>
      <c r="P494" s="7" t="str">
        <f t="shared" ref="P494" si="162">IF(I494=16,G494*H494*J494,"")</f>
        <v/>
      </c>
    </row>
    <row r="495" spans="1:16">
      <c r="A495" t="s">
        <v>129</v>
      </c>
      <c r="B495" s="53"/>
      <c r="C495" s="53"/>
      <c r="D495" s="43"/>
      <c r="E495" s="43"/>
      <c r="F495" s="43"/>
      <c r="G495" s="44">
        <v>1</v>
      </c>
      <c r="H495" s="44">
        <v>2</v>
      </c>
      <c r="I495" s="44">
        <v>10</v>
      </c>
      <c r="J495" s="44">
        <f>D493+0.5</f>
        <v>5.28</v>
      </c>
      <c r="K495" s="7" t="str">
        <f t="shared" ref="K495" si="163">IF(I495=6,G495*H495*J495,"")</f>
        <v/>
      </c>
      <c r="L495" s="7" t="str">
        <f t="shared" ref="L495" si="164">IF(I495=8,G495*H495*J495,"")</f>
        <v/>
      </c>
      <c r="M495" s="7">
        <f t="shared" ref="M495" si="165">IF(I495=10,G495*H495*J495,"")</f>
        <v>10.56</v>
      </c>
      <c r="N495" s="7" t="str">
        <f t="shared" ref="N495" si="166">IF(I495=12,G495*H495*J495,"")</f>
        <v/>
      </c>
      <c r="O495" s="7" t="str">
        <f t="shared" ref="O495" si="167">IF(I495=14,G495*H495*J495,"")</f>
        <v/>
      </c>
      <c r="P495" s="7" t="str">
        <f t="shared" ref="P495" si="168">IF(I495=16,G495*H495*J495,"")</f>
        <v/>
      </c>
    </row>
    <row r="496" spans="1:16">
      <c r="A496" t="s">
        <v>76</v>
      </c>
      <c r="B496" s="53"/>
      <c r="C496" s="53"/>
      <c r="D496" s="43"/>
      <c r="E496" s="43"/>
      <c r="F496" s="43"/>
      <c r="G496" s="44">
        <v>1</v>
      </c>
      <c r="H496" s="44">
        <f>ROUNDUP((D493)/0.2,0)</f>
        <v>24</v>
      </c>
      <c r="I496" s="44">
        <v>6</v>
      </c>
      <c r="J496" s="44">
        <f>2*(E493+F493)+20.5*I496/1000</f>
        <v>1.2230000000000001</v>
      </c>
      <c r="K496" s="7">
        <f t="shared" si="157"/>
        <v>29.352000000000004</v>
      </c>
      <c r="L496" s="7" t="str">
        <f t="shared" si="158"/>
        <v/>
      </c>
      <c r="M496" s="7" t="str">
        <f t="shared" si="159"/>
        <v/>
      </c>
      <c r="N496" s="7" t="str">
        <f t="shared" si="160"/>
        <v/>
      </c>
      <c r="O496" s="7" t="str">
        <f t="shared" si="161"/>
        <v/>
      </c>
      <c r="P496" s="7" t="str">
        <f>IF(I496=16,G496*H496*J496,"")</f>
        <v/>
      </c>
    </row>
    <row r="497" spans="1:16">
      <c r="A497" s="50" t="s">
        <v>131</v>
      </c>
      <c r="B497" s="50" t="s">
        <v>4</v>
      </c>
      <c r="C497" s="51" t="s">
        <v>110</v>
      </c>
      <c r="D497">
        <v>2.65</v>
      </c>
      <c r="E497">
        <v>0.2</v>
      </c>
      <c r="F497">
        <v>0.3</v>
      </c>
    </row>
    <row r="498" spans="1:16">
      <c r="A498" t="s">
        <v>130</v>
      </c>
      <c r="B498" s="53"/>
      <c r="C498" s="53"/>
      <c r="D498" s="43"/>
      <c r="E498" s="43"/>
      <c r="F498" s="43"/>
      <c r="G498" s="44">
        <v>1</v>
      </c>
      <c r="H498" s="44">
        <v>6</v>
      </c>
      <c r="I498" s="44">
        <v>12</v>
      </c>
      <c r="J498" s="44">
        <f>D497+0.5</f>
        <v>3.15</v>
      </c>
      <c r="K498" s="7" t="str">
        <f t="shared" ref="K498:K500" si="169">IF(I498=6,G498*H498*J498,"")</f>
        <v/>
      </c>
      <c r="L498" s="7" t="str">
        <f t="shared" ref="L498:L500" si="170">IF(I498=8,G498*H498*J498,"")</f>
        <v/>
      </c>
      <c r="M498" s="7" t="str">
        <f t="shared" ref="M498:M500" si="171">IF(I498=10,G498*H498*J498,"")</f>
        <v/>
      </c>
      <c r="N498" s="7">
        <f t="shared" ref="N498:N500" si="172">IF(I498=12,G498*H498*J498,"")</f>
        <v>18.899999999999999</v>
      </c>
      <c r="O498" s="7" t="str">
        <f t="shared" ref="O498:O500" si="173">IF(I498=14,G498*H498*J498,"")</f>
        <v/>
      </c>
      <c r="P498" s="7" t="str">
        <f t="shared" ref="P498:P499" si="174">IF(I498=16,G498*H498*J498,"")</f>
        <v/>
      </c>
    </row>
    <row r="499" spans="1:16">
      <c r="A499" t="s">
        <v>129</v>
      </c>
      <c r="B499" s="53"/>
      <c r="C499" s="53"/>
      <c r="D499" s="43"/>
      <c r="E499" s="43"/>
      <c r="F499" s="43"/>
      <c r="G499" s="44">
        <v>1</v>
      </c>
      <c r="H499" s="44">
        <v>2</v>
      </c>
      <c r="I499" s="44">
        <v>10</v>
      </c>
      <c r="J499" s="44">
        <f>D497+0.5</f>
        <v>3.15</v>
      </c>
      <c r="K499" s="7" t="str">
        <f t="shared" si="169"/>
        <v/>
      </c>
      <c r="L499" s="7" t="str">
        <f t="shared" si="170"/>
        <v/>
      </c>
      <c r="M499" s="7">
        <f t="shared" si="171"/>
        <v>6.3</v>
      </c>
      <c r="N499" s="7" t="str">
        <f t="shared" si="172"/>
        <v/>
      </c>
      <c r="O499" s="7" t="str">
        <f t="shared" si="173"/>
        <v/>
      </c>
      <c r="P499" s="7" t="str">
        <f t="shared" si="174"/>
        <v/>
      </c>
    </row>
    <row r="500" spans="1:16">
      <c r="A500" t="s">
        <v>76</v>
      </c>
      <c r="B500" s="53"/>
      <c r="C500" s="53"/>
      <c r="D500" s="43"/>
      <c r="E500" s="43"/>
      <c r="F500" s="43"/>
      <c r="G500" s="44">
        <v>1</v>
      </c>
      <c r="H500" s="44">
        <f>ROUNDUP((D497)/0.2,0)</f>
        <v>14</v>
      </c>
      <c r="I500" s="44">
        <v>6</v>
      </c>
      <c r="J500" s="44">
        <f>2*(E497+F497)+20.5*I500/1000</f>
        <v>1.123</v>
      </c>
      <c r="K500" s="7">
        <f t="shared" si="169"/>
        <v>15.722</v>
      </c>
      <c r="L500" s="7" t="str">
        <f t="shared" si="170"/>
        <v/>
      </c>
      <c r="M500" s="7" t="str">
        <f t="shared" si="171"/>
        <v/>
      </c>
      <c r="N500" s="7" t="str">
        <f t="shared" si="172"/>
        <v/>
      </c>
      <c r="O500" s="7" t="str">
        <f t="shared" si="173"/>
        <v/>
      </c>
      <c r="P500" s="7" t="str">
        <f>IF(I500=16,G500*H500*J500,"")</f>
        <v/>
      </c>
    </row>
    <row r="501" spans="1:16">
      <c r="A501" s="50" t="s">
        <v>128</v>
      </c>
      <c r="B501" s="50" t="s">
        <v>4</v>
      </c>
      <c r="C501" s="51" t="s">
        <v>111</v>
      </c>
      <c r="D501">
        <v>4.5999999999999996</v>
      </c>
      <c r="E501">
        <v>0.2</v>
      </c>
      <c r="F501">
        <v>0.35</v>
      </c>
    </row>
    <row r="502" spans="1:16">
      <c r="A502" t="s">
        <v>130</v>
      </c>
      <c r="B502" s="53"/>
      <c r="C502" s="53"/>
      <c r="D502" s="43"/>
      <c r="E502" s="43"/>
      <c r="F502" s="43"/>
      <c r="G502" s="44">
        <v>1</v>
      </c>
      <c r="H502" s="44">
        <v>6</v>
      </c>
      <c r="I502" s="44">
        <v>12</v>
      </c>
      <c r="J502" s="44">
        <f>D501+0.5</f>
        <v>5.0999999999999996</v>
      </c>
      <c r="K502" s="7" t="str">
        <f t="shared" ref="K502:K504" si="175">IF(I502=6,G502*H502*J502,"")</f>
        <v/>
      </c>
      <c r="L502" s="7" t="str">
        <f t="shared" ref="L502:L504" si="176">IF(I502=8,G502*H502*J502,"")</f>
        <v/>
      </c>
      <c r="M502" s="7" t="str">
        <f t="shared" ref="M502:M504" si="177">IF(I502=10,G502*H502*J502,"")</f>
        <v/>
      </c>
      <c r="N502" s="7">
        <f t="shared" ref="N502:N504" si="178">IF(I502=12,G502*H502*J502,"")</f>
        <v>30.599999999999998</v>
      </c>
      <c r="O502" s="7" t="str">
        <f t="shared" ref="O502:O504" si="179">IF(I502=14,G502*H502*J502,"")</f>
        <v/>
      </c>
      <c r="P502" s="7" t="str">
        <f t="shared" ref="P502:P503" si="180">IF(I502=16,G502*H502*J502,"")</f>
        <v/>
      </c>
    </row>
    <row r="503" spans="1:16">
      <c r="A503" t="s">
        <v>129</v>
      </c>
      <c r="B503" s="53"/>
      <c r="C503" s="53"/>
      <c r="D503" s="43"/>
      <c r="E503" s="43"/>
      <c r="F503" s="43"/>
      <c r="G503" s="44">
        <v>1</v>
      </c>
      <c r="H503" s="44">
        <v>2</v>
      </c>
      <c r="I503" s="44">
        <v>10</v>
      </c>
      <c r="J503" s="44">
        <f>D501+0.5</f>
        <v>5.0999999999999996</v>
      </c>
      <c r="K503" s="7" t="str">
        <f t="shared" si="175"/>
        <v/>
      </c>
      <c r="L503" s="7" t="str">
        <f t="shared" si="176"/>
        <v/>
      </c>
      <c r="M503" s="7">
        <f t="shared" si="177"/>
        <v>10.199999999999999</v>
      </c>
      <c r="N503" s="7" t="str">
        <f t="shared" si="178"/>
        <v/>
      </c>
      <c r="O503" s="7" t="str">
        <f t="shared" si="179"/>
        <v/>
      </c>
      <c r="P503" s="7" t="str">
        <f t="shared" si="180"/>
        <v/>
      </c>
    </row>
    <row r="504" spans="1:16">
      <c r="A504" t="s">
        <v>76</v>
      </c>
      <c r="B504" s="53"/>
      <c r="C504" s="53"/>
      <c r="D504" s="43"/>
      <c r="E504" s="43"/>
      <c r="F504" s="43"/>
      <c r="G504" s="44">
        <v>1</v>
      </c>
      <c r="H504" s="44">
        <f>ROUNDUP((D501)/0.2,0)</f>
        <v>23</v>
      </c>
      <c r="I504" s="44">
        <v>6</v>
      </c>
      <c r="J504" s="44">
        <f>2*(E501+F501)+20.5*I504/1000</f>
        <v>1.2230000000000001</v>
      </c>
      <c r="K504" s="7">
        <f t="shared" si="175"/>
        <v>28.129000000000001</v>
      </c>
      <c r="L504" s="7" t="str">
        <f t="shared" si="176"/>
        <v/>
      </c>
      <c r="M504" s="7" t="str">
        <f t="shared" si="177"/>
        <v/>
      </c>
      <c r="N504" s="7" t="str">
        <f t="shared" si="178"/>
        <v/>
      </c>
      <c r="O504" s="7" t="str">
        <f t="shared" si="179"/>
        <v/>
      </c>
      <c r="P504" s="7" t="str">
        <f>IF(I504=16,G504*H504*J504,"")</f>
        <v/>
      </c>
    </row>
    <row r="505" spans="1:16">
      <c r="A505" s="50" t="s">
        <v>128</v>
      </c>
      <c r="B505" s="50" t="s">
        <v>11</v>
      </c>
      <c r="C505" s="51" t="s">
        <v>70</v>
      </c>
      <c r="D505">
        <v>4.78</v>
      </c>
      <c r="E505">
        <v>0.2</v>
      </c>
      <c r="F505">
        <v>0.35</v>
      </c>
    </row>
    <row r="506" spans="1:16">
      <c r="A506" t="s">
        <v>130</v>
      </c>
      <c r="B506" s="53"/>
      <c r="C506" s="53"/>
      <c r="D506" s="43"/>
      <c r="E506" s="43"/>
      <c r="F506" s="43"/>
      <c r="G506" s="44">
        <v>1</v>
      </c>
      <c r="H506" s="44">
        <v>6</v>
      </c>
      <c r="I506" s="44">
        <v>12</v>
      </c>
      <c r="J506" s="44">
        <f>D505+0.5</f>
        <v>5.28</v>
      </c>
      <c r="K506" s="7" t="str">
        <f t="shared" ref="K506:K508" si="181">IF(I506=6,G506*H506*J506,"")</f>
        <v/>
      </c>
      <c r="L506" s="7" t="str">
        <f t="shared" ref="L506:L508" si="182">IF(I506=8,G506*H506*J506,"")</f>
        <v/>
      </c>
      <c r="M506" s="7" t="str">
        <f t="shared" ref="M506:M508" si="183">IF(I506=10,G506*H506*J506,"")</f>
        <v/>
      </c>
      <c r="N506" s="7">
        <f t="shared" ref="N506:N508" si="184">IF(I506=12,G506*H506*J506,"")</f>
        <v>31.68</v>
      </c>
      <c r="O506" s="7" t="str">
        <f t="shared" ref="O506:O508" si="185">IF(I506=14,G506*H506*J506,"")</f>
        <v/>
      </c>
      <c r="P506" s="7" t="str">
        <f t="shared" ref="P506:P507" si="186">IF(I506=16,G506*H506*J506,"")</f>
        <v/>
      </c>
    </row>
    <row r="507" spans="1:16">
      <c r="A507" t="s">
        <v>129</v>
      </c>
      <c r="B507" s="53"/>
      <c r="C507" s="53"/>
      <c r="D507" s="43"/>
      <c r="E507" s="43"/>
      <c r="F507" s="43"/>
      <c r="G507" s="44">
        <v>1</v>
      </c>
      <c r="H507" s="44">
        <v>2</v>
      </c>
      <c r="I507" s="44">
        <v>10</v>
      </c>
      <c r="J507" s="44">
        <f>D505+0.5</f>
        <v>5.28</v>
      </c>
      <c r="K507" s="7" t="str">
        <f t="shared" si="181"/>
        <v/>
      </c>
      <c r="L507" s="7" t="str">
        <f t="shared" si="182"/>
        <v/>
      </c>
      <c r="M507" s="7">
        <f t="shared" si="183"/>
        <v>10.56</v>
      </c>
      <c r="N507" s="7" t="str">
        <f t="shared" si="184"/>
        <v/>
      </c>
      <c r="O507" s="7" t="str">
        <f t="shared" si="185"/>
        <v/>
      </c>
      <c r="P507" s="7" t="str">
        <f t="shared" si="186"/>
        <v/>
      </c>
    </row>
    <row r="508" spans="1:16">
      <c r="A508" t="s">
        <v>76</v>
      </c>
      <c r="B508" s="53"/>
      <c r="C508" s="53"/>
      <c r="D508" s="43"/>
      <c r="E508" s="43"/>
      <c r="F508" s="43"/>
      <c r="G508" s="44">
        <v>1</v>
      </c>
      <c r="H508" s="44">
        <f>ROUNDUP((D505)/0.2,0)</f>
        <v>24</v>
      </c>
      <c r="I508" s="44">
        <v>6</v>
      </c>
      <c r="J508" s="44">
        <f>2*(E505+F505)+20.5*I508/1000</f>
        <v>1.2230000000000001</v>
      </c>
      <c r="K508" s="7">
        <f t="shared" si="181"/>
        <v>29.352000000000004</v>
      </c>
      <c r="L508" s="7" t="str">
        <f t="shared" si="182"/>
        <v/>
      </c>
      <c r="M508" s="7" t="str">
        <f t="shared" si="183"/>
        <v/>
      </c>
      <c r="N508" s="7" t="str">
        <f t="shared" si="184"/>
        <v/>
      </c>
      <c r="O508" s="7" t="str">
        <f t="shared" si="185"/>
        <v/>
      </c>
      <c r="P508" s="7" t="str">
        <f>IF(I508=16,G508*H508*J508,"")</f>
        <v/>
      </c>
    </row>
    <row r="509" spans="1:16">
      <c r="A509" s="50" t="s">
        <v>131</v>
      </c>
      <c r="B509" s="50" t="s">
        <v>11</v>
      </c>
      <c r="C509" s="51" t="s">
        <v>110</v>
      </c>
      <c r="D509">
        <v>2.65</v>
      </c>
      <c r="E509">
        <v>0.2</v>
      </c>
      <c r="F509">
        <v>0.3</v>
      </c>
    </row>
    <row r="510" spans="1:16">
      <c r="A510" t="s">
        <v>130</v>
      </c>
      <c r="B510" s="53"/>
      <c r="C510" s="53"/>
      <c r="D510" s="43"/>
      <c r="E510" s="43"/>
      <c r="F510" s="43"/>
      <c r="G510" s="44">
        <v>1</v>
      </c>
      <c r="H510" s="44">
        <v>6</v>
      </c>
      <c r="I510" s="44">
        <v>12</v>
      </c>
      <c r="J510" s="44">
        <f>D509+0.5</f>
        <v>3.15</v>
      </c>
      <c r="K510" s="7" t="str">
        <f t="shared" ref="K510:K512" si="187">IF(I510=6,G510*H510*J510,"")</f>
        <v/>
      </c>
      <c r="L510" s="7" t="str">
        <f t="shared" ref="L510:L512" si="188">IF(I510=8,G510*H510*J510,"")</f>
        <v/>
      </c>
      <c r="M510" s="7" t="str">
        <f t="shared" ref="M510:M512" si="189">IF(I510=10,G510*H510*J510,"")</f>
        <v/>
      </c>
      <c r="N510" s="7">
        <f t="shared" ref="N510:N512" si="190">IF(I510=12,G510*H510*J510,"")</f>
        <v>18.899999999999999</v>
      </c>
      <c r="O510" s="7" t="str">
        <f t="shared" ref="O510:O512" si="191">IF(I510=14,G510*H510*J510,"")</f>
        <v/>
      </c>
      <c r="P510" s="7" t="str">
        <f t="shared" ref="P510:P511" si="192">IF(I510=16,G510*H510*J510,"")</f>
        <v/>
      </c>
    </row>
    <row r="511" spans="1:16">
      <c r="A511" t="s">
        <v>129</v>
      </c>
      <c r="B511" s="53"/>
      <c r="C511" s="53"/>
      <c r="D511" s="43"/>
      <c r="E511" s="43"/>
      <c r="F511" s="43"/>
      <c r="G511" s="44">
        <v>1</v>
      </c>
      <c r="H511" s="44">
        <v>2</v>
      </c>
      <c r="I511" s="44">
        <v>10</v>
      </c>
      <c r="J511" s="44">
        <f>D509+0.5</f>
        <v>3.15</v>
      </c>
      <c r="K511" s="7" t="str">
        <f t="shared" si="187"/>
        <v/>
      </c>
      <c r="L511" s="7" t="str">
        <f t="shared" si="188"/>
        <v/>
      </c>
      <c r="M511" s="7">
        <f t="shared" si="189"/>
        <v>6.3</v>
      </c>
      <c r="N511" s="7" t="str">
        <f t="shared" si="190"/>
        <v/>
      </c>
      <c r="O511" s="7" t="str">
        <f t="shared" si="191"/>
        <v/>
      </c>
      <c r="P511" s="7" t="str">
        <f t="shared" si="192"/>
        <v/>
      </c>
    </row>
    <row r="512" spans="1:16">
      <c r="A512" t="s">
        <v>76</v>
      </c>
      <c r="B512" s="53"/>
      <c r="C512" s="53"/>
      <c r="D512" s="43"/>
      <c r="E512" s="43"/>
      <c r="F512" s="43"/>
      <c r="G512" s="44">
        <v>1</v>
      </c>
      <c r="H512" s="44">
        <f>ROUNDUP((D509)/0.2,0)</f>
        <v>14</v>
      </c>
      <c r="I512" s="44">
        <v>6</v>
      </c>
      <c r="J512" s="44">
        <f>2*(E509+F509)+20.5*I512/1000</f>
        <v>1.123</v>
      </c>
      <c r="K512" s="7">
        <f t="shared" si="187"/>
        <v>15.722</v>
      </c>
      <c r="L512" s="7" t="str">
        <f t="shared" si="188"/>
        <v/>
      </c>
      <c r="M512" s="7" t="str">
        <f t="shared" si="189"/>
        <v/>
      </c>
      <c r="N512" s="7" t="str">
        <f t="shared" si="190"/>
        <v/>
      </c>
      <c r="O512" s="7" t="str">
        <f t="shared" si="191"/>
        <v/>
      </c>
      <c r="P512" s="7" t="str">
        <f>IF(I512=16,G512*H512*J512,"")</f>
        <v/>
      </c>
    </row>
    <row r="513" spans="1:16">
      <c r="A513" s="50" t="s">
        <v>128</v>
      </c>
      <c r="B513" s="50" t="s">
        <v>11</v>
      </c>
      <c r="C513" s="51" t="s">
        <v>111</v>
      </c>
      <c r="D513">
        <v>4.5999999999999996</v>
      </c>
      <c r="E513">
        <v>0.2</v>
      </c>
      <c r="F513">
        <v>0.35</v>
      </c>
    </row>
    <row r="514" spans="1:16">
      <c r="A514" t="s">
        <v>130</v>
      </c>
      <c r="B514" s="53"/>
      <c r="C514" s="53"/>
      <c r="D514" s="43"/>
      <c r="E514" s="43"/>
      <c r="F514" s="43"/>
      <c r="G514" s="44">
        <v>1</v>
      </c>
      <c r="H514" s="44">
        <v>6</v>
      </c>
      <c r="I514" s="44">
        <v>12</v>
      </c>
      <c r="J514" s="44">
        <f>D513+0.5</f>
        <v>5.0999999999999996</v>
      </c>
      <c r="K514" s="7" t="str">
        <f t="shared" ref="K514:K516" si="193">IF(I514=6,G514*H514*J514,"")</f>
        <v/>
      </c>
      <c r="L514" s="7" t="str">
        <f t="shared" ref="L514:L516" si="194">IF(I514=8,G514*H514*J514,"")</f>
        <v/>
      </c>
      <c r="M514" s="7" t="str">
        <f t="shared" ref="M514:M516" si="195">IF(I514=10,G514*H514*J514,"")</f>
        <v/>
      </c>
      <c r="N514" s="7">
        <f t="shared" ref="N514:N516" si="196">IF(I514=12,G514*H514*J514,"")</f>
        <v>30.599999999999998</v>
      </c>
      <c r="O514" s="7" t="str">
        <f t="shared" ref="O514:O516" si="197">IF(I514=14,G514*H514*J514,"")</f>
        <v/>
      </c>
      <c r="P514" s="7" t="str">
        <f t="shared" ref="P514:P515" si="198">IF(I514=16,G514*H514*J514,"")</f>
        <v/>
      </c>
    </row>
    <row r="515" spans="1:16">
      <c r="A515" t="s">
        <v>129</v>
      </c>
      <c r="B515" s="53"/>
      <c r="C515" s="53"/>
      <c r="D515" s="43"/>
      <c r="E515" s="43"/>
      <c r="F515" s="43"/>
      <c r="G515" s="44">
        <v>1</v>
      </c>
      <c r="H515" s="44">
        <v>2</v>
      </c>
      <c r="I515" s="44">
        <v>10</v>
      </c>
      <c r="J515" s="44">
        <f>D513+0.5</f>
        <v>5.0999999999999996</v>
      </c>
      <c r="K515" s="7" t="str">
        <f t="shared" si="193"/>
        <v/>
      </c>
      <c r="L515" s="7" t="str">
        <f t="shared" si="194"/>
        <v/>
      </c>
      <c r="M515" s="7">
        <f t="shared" si="195"/>
        <v>10.199999999999999</v>
      </c>
      <c r="N515" s="7" t="str">
        <f t="shared" si="196"/>
        <v/>
      </c>
      <c r="O515" s="7" t="str">
        <f t="shared" si="197"/>
        <v/>
      </c>
      <c r="P515" s="7" t="str">
        <f t="shared" si="198"/>
        <v/>
      </c>
    </row>
    <row r="516" spans="1:16">
      <c r="A516" t="s">
        <v>76</v>
      </c>
      <c r="B516" s="53"/>
      <c r="C516" s="53"/>
      <c r="D516" s="43"/>
      <c r="E516" s="43"/>
      <c r="F516" s="43"/>
      <c r="G516" s="44">
        <v>1</v>
      </c>
      <c r="H516" s="44">
        <f>ROUNDUP((D513)/0.2,0)</f>
        <v>23</v>
      </c>
      <c r="I516" s="44">
        <v>6</v>
      </c>
      <c r="J516" s="44">
        <f>2*(E513+F513)+20.5*I516/1000</f>
        <v>1.2230000000000001</v>
      </c>
      <c r="K516" s="7">
        <f t="shared" si="193"/>
        <v>28.129000000000001</v>
      </c>
      <c r="L516" s="7" t="str">
        <f t="shared" si="194"/>
        <v/>
      </c>
      <c r="M516" s="7" t="str">
        <f t="shared" si="195"/>
        <v/>
      </c>
      <c r="N516" s="7" t="str">
        <f t="shared" si="196"/>
        <v/>
      </c>
      <c r="O516" s="7" t="str">
        <f t="shared" si="197"/>
        <v/>
      </c>
      <c r="P516" s="7" t="str">
        <f>IF(I516=16,G516*H516*J516,"")</f>
        <v/>
      </c>
    </row>
    <row r="517" spans="1:16">
      <c r="A517" s="50" t="s">
        <v>132</v>
      </c>
      <c r="B517" s="50" t="s">
        <v>133</v>
      </c>
      <c r="C517" s="51" t="s">
        <v>83</v>
      </c>
      <c r="D517">
        <v>3.82</v>
      </c>
      <c r="E517">
        <v>0.2</v>
      </c>
      <c r="F517">
        <v>0.45</v>
      </c>
    </row>
    <row r="518" spans="1:16">
      <c r="A518" t="s">
        <v>130</v>
      </c>
      <c r="B518" s="53"/>
      <c r="C518" s="53"/>
      <c r="D518" s="43"/>
      <c r="E518" s="43"/>
      <c r="F518" s="43"/>
      <c r="G518" s="44">
        <v>1</v>
      </c>
      <c r="H518" s="44">
        <v>6</v>
      </c>
      <c r="I518" s="44">
        <v>14</v>
      </c>
      <c r="J518" s="44">
        <f>D517+0.5</f>
        <v>4.32</v>
      </c>
      <c r="K518" s="7" t="str">
        <f t="shared" ref="K518:K521" si="199">IF(I518=6,G518*H518*J518,"")</f>
        <v/>
      </c>
      <c r="L518" s="7" t="str">
        <f t="shared" ref="L518:L521" si="200">IF(I518=8,G518*H518*J518,"")</f>
        <v/>
      </c>
      <c r="M518" s="7" t="str">
        <f t="shared" ref="M518:M521" si="201">IF(I518=10,G518*H518*J518,"")</f>
        <v/>
      </c>
      <c r="N518" s="7" t="str">
        <f t="shared" ref="N518:N521" si="202">IF(I518=12,G518*H518*J518,"")</f>
        <v/>
      </c>
      <c r="O518" s="7">
        <f t="shared" ref="O518:O521" si="203">IF(I518=14,G518*H518*J518,"")</f>
        <v>25.92</v>
      </c>
      <c r="P518" s="7" t="str">
        <f t="shared" ref="P518:P520" si="204">IF(I518=16,G518*H518*J518,"")</f>
        <v/>
      </c>
    </row>
    <row r="519" spans="1:16">
      <c r="A519" t="s">
        <v>134</v>
      </c>
      <c r="B519" s="53"/>
      <c r="C519" s="53"/>
      <c r="D519" s="43"/>
      <c r="E519" s="43"/>
      <c r="F519" s="43"/>
      <c r="G519" s="44">
        <v>1</v>
      </c>
      <c r="H519" s="44">
        <v>4</v>
      </c>
      <c r="I519" s="44">
        <v>12</v>
      </c>
      <c r="J519" s="44">
        <f>D517+0.5</f>
        <v>4.32</v>
      </c>
      <c r="K519" s="7" t="str">
        <f t="shared" ref="K519" si="205">IF(I519=6,G519*H519*J519,"")</f>
        <v/>
      </c>
      <c r="L519" s="7" t="str">
        <f t="shared" ref="L519" si="206">IF(I519=8,G519*H519*J519,"")</f>
        <v/>
      </c>
      <c r="M519" s="7" t="str">
        <f t="shared" ref="M519" si="207">IF(I519=10,G519*H519*J519,"")</f>
        <v/>
      </c>
      <c r="N519" s="7">
        <f t="shared" ref="N519" si="208">IF(I519=12,G519*H519*J519,"")</f>
        <v>17.28</v>
      </c>
      <c r="O519" s="7" t="str">
        <f t="shared" ref="O519" si="209">IF(I519=14,G519*H519*J519,"")</f>
        <v/>
      </c>
      <c r="P519" s="7" t="str">
        <f t="shared" ref="P519" si="210">IF(I519=16,G519*H519*J519,"")</f>
        <v/>
      </c>
    </row>
    <row r="520" spans="1:16">
      <c r="A520" t="s">
        <v>129</v>
      </c>
      <c r="B520" s="53"/>
      <c r="C520" s="53"/>
      <c r="D520" s="43"/>
      <c r="E520" s="43"/>
      <c r="F520" s="43"/>
      <c r="G520" s="44">
        <v>1</v>
      </c>
      <c r="H520" s="44">
        <v>4</v>
      </c>
      <c r="I520" s="44">
        <v>10</v>
      </c>
      <c r="J520" s="44">
        <f>D517+0.5</f>
        <v>4.32</v>
      </c>
      <c r="K520" s="7" t="str">
        <f t="shared" si="199"/>
        <v/>
      </c>
      <c r="L520" s="7" t="str">
        <f t="shared" si="200"/>
        <v/>
      </c>
      <c r="M520" s="7">
        <f t="shared" si="201"/>
        <v>17.28</v>
      </c>
      <c r="N520" s="7" t="str">
        <f t="shared" si="202"/>
        <v/>
      </c>
      <c r="O520" s="7" t="str">
        <f t="shared" si="203"/>
        <v/>
      </c>
      <c r="P520" s="7" t="str">
        <f t="shared" si="204"/>
        <v/>
      </c>
    </row>
    <row r="521" spans="1:16">
      <c r="A521" t="s">
        <v>76</v>
      </c>
      <c r="B521" s="53"/>
      <c r="C521" s="53"/>
      <c r="D521" s="43"/>
      <c r="E521" s="43"/>
      <c r="F521" s="43"/>
      <c r="G521" s="44">
        <v>1</v>
      </c>
      <c r="H521" s="44">
        <f>ROUNDUP((D517)/0.2,0)</f>
        <v>20</v>
      </c>
      <c r="I521" s="44">
        <v>6</v>
      </c>
      <c r="J521" s="44">
        <f>2*(E517+F517)+20.5*I521/1000</f>
        <v>1.423</v>
      </c>
      <c r="K521" s="7">
        <f t="shared" si="199"/>
        <v>28.46</v>
      </c>
      <c r="L521" s="7" t="str">
        <f t="shared" si="200"/>
        <v/>
      </c>
      <c r="M521" s="7" t="str">
        <f t="shared" si="201"/>
        <v/>
      </c>
      <c r="N521" s="7" t="str">
        <f t="shared" si="202"/>
        <v/>
      </c>
      <c r="O521" s="7" t="str">
        <f t="shared" si="203"/>
        <v/>
      </c>
      <c r="P521" s="7" t="str">
        <f>IF(I521=16,G521*H521*J521,"")</f>
        <v/>
      </c>
    </row>
    <row r="522" spans="1:16">
      <c r="A522" t="s">
        <v>77</v>
      </c>
      <c r="B522" s="53"/>
      <c r="C522" s="53"/>
      <c r="D522" s="43"/>
      <c r="E522" s="43"/>
      <c r="F522" s="43"/>
      <c r="G522" s="44">
        <v>1</v>
      </c>
      <c r="H522" s="44">
        <f>ROUNDUP((D517)/0.2,0)*2</f>
        <v>40</v>
      </c>
      <c r="I522" s="44">
        <v>6</v>
      </c>
      <c r="J522" s="44">
        <f>F517+22*(I522/1000)</f>
        <v>0.58200000000000007</v>
      </c>
      <c r="K522" s="7">
        <f t="shared" ref="K522" si="211">IF(I522=6,G522*H522*J522,"")</f>
        <v>23.28</v>
      </c>
      <c r="L522" s="7" t="str">
        <f t="shared" ref="L522" si="212">IF(I522=8,G522*H522*J522,"")</f>
        <v/>
      </c>
      <c r="M522" s="7" t="str">
        <f t="shared" ref="M522" si="213">IF(I522=10,G522*H522*J522,"")</f>
        <v/>
      </c>
      <c r="N522" s="7" t="str">
        <f t="shared" ref="N522" si="214">IF(I522=12,G522*H522*J522,"")</f>
        <v/>
      </c>
      <c r="O522" s="7" t="str">
        <f t="shared" ref="O522" si="215">IF(I522=14,G522*H522*J522,"")</f>
        <v/>
      </c>
      <c r="P522" s="7" t="str">
        <f>IF(I522=16,G522*H522*J522,"")</f>
        <v/>
      </c>
    </row>
    <row r="523" spans="1:16">
      <c r="A523" s="50" t="s">
        <v>135</v>
      </c>
      <c r="B523" s="50" t="s">
        <v>136</v>
      </c>
      <c r="C523" s="51" t="s">
        <v>83</v>
      </c>
      <c r="D523">
        <f>0.4+0.82+1.08+0.15</f>
        <v>2.4499999999999997</v>
      </c>
      <c r="E523">
        <v>0.2</v>
      </c>
      <c r="F523">
        <v>0.4</v>
      </c>
    </row>
    <row r="524" spans="1:16">
      <c r="A524" t="s">
        <v>130</v>
      </c>
      <c r="B524" s="53"/>
      <c r="C524" s="53"/>
      <c r="D524" s="43"/>
      <c r="E524" s="43"/>
      <c r="F524" s="43"/>
      <c r="G524" s="44">
        <v>1</v>
      </c>
      <c r="H524" s="44">
        <v>6</v>
      </c>
      <c r="I524" s="44">
        <v>14</v>
      </c>
      <c r="J524" s="44">
        <f>D523+0.5</f>
        <v>2.9499999999999997</v>
      </c>
      <c r="K524" s="7" t="str">
        <f t="shared" ref="K524:K528" si="216">IF(I524=6,G524*H524*J524,"")</f>
        <v/>
      </c>
      <c r="L524" s="7" t="str">
        <f t="shared" ref="L524:L528" si="217">IF(I524=8,G524*H524*J524,"")</f>
        <v/>
      </c>
      <c r="M524" s="7" t="str">
        <f t="shared" ref="M524:M528" si="218">IF(I524=10,G524*H524*J524,"")</f>
        <v/>
      </c>
      <c r="N524" s="7" t="str">
        <f t="shared" ref="N524:N528" si="219">IF(I524=12,G524*H524*J524,"")</f>
        <v/>
      </c>
      <c r="O524" s="7">
        <f t="shared" ref="O524:O528" si="220">IF(I524=14,G524*H524*J524,"")</f>
        <v>17.7</v>
      </c>
      <c r="P524" s="7" t="str">
        <f t="shared" ref="P524:P526" si="221">IF(I524=16,G524*H524*J524,"")</f>
        <v/>
      </c>
    </row>
    <row r="525" spans="1:16">
      <c r="A525" t="s">
        <v>134</v>
      </c>
      <c r="B525" s="53"/>
      <c r="C525" s="53"/>
      <c r="D525" s="43"/>
      <c r="E525" s="43"/>
      <c r="F525" s="43"/>
      <c r="G525" s="44">
        <v>1</v>
      </c>
      <c r="H525" s="44">
        <v>4</v>
      </c>
      <c r="I525" s="44">
        <v>12</v>
      </c>
      <c r="J525" s="44">
        <f>D523+0.5</f>
        <v>2.9499999999999997</v>
      </c>
      <c r="K525" s="7" t="str">
        <f t="shared" si="216"/>
        <v/>
      </c>
      <c r="L525" s="7" t="str">
        <f t="shared" si="217"/>
        <v/>
      </c>
      <c r="M525" s="7" t="str">
        <f t="shared" si="218"/>
        <v/>
      </c>
      <c r="N525" s="7">
        <f t="shared" si="219"/>
        <v>11.799999999999999</v>
      </c>
      <c r="O525" s="7" t="str">
        <f t="shared" si="220"/>
        <v/>
      </c>
      <c r="P525" s="7" t="str">
        <f t="shared" si="221"/>
        <v/>
      </c>
    </row>
    <row r="526" spans="1:16">
      <c r="A526" t="s">
        <v>129</v>
      </c>
      <c r="B526" s="53"/>
      <c r="C526" s="53"/>
      <c r="D526" s="43"/>
      <c r="E526" s="43"/>
      <c r="F526" s="43"/>
      <c r="G526" s="44">
        <v>1</v>
      </c>
      <c r="H526" s="44">
        <v>4</v>
      </c>
      <c r="I526" s="44">
        <v>10</v>
      </c>
      <c r="J526" s="44">
        <f>D523+0.5</f>
        <v>2.9499999999999997</v>
      </c>
      <c r="K526" s="7" t="str">
        <f t="shared" si="216"/>
        <v/>
      </c>
      <c r="L526" s="7" t="str">
        <f t="shared" si="217"/>
        <v/>
      </c>
      <c r="M526" s="7">
        <f t="shared" si="218"/>
        <v>11.799999999999999</v>
      </c>
      <c r="N526" s="7" t="str">
        <f t="shared" si="219"/>
        <v/>
      </c>
      <c r="O526" s="7" t="str">
        <f t="shared" si="220"/>
        <v/>
      </c>
      <c r="P526" s="7" t="str">
        <f t="shared" si="221"/>
        <v/>
      </c>
    </row>
    <row r="527" spans="1:16">
      <c r="A527" t="s">
        <v>76</v>
      </c>
      <c r="B527" s="53"/>
      <c r="C527" s="53"/>
      <c r="D527" s="43"/>
      <c r="E527" s="43"/>
      <c r="F527" s="43"/>
      <c r="G527" s="44">
        <v>1</v>
      </c>
      <c r="H527" s="44">
        <f>ROUNDUP((D523)/0.2,0)</f>
        <v>13</v>
      </c>
      <c r="I527" s="44">
        <v>6</v>
      </c>
      <c r="J527" s="44">
        <f>2*(E523+F523)+20.5*I527/1000</f>
        <v>1.3230000000000002</v>
      </c>
      <c r="K527" s="7">
        <f t="shared" si="216"/>
        <v>17.199000000000002</v>
      </c>
      <c r="L527" s="7" t="str">
        <f t="shared" si="217"/>
        <v/>
      </c>
      <c r="M527" s="7" t="str">
        <f t="shared" si="218"/>
        <v/>
      </c>
      <c r="N527" s="7" t="str">
        <f t="shared" si="219"/>
        <v/>
      </c>
      <c r="O527" s="7" t="str">
        <f t="shared" si="220"/>
        <v/>
      </c>
      <c r="P527" s="7" t="str">
        <f>IF(I527=16,G527*H527*J527,"")</f>
        <v/>
      </c>
    </row>
    <row r="528" spans="1:16">
      <c r="A528" t="s">
        <v>77</v>
      </c>
      <c r="B528" s="53"/>
      <c r="C528" s="53"/>
      <c r="D528" s="43"/>
      <c r="E528" s="43"/>
      <c r="F528" s="43"/>
      <c r="G528" s="44">
        <v>1</v>
      </c>
      <c r="H528" s="44">
        <f>ROUNDUP((D523)/0.2,0)</f>
        <v>13</v>
      </c>
      <c r="I528" s="44">
        <v>6</v>
      </c>
      <c r="J528" s="44">
        <f>F523+22*(I528/1000)</f>
        <v>0.53200000000000003</v>
      </c>
      <c r="K528" s="7">
        <f t="shared" si="216"/>
        <v>6.9160000000000004</v>
      </c>
      <c r="L528" s="7" t="str">
        <f t="shared" si="217"/>
        <v/>
      </c>
      <c r="M528" s="7" t="str">
        <f t="shared" si="218"/>
        <v/>
      </c>
      <c r="N528" s="7" t="str">
        <f t="shared" si="219"/>
        <v/>
      </c>
      <c r="O528" s="7" t="str">
        <f t="shared" si="220"/>
        <v/>
      </c>
      <c r="P528" s="7" t="str">
        <f>IF(I528=16,G528*H528*J528,"")</f>
        <v/>
      </c>
    </row>
    <row r="529" spans="1:16">
      <c r="A529" s="50" t="s">
        <v>135</v>
      </c>
      <c r="B529" s="50" t="s">
        <v>85</v>
      </c>
      <c r="C529" s="51" t="s">
        <v>87</v>
      </c>
      <c r="D529">
        <f>3.82+0.4</f>
        <v>4.22</v>
      </c>
      <c r="E529">
        <v>0.2</v>
      </c>
      <c r="F529">
        <v>0.45</v>
      </c>
    </row>
    <row r="530" spans="1:16">
      <c r="A530" t="s">
        <v>130</v>
      </c>
      <c r="B530" s="53"/>
      <c r="C530" s="53"/>
      <c r="D530" s="43"/>
      <c r="E530" s="43"/>
      <c r="F530" s="43"/>
      <c r="G530" s="44">
        <v>1</v>
      </c>
      <c r="H530" s="44">
        <v>6</v>
      </c>
      <c r="I530" s="44">
        <v>14</v>
      </c>
      <c r="J530" s="44">
        <f>D529+0.5</f>
        <v>4.72</v>
      </c>
      <c r="K530" s="7" t="str">
        <f t="shared" ref="K530:K534" si="222">IF(I530=6,G530*H530*J530,"")</f>
        <v/>
      </c>
      <c r="L530" s="7" t="str">
        <f t="shared" ref="L530:L534" si="223">IF(I530=8,G530*H530*J530,"")</f>
        <v/>
      </c>
      <c r="M530" s="7" t="str">
        <f t="shared" ref="M530:M534" si="224">IF(I530=10,G530*H530*J530,"")</f>
        <v/>
      </c>
      <c r="N530" s="7" t="str">
        <f t="shared" ref="N530:N534" si="225">IF(I530=12,G530*H530*J530,"")</f>
        <v/>
      </c>
      <c r="O530" s="7">
        <f t="shared" ref="O530:O534" si="226">IF(I530=14,G530*H530*J530,"")</f>
        <v>28.32</v>
      </c>
      <c r="P530" s="7" t="str">
        <f t="shared" ref="P530:P532" si="227">IF(I530=16,G530*H530*J530,"")</f>
        <v/>
      </c>
    </row>
    <row r="531" spans="1:16">
      <c r="A531" t="s">
        <v>134</v>
      </c>
      <c r="B531" s="53"/>
      <c r="C531" s="53"/>
      <c r="D531" s="43"/>
      <c r="E531" s="43"/>
      <c r="F531" s="43"/>
      <c r="G531" s="44">
        <v>1</v>
      </c>
      <c r="H531" s="44">
        <v>4</v>
      </c>
      <c r="I531" s="44">
        <v>12</v>
      </c>
      <c r="J531" s="44">
        <f>D529+0.5</f>
        <v>4.72</v>
      </c>
      <c r="K531" s="7" t="str">
        <f t="shared" si="222"/>
        <v/>
      </c>
      <c r="L531" s="7" t="str">
        <f t="shared" si="223"/>
        <v/>
      </c>
      <c r="M531" s="7" t="str">
        <f t="shared" si="224"/>
        <v/>
      </c>
      <c r="N531" s="7">
        <f t="shared" si="225"/>
        <v>18.88</v>
      </c>
      <c r="O531" s="7" t="str">
        <f t="shared" si="226"/>
        <v/>
      </c>
      <c r="P531" s="7" t="str">
        <f t="shared" si="227"/>
        <v/>
      </c>
    </row>
    <row r="532" spans="1:16">
      <c r="A532" t="s">
        <v>129</v>
      </c>
      <c r="B532" s="53"/>
      <c r="C532" s="53"/>
      <c r="D532" s="43"/>
      <c r="E532" s="43"/>
      <c r="F532" s="43"/>
      <c r="G532" s="44">
        <v>1</v>
      </c>
      <c r="H532" s="44">
        <v>4</v>
      </c>
      <c r="I532" s="44">
        <v>10</v>
      </c>
      <c r="J532" s="44">
        <f>D529+0.5</f>
        <v>4.72</v>
      </c>
      <c r="K532" s="7" t="str">
        <f t="shared" si="222"/>
        <v/>
      </c>
      <c r="L532" s="7" t="str">
        <f t="shared" si="223"/>
        <v/>
      </c>
      <c r="M532" s="7">
        <f t="shared" si="224"/>
        <v>18.88</v>
      </c>
      <c r="N532" s="7" t="str">
        <f t="shared" si="225"/>
        <v/>
      </c>
      <c r="O532" s="7" t="str">
        <f t="shared" si="226"/>
        <v/>
      </c>
      <c r="P532" s="7" t="str">
        <f t="shared" si="227"/>
        <v/>
      </c>
    </row>
    <row r="533" spans="1:16">
      <c r="A533" t="s">
        <v>76</v>
      </c>
      <c r="B533" s="53"/>
      <c r="C533" s="53"/>
      <c r="D533" s="43"/>
      <c r="E533" s="43"/>
      <c r="F533" s="43"/>
      <c r="G533" s="44">
        <v>1</v>
      </c>
      <c r="H533" s="44">
        <f>ROUNDUP((D529)/0.2,0)</f>
        <v>22</v>
      </c>
      <c r="I533" s="44">
        <v>6</v>
      </c>
      <c r="J533" s="44">
        <f>2*(E529+F529)+20.5*I533/1000</f>
        <v>1.423</v>
      </c>
      <c r="K533" s="7">
        <f t="shared" si="222"/>
        <v>31.306000000000001</v>
      </c>
      <c r="L533" s="7" t="str">
        <f t="shared" si="223"/>
        <v/>
      </c>
      <c r="M533" s="7" t="str">
        <f t="shared" si="224"/>
        <v/>
      </c>
      <c r="N533" s="7" t="str">
        <f t="shared" si="225"/>
        <v/>
      </c>
      <c r="O533" s="7" t="str">
        <f t="shared" si="226"/>
        <v/>
      </c>
      <c r="P533" s="7" t="str">
        <f>IF(I533=16,G533*H533*J533,"")</f>
        <v/>
      </c>
    </row>
    <row r="534" spans="1:16">
      <c r="A534" t="s">
        <v>77</v>
      </c>
      <c r="B534" s="53"/>
      <c r="C534" s="53"/>
      <c r="D534" s="43"/>
      <c r="E534" s="43"/>
      <c r="F534" s="43"/>
      <c r="G534" s="44">
        <v>1</v>
      </c>
      <c r="H534" s="44">
        <f>ROUNDUP((D529)/0.2,0)*2</f>
        <v>44</v>
      </c>
      <c r="I534" s="44">
        <v>6</v>
      </c>
      <c r="J534" s="44">
        <f>F529+22*(I534/1000)</f>
        <v>0.58200000000000007</v>
      </c>
      <c r="K534" s="7">
        <f t="shared" si="222"/>
        <v>25.608000000000004</v>
      </c>
      <c r="L534" s="7" t="str">
        <f t="shared" si="223"/>
        <v/>
      </c>
      <c r="M534" s="7" t="str">
        <f t="shared" si="224"/>
        <v/>
      </c>
      <c r="N534" s="7" t="str">
        <f t="shared" si="225"/>
        <v/>
      </c>
      <c r="O534" s="7" t="str">
        <f t="shared" si="226"/>
        <v/>
      </c>
      <c r="P534" s="7" t="str">
        <f>IF(I534=16,G534*H534*J534,"")</f>
        <v/>
      </c>
    </row>
    <row r="535" spans="1:16">
      <c r="A535" s="50" t="s">
        <v>131</v>
      </c>
      <c r="B535" s="50" t="s">
        <v>119</v>
      </c>
      <c r="C535" s="51" t="s">
        <v>87</v>
      </c>
      <c r="D535">
        <f>0.82+1.08</f>
        <v>1.9</v>
      </c>
      <c r="E535">
        <v>0.2</v>
      </c>
      <c r="F535">
        <v>0.3</v>
      </c>
    </row>
    <row r="536" spans="1:16">
      <c r="A536" t="s">
        <v>130</v>
      </c>
      <c r="B536" s="53"/>
      <c r="C536" s="53"/>
      <c r="D536" s="43"/>
      <c r="E536" s="43"/>
      <c r="F536" s="43"/>
      <c r="G536" s="44">
        <v>1</v>
      </c>
      <c r="H536" s="44">
        <v>6</v>
      </c>
      <c r="I536" s="44">
        <v>12</v>
      </c>
      <c r="J536" s="44">
        <f>D535+0.5</f>
        <v>2.4</v>
      </c>
      <c r="K536" s="7" t="str">
        <f t="shared" ref="K536:K538" si="228">IF(I536=6,G536*H536*J536,"")</f>
        <v/>
      </c>
      <c r="L536" s="7" t="str">
        <f t="shared" ref="L536:L538" si="229">IF(I536=8,G536*H536*J536,"")</f>
        <v/>
      </c>
      <c r="M536" s="7" t="str">
        <f t="shared" ref="M536:M538" si="230">IF(I536=10,G536*H536*J536,"")</f>
        <v/>
      </c>
      <c r="N536" s="7">
        <f t="shared" ref="N536:N538" si="231">IF(I536=12,G536*H536*J536,"")</f>
        <v>14.399999999999999</v>
      </c>
      <c r="O536" s="7" t="str">
        <f t="shared" ref="O536:O538" si="232">IF(I536=14,G536*H536*J536,"")</f>
        <v/>
      </c>
      <c r="P536" s="7" t="str">
        <f t="shared" ref="P536:P537" si="233">IF(I536=16,G536*H536*J536,"")</f>
        <v/>
      </c>
    </row>
    <row r="537" spans="1:16">
      <c r="A537" t="s">
        <v>129</v>
      </c>
      <c r="B537" s="53"/>
      <c r="C537" s="53"/>
      <c r="D537" s="43"/>
      <c r="E537" s="43"/>
      <c r="F537" s="43"/>
      <c r="G537" s="44">
        <v>1</v>
      </c>
      <c r="H537" s="44">
        <v>2</v>
      </c>
      <c r="I537" s="44">
        <v>10</v>
      </c>
      <c r="J537" s="44">
        <f>D535+0.5</f>
        <v>2.4</v>
      </c>
      <c r="K537" s="7" t="str">
        <f t="shared" si="228"/>
        <v/>
      </c>
      <c r="L537" s="7" t="str">
        <f t="shared" si="229"/>
        <v/>
      </c>
      <c r="M537" s="7">
        <f t="shared" si="230"/>
        <v>4.8</v>
      </c>
      <c r="N537" s="7" t="str">
        <f t="shared" si="231"/>
        <v/>
      </c>
      <c r="O537" s="7" t="str">
        <f t="shared" si="232"/>
        <v/>
      </c>
      <c r="P537" s="7" t="str">
        <f t="shared" si="233"/>
        <v/>
      </c>
    </row>
    <row r="538" spans="1:16">
      <c r="A538" t="s">
        <v>76</v>
      </c>
      <c r="B538" s="53"/>
      <c r="C538" s="53"/>
      <c r="D538" s="43"/>
      <c r="E538" s="43"/>
      <c r="F538" s="43"/>
      <c r="G538" s="44">
        <v>1</v>
      </c>
      <c r="H538" s="44">
        <f>ROUNDUP((D535)/0.2,0)</f>
        <v>10</v>
      </c>
      <c r="I538" s="44">
        <v>6</v>
      </c>
      <c r="J538" s="44">
        <f>2*(E535+F535)+20.5*I538/1000</f>
        <v>1.123</v>
      </c>
      <c r="K538" s="7">
        <f t="shared" si="228"/>
        <v>11.23</v>
      </c>
      <c r="L538" s="7" t="str">
        <f t="shared" si="229"/>
        <v/>
      </c>
      <c r="M538" s="7" t="str">
        <f t="shared" si="230"/>
        <v/>
      </c>
      <c r="N538" s="7" t="str">
        <f t="shared" si="231"/>
        <v/>
      </c>
      <c r="O538" s="7" t="str">
        <f t="shared" si="232"/>
        <v/>
      </c>
      <c r="P538" s="7" t="str">
        <f>IF(I538=16,G538*H538*J538,"")</f>
        <v/>
      </c>
    </row>
    <row r="539" spans="1:16">
      <c r="A539" s="50" t="s">
        <v>135</v>
      </c>
      <c r="B539" s="50" t="s">
        <v>115</v>
      </c>
      <c r="C539" s="51" t="s">
        <v>87</v>
      </c>
      <c r="D539">
        <f>0.15+3.82</f>
        <v>3.9699999999999998</v>
      </c>
      <c r="E539">
        <v>0.2</v>
      </c>
      <c r="F539">
        <v>0.4</v>
      </c>
    </row>
    <row r="540" spans="1:16">
      <c r="A540" t="s">
        <v>130</v>
      </c>
      <c r="B540" s="53"/>
      <c r="C540" s="53"/>
      <c r="D540" s="43"/>
      <c r="E540" s="43"/>
      <c r="F540" s="43"/>
      <c r="G540" s="44">
        <v>1</v>
      </c>
      <c r="H540" s="44">
        <v>6</v>
      </c>
      <c r="I540" s="44">
        <v>14</v>
      </c>
      <c r="J540" s="44">
        <f>D539+0.5</f>
        <v>4.47</v>
      </c>
      <c r="K540" s="7" t="str">
        <f t="shared" ref="K540:K544" si="234">IF(I540=6,G540*H540*J540,"")</f>
        <v/>
      </c>
      <c r="L540" s="7" t="str">
        <f t="shared" ref="L540:L544" si="235">IF(I540=8,G540*H540*J540,"")</f>
        <v/>
      </c>
      <c r="M540" s="7" t="str">
        <f t="shared" ref="M540:M544" si="236">IF(I540=10,G540*H540*J540,"")</f>
        <v/>
      </c>
      <c r="N540" s="7" t="str">
        <f t="shared" ref="N540:N544" si="237">IF(I540=12,G540*H540*J540,"")</f>
        <v/>
      </c>
      <c r="O540" s="7">
        <f t="shared" ref="O540:O544" si="238">IF(I540=14,G540*H540*J540,"")</f>
        <v>26.82</v>
      </c>
      <c r="P540" s="7" t="str">
        <f t="shared" ref="P540:P542" si="239">IF(I540=16,G540*H540*J540,"")</f>
        <v/>
      </c>
    </row>
    <row r="541" spans="1:16">
      <c r="A541" t="s">
        <v>134</v>
      </c>
      <c r="B541" s="53"/>
      <c r="C541" s="53"/>
      <c r="D541" s="43"/>
      <c r="E541" s="43"/>
      <c r="F541" s="43"/>
      <c r="G541" s="44">
        <v>1</v>
      </c>
      <c r="H541" s="44">
        <v>4</v>
      </c>
      <c r="I541" s="44">
        <v>12</v>
      </c>
      <c r="J541" s="44">
        <f>D539+0.5</f>
        <v>4.47</v>
      </c>
      <c r="K541" s="7" t="str">
        <f t="shared" si="234"/>
        <v/>
      </c>
      <c r="L541" s="7" t="str">
        <f t="shared" si="235"/>
        <v/>
      </c>
      <c r="M541" s="7" t="str">
        <f t="shared" si="236"/>
        <v/>
      </c>
      <c r="N541" s="7">
        <f t="shared" si="237"/>
        <v>17.88</v>
      </c>
      <c r="O541" s="7" t="str">
        <f t="shared" si="238"/>
        <v/>
      </c>
      <c r="P541" s="7" t="str">
        <f t="shared" si="239"/>
        <v/>
      </c>
    </row>
    <row r="542" spans="1:16">
      <c r="A542" t="s">
        <v>129</v>
      </c>
      <c r="B542" s="53"/>
      <c r="C542" s="53"/>
      <c r="D542" s="43"/>
      <c r="E542" s="43"/>
      <c r="F542" s="43"/>
      <c r="G542" s="44">
        <v>1</v>
      </c>
      <c r="H542" s="44">
        <v>4</v>
      </c>
      <c r="I542" s="44">
        <v>10</v>
      </c>
      <c r="J542" s="44">
        <f>D539+0.5</f>
        <v>4.47</v>
      </c>
      <c r="K542" s="7" t="str">
        <f t="shared" si="234"/>
        <v/>
      </c>
      <c r="L542" s="7" t="str">
        <f t="shared" si="235"/>
        <v/>
      </c>
      <c r="M542" s="7">
        <f t="shared" si="236"/>
        <v>17.88</v>
      </c>
      <c r="N542" s="7" t="str">
        <f t="shared" si="237"/>
        <v/>
      </c>
      <c r="O542" s="7" t="str">
        <f t="shared" si="238"/>
        <v/>
      </c>
      <c r="P542" s="7" t="str">
        <f t="shared" si="239"/>
        <v/>
      </c>
    </row>
    <row r="543" spans="1:16">
      <c r="A543" t="s">
        <v>76</v>
      </c>
      <c r="B543" s="53"/>
      <c r="C543" s="53"/>
      <c r="D543" s="43"/>
      <c r="E543" s="43"/>
      <c r="F543" s="43"/>
      <c r="G543" s="44">
        <v>1</v>
      </c>
      <c r="H543" s="44">
        <f>ROUNDUP((D539)/0.2,0)</f>
        <v>20</v>
      </c>
      <c r="I543" s="44">
        <v>6</v>
      </c>
      <c r="J543" s="44">
        <f>2*(E539+F539)+20.5*I543/1000</f>
        <v>1.3230000000000002</v>
      </c>
      <c r="K543" s="7">
        <f t="shared" si="234"/>
        <v>26.460000000000004</v>
      </c>
      <c r="L543" s="7" t="str">
        <f t="shared" si="235"/>
        <v/>
      </c>
      <c r="M543" s="7" t="str">
        <f t="shared" si="236"/>
        <v/>
      </c>
      <c r="N543" s="7" t="str">
        <f t="shared" si="237"/>
        <v/>
      </c>
      <c r="O543" s="7" t="str">
        <f t="shared" si="238"/>
        <v/>
      </c>
      <c r="P543" s="7" t="str">
        <f>IF(I543=16,G543*H543*J543,"")</f>
        <v/>
      </c>
    </row>
    <row r="544" spans="1:16">
      <c r="A544" t="s">
        <v>77</v>
      </c>
      <c r="B544" s="53"/>
      <c r="C544" s="53"/>
      <c r="D544" s="43"/>
      <c r="E544" s="43"/>
      <c r="F544" s="43"/>
      <c r="G544" s="44">
        <v>1</v>
      </c>
      <c r="H544" s="44">
        <f>ROUNDUP((D539)/0.2,0)</f>
        <v>20</v>
      </c>
      <c r="I544" s="44">
        <v>6</v>
      </c>
      <c r="J544" s="44">
        <f>F539+22*(I544/1000)</f>
        <v>0.53200000000000003</v>
      </c>
      <c r="K544" s="7">
        <f t="shared" si="234"/>
        <v>10.64</v>
      </c>
      <c r="L544" s="7" t="str">
        <f t="shared" si="235"/>
        <v/>
      </c>
      <c r="M544" s="7" t="str">
        <f t="shared" si="236"/>
        <v/>
      </c>
      <c r="N544" s="7" t="str">
        <f t="shared" si="237"/>
        <v/>
      </c>
      <c r="O544" s="7" t="str">
        <f t="shared" si="238"/>
        <v/>
      </c>
      <c r="P544" s="7" t="str">
        <f>IF(I544=16,G544*H544*J544,"")</f>
        <v/>
      </c>
    </row>
    <row r="545" spans="1:16">
      <c r="A545" s="50" t="s">
        <v>135</v>
      </c>
      <c r="B545" s="50" t="s">
        <v>85</v>
      </c>
      <c r="C545" s="51" t="s">
        <v>112</v>
      </c>
      <c r="D545">
        <f>3.82+0.4</f>
        <v>4.22</v>
      </c>
      <c r="E545">
        <v>0.2</v>
      </c>
      <c r="F545">
        <v>0.45</v>
      </c>
    </row>
    <row r="546" spans="1:16">
      <c r="A546" t="s">
        <v>130</v>
      </c>
      <c r="B546" s="53"/>
      <c r="C546" s="53"/>
      <c r="D546" s="43"/>
      <c r="E546" s="43"/>
      <c r="F546" s="43"/>
      <c r="G546" s="44">
        <v>1</v>
      </c>
      <c r="H546" s="44">
        <v>6</v>
      </c>
      <c r="I546" s="44">
        <v>14</v>
      </c>
      <c r="J546" s="44">
        <f>D545+0.5</f>
        <v>4.72</v>
      </c>
      <c r="K546" s="7" t="str">
        <f t="shared" ref="K546:K550" si="240">IF(I546=6,G546*H546*J546,"")</f>
        <v/>
      </c>
      <c r="L546" s="7" t="str">
        <f t="shared" ref="L546:L550" si="241">IF(I546=8,G546*H546*J546,"")</f>
        <v/>
      </c>
      <c r="M546" s="7" t="str">
        <f t="shared" ref="M546:M550" si="242">IF(I546=10,G546*H546*J546,"")</f>
        <v/>
      </c>
      <c r="N546" s="7" t="str">
        <f t="shared" ref="N546:N550" si="243">IF(I546=12,G546*H546*J546,"")</f>
        <v/>
      </c>
      <c r="O546" s="7">
        <f t="shared" ref="O546:O550" si="244">IF(I546=14,G546*H546*J546,"")</f>
        <v>28.32</v>
      </c>
      <c r="P546" s="7" t="str">
        <f t="shared" ref="P546:P548" si="245">IF(I546=16,G546*H546*J546,"")</f>
        <v/>
      </c>
    </row>
    <row r="547" spans="1:16">
      <c r="A547" t="s">
        <v>134</v>
      </c>
      <c r="B547" s="53"/>
      <c r="C547" s="53"/>
      <c r="D547" s="43"/>
      <c r="E547" s="43"/>
      <c r="F547" s="43"/>
      <c r="G547" s="44">
        <v>1</v>
      </c>
      <c r="H547" s="44">
        <v>4</v>
      </c>
      <c r="I547" s="44">
        <v>12</v>
      </c>
      <c r="J547" s="44">
        <f>D545+0.5</f>
        <v>4.72</v>
      </c>
      <c r="K547" s="7" t="str">
        <f t="shared" si="240"/>
        <v/>
      </c>
      <c r="L547" s="7" t="str">
        <f t="shared" si="241"/>
        <v/>
      </c>
      <c r="M547" s="7" t="str">
        <f t="shared" si="242"/>
        <v/>
      </c>
      <c r="N547" s="7">
        <f t="shared" si="243"/>
        <v>18.88</v>
      </c>
      <c r="O547" s="7" t="str">
        <f t="shared" si="244"/>
        <v/>
      </c>
      <c r="P547" s="7" t="str">
        <f t="shared" si="245"/>
        <v/>
      </c>
    </row>
    <row r="548" spans="1:16">
      <c r="A548" t="s">
        <v>129</v>
      </c>
      <c r="B548" s="53"/>
      <c r="C548" s="53"/>
      <c r="D548" s="43"/>
      <c r="E548" s="43"/>
      <c r="F548" s="43"/>
      <c r="G548" s="44">
        <v>1</v>
      </c>
      <c r="H548" s="44">
        <v>4</v>
      </c>
      <c r="I548" s="44">
        <v>10</v>
      </c>
      <c r="J548" s="44">
        <f>D545+0.5</f>
        <v>4.72</v>
      </c>
      <c r="K548" s="7" t="str">
        <f t="shared" si="240"/>
        <v/>
      </c>
      <c r="L548" s="7" t="str">
        <f t="shared" si="241"/>
        <v/>
      </c>
      <c r="M548" s="7">
        <f t="shared" si="242"/>
        <v>18.88</v>
      </c>
      <c r="N548" s="7" t="str">
        <f t="shared" si="243"/>
        <v/>
      </c>
      <c r="O548" s="7" t="str">
        <f t="shared" si="244"/>
        <v/>
      </c>
      <c r="P548" s="7" t="str">
        <f t="shared" si="245"/>
        <v/>
      </c>
    </row>
    <row r="549" spans="1:16">
      <c r="A549" t="s">
        <v>76</v>
      </c>
      <c r="B549" s="53"/>
      <c r="C549" s="53"/>
      <c r="D549" s="43"/>
      <c r="E549" s="43"/>
      <c r="F549" s="43"/>
      <c r="G549" s="44">
        <v>1</v>
      </c>
      <c r="H549" s="44">
        <f>ROUNDUP((D545)/0.2,0)</f>
        <v>22</v>
      </c>
      <c r="I549" s="44">
        <v>6</v>
      </c>
      <c r="J549" s="44">
        <f>2*(E545+F545)+20.5*I549/1000</f>
        <v>1.423</v>
      </c>
      <c r="K549" s="7">
        <f t="shared" si="240"/>
        <v>31.306000000000001</v>
      </c>
      <c r="L549" s="7" t="str">
        <f t="shared" si="241"/>
        <v/>
      </c>
      <c r="M549" s="7" t="str">
        <f t="shared" si="242"/>
        <v/>
      </c>
      <c r="N549" s="7" t="str">
        <f t="shared" si="243"/>
        <v/>
      </c>
      <c r="O549" s="7" t="str">
        <f t="shared" si="244"/>
        <v/>
      </c>
      <c r="P549" s="7" t="str">
        <f>IF(I549=16,G549*H549*J549,"")</f>
        <v/>
      </c>
    </row>
    <row r="550" spans="1:16">
      <c r="A550" t="s">
        <v>77</v>
      </c>
      <c r="B550" s="53"/>
      <c r="C550" s="53"/>
      <c r="D550" s="43"/>
      <c r="E550" s="43"/>
      <c r="F550" s="43"/>
      <c r="G550" s="44">
        <v>1</v>
      </c>
      <c r="H550" s="44">
        <f>ROUNDUP((D545)/0.2,0)*2</f>
        <v>44</v>
      </c>
      <c r="I550" s="44">
        <v>6</v>
      </c>
      <c r="J550" s="44">
        <f>F545+22*(I550/1000)</f>
        <v>0.58200000000000007</v>
      </c>
      <c r="K550" s="7">
        <f t="shared" si="240"/>
        <v>25.608000000000004</v>
      </c>
      <c r="L550" s="7" t="str">
        <f t="shared" si="241"/>
        <v/>
      </c>
      <c r="M550" s="7" t="str">
        <f t="shared" si="242"/>
        <v/>
      </c>
      <c r="N550" s="7" t="str">
        <f t="shared" si="243"/>
        <v/>
      </c>
      <c r="O550" s="7" t="str">
        <f t="shared" si="244"/>
        <v/>
      </c>
      <c r="P550" s="7" t="str">
        <f>IF(I550=16,G550*H550*J550,"")</f>
        <v/>
      </c>
    </row>
    <row r="551" spans="1:16">
      <c r="A551" s="50" t="s">
        <v>131</v>
      </c>
      <c r="B551" s="50" t="s">
        <v>119</v>
      </c>
      <c r="C551" s="51" t="s">
        <v>112</v>
      </c>
      <c r="D551">
        <f>0.82+1.08</f>
        <v>1.9</v>
      </c>
      <c r="E551">
        <v>0.2</v>
      </c>
      <c r="F551">
        <v>0.3</v>
      </c>
    </row>
    <row r="552" spans="1:16">
      <c r="A552" t="s">
        <v>130</v>
      </c>
      <c r="B552" s="53"/>
      <c r="C552" s="53"/>
      <c r="D552" s="43"/>
      <c r="E552" s="43"/>
      <c r="F552" s="43"/>
      <c r="G552" s="44">
        <v>1</v>
      </c>
      <c r="H552" s="44">
        <v>6</v>
      </c>
      <c r="I552" s="44">
        <v>12</v>
      </c>
      <c r="J552" s="44">
        <f>D551+0.5</f>
        <v>2.4</v>
      </c>
      <c r="K552" s="7" t="str">
        <f t="shared" ref="K552:K554" si="246">IF(I552=6,G552*H552*J552,"")</f>
        <v/>
      </c>
      <c r="L552" s="7" t="str">
        <f t="shared" ref="L552:L554" si="247">IF(I552=8,G552*H552*J552,"")</f>
        <v/>
      </c>
      <c r="M552" s="7" t="str">
        <f t="shared" ref="M552:M554" si="248">IF(I552=10,G552*H552*J552,"")</f>
        <v/>
      </c>
      <c r="N552" s="7">
        <f t="shared" ref="N552:N554" si="249">IF(I552=12,G552*H552*J552,"")</f>
        <v>14.399999999999999</v>
      </c>
      <c r="O552" s="7" t="str">
        <f t="shared" ref="O552:O554" si="250">IF(I552=14,G552*H552*J552,"")</f>
        <v/>
      </c>
      <c r="P552" s="7" t="str">
        <f t="shared" ref="P552:P553" si="251">IF(I552=16,G552*H552*J552,"")</f>
        <v/>
      </c>
    </row>
    <row r="553" spans="1:16">
      <c r="A553" t="s">
        <v>129</v>
      </c>
      <c r="B553" s="53"/>
      <c r="C553" s="53"/>
      <c r="D553" s="43"/>
      <c r="E553" s="43"/>
      <c r="F553" s="43"/>
      <c r="G553" s="44">
        <v>1</v>
      </c>
      <c r="H553" s="44">
        <v>2</v>
      </c>
      <c r="I553" s="44">
        <v>10</v>
      </c>
      <c r="J553" s="44">
        <f>D551+0.5</f>
        <v>2.4</v>
      </c>
      <c r="K553" s="7" t="str">
        <f t="shared" si="246"/>
        <v/>
      </c>
      <c r="L553" s="7" t="str">
        <f t="shared" si="247"/>
        <v/>
      </c>
      <c r="M553" s="7">
        <f t="shared" si="248"/>
        <v>4.8</v>
      </c>
      <c r="N553" s="7" t="str">
        <f t="shared" si="249"/>
        <v/>
      </c>
      <c r="O553" s="7" t="str">
        <f t="shared" si="250"/>
        <v/>
      </c>
      <c r="P553" s="7" t="str">
        <f t="shared" si="251"/>
        <v/>
      </c>
    </row>
    <row r="554" spans="1:16">
      <c r="A554" t="s">
        <v>76</v>
      </c>
      <c r="B554" s="53"/>
      <c r="C554" s="53"/>
      <c r="D554" s="43"/>
      <c r="E554" s="43"/>
      <c r="F554" s="43"/>
      <c r="G554" s="44">
        <v>1</v>
      </c>
      <c r="H554" s="44">
        <f>ROUNDUP((D551)/0.2,0)</f>
        <v>10</v>
      </c>
      <c r="I554" s="44">
        <v>6</v>
      </c>
      <c r="J554" s="44">
        <f>2*(E551+F551)+20.5*I554/1000</f>
        <v>1.123</v>
      </c>
      <c r="K554" s="7">
        <f t="shared" si="246"/>
        <v>11.23</v>
      </c>
      <c r="L554" s="7" t="str">
        <f t="shared" si="247"/>
        <v/>
      </c>
      <c r="M554" s="7" t="str">
        <f t="shared" si="248"/>
        <v/>
      </c>
      <c r="N554" s="7" t="str">
        <f t="shared" si="249"/>
        <v/>
      </c>
      <c r="O554" s="7" t="str">
        <f t="shared" si="250"/>
        <v/>
      </c>
      <c r="P554" s="7" t="str">
        <f>IF(I554=16,G554*H554*J554,"")</f>
        <v/>
      </c>
    </row>
    <row r="555" spans="1:16">
      <c r="A555" s="50" t="s">
        <v>135</v>
      </c>
      <c r="B555" s="50" t="s">
        <v>115</v>
      </c>
      <c r="C555" s="51" t="s">
        <v>112</v>
      </c>
      <c r="D555">
        <f>0.15+3.82</f>
        <v>3.9699999999999998</v>
      </c>
      <c r="E555">
        <v>0.2</v>
      </c>
      <c r="F555">
        <v>0.4</v>
      </c>
    </row>
    <row r="556" spans="1:16">
      <c r="A556" t="s">
        <v>130</v>
      </c>
      <c r="B556" s="53"/>
      <c r="C556" s="53"/>
      <c r="D556" s="43"/>
      <c r="E556" s="43"/>
      <c r="F556" s="43"/>
      <c r="G556" s="44">
        <v>1</v>
      </c>
      <c r="H556" s="44">
        <v>6</v>
      </c>
      <c r="I556" s="44">
        <v>14</v>
      </c>
      <c r="J556" s="44">
        <f>D555+0.5</f>
        <v>4.47</v>
      </c>
      <c r="K556" s="7" t="str">
        <f t="shared" ref="K556:K560" si="252">IF(I556=6,G556*H556*J556,"")</f>
        <v/>
      </c>
      <c r="L556" s="7" t="str">
        <f t="shared" ref="L556:L560" si="253">IF(I556=8,G556*H556*J556,"")</f>
        <v/>
      </c>
      <c r="M556" s="7" t="str">
        <f t="shared" ref="M556:M560" si="254">IF(I556=10,G556*H556*J556,"")</f>
        <v/>
      </c>
      <c r="N556" s="7" t="str">
        <f t="shared" ref="N556:N560" si="255">IF(I556=12,G556*H556*J556,"")</f>
        <v/>
      </c>
      <c r="O556" s="7">
        <f t="shared" ref="O556:O560" si="256">IF(I556=14,G556*H556*J556,"")</f>
        <v>26.82</v>
      </c>
      <c r="P556" s="7" t="str">
        <f t="shared" ref="P556:P558" si="257">IF(I556=16,G556*H556*J556,"")</f>
        <v/>
      </c>
    </row>
    <row r="557" spans="1:16">
      <c r="A557" t="s">
        <v>134</v>
      </c>
      <c r="B557" s="53"/>
      <c r="C557" s="53"/>
      <c r="D557" s="43"/>
      <c r="E557" s="43"/>
      <c r="F557" s="43"/>
      <c r="G557" s="44">
        <v>1</v>
      </c>
      <c r="H557" s="44">
        <v>4</v>
      </c>
      <c r="I557" s="44">
        <v>12</v>
      </c>
      <c r="J557" s="44">
        <f>D555+0.5</f>
        <v>4.47</v>
      </c>
      <c r="K557" s="7" t="str">
        <f t="shared" si="252"/>
        <v/>
      </c>
      <c r="L557" s="7" t="str">
        <f t="shared" si="253"/>
        <v/>
      </c>
      <c r="M557" s="7" t="str">
        <f t="shared" si="254"/>
        <v/>
      </c>
      <c r="N557" s="7">
        <f t="shared" si="255"/>
        <v>17.88</v>
      </c>
      <c r="O557" s="7" t="str">
        <f t="shared" si="256"/>
        <v/>
      </c>
      <c r="P557" s="7" t="str">
        <f t="shared" si="257"/>
        <v/>
      </c>
    </row>
    <row r="558" spans="1:16">
      <c r="A558" t="s">
        <v>129</v>
      </c>
      <c r="B558" s="53"/>
      <c r="C558" s="53"/>
      <c r="D558" s="43"/>
      <c r="E558" s="43"/>
      <c r="F558" s="43"/>
      <c r="G558" s="44">
        <v>1</v>
      </c>
      <c r="H558" s="44">
        <v>4</v>
      </c>
      <c r="I558" s="44">
        <v>10</v>
      </c>
      <c r="J558" s="44">
        <f>D555+0.5</f>
        <v>4.47</v>
      </c>
      <c r="K558" s="7" t="str">
        <f t="shared" si="252"/>
        <v/>
      </c>
      <c r="L558" s="7" t="str">
        <f t="shared" si="253"/>
        <v/>
      </c>
      <c r="M558" s="7">
        <f t="shared" si="254"/>
        <v>17.88</v>
      </c>
      <c r="N558" s="7" t="str">
        <f t="shared" si="255"/>
        <v/>
      </c>
      <c r="O558" s="7" t="str">
        <f t="shared" si="256"/>
        <v/>
      </c>
      <c r="P558" s="7" t="str">
        <f t="shared" si="257"/>
        <v/>
      </c>
    </row>
    <row r="559" spans="1:16">
      <c r="A559" t="s">
        <v>76</v>
      </c>
      <c r="B559" s="53"/>
      <c r="C559" s="53"/>
      <c r="D559" s="43"/>
      <c r="E559" s="43"/>
      <c r="F559" s="43"/>
      <c r="G559" s="44">
        <v>1</v>
      </c>
      <c r="H559" s="44">
        <f>ROUNDUP((D555)/0.2,0)</f>
        <v>20</v>
      </c>
      <c r="I559" s="44">
        <v>6</v>
      </c>
      <c r="J559" s="44">
        <f>2*(E555+F555)+20.5*I559/1000</f>
        <v>1.3230000000000002</v>
      </c>
      <c r="K559" s="7">
        <f t="shared" si="252"/>
        <v>26.460000000000004</v>
      </c>
      <c r="L559" s="7" t="str">
        <f t="shared" si="253"/>
        <v/>
      </c>
      <c r="M559" s="7" t="str">
        <f t="shared" si="254"/>
        <v/>
      </c>
      <c r="N559" s="7" t="str">
        <f t="shared" si="255"/>
        <v/>
      </c>
      <c r="O559" s="7" t="str">
        <f t="shared" si="256"/>
        <v/>
      </c>
      <c r="P559" s="7" t="str">
        <f>IF(I559=16,G559*H559*J559,"")</f>
        <v/>
      </c>
    </row>
    <row r="560" spans="1:16">
      <c r="A560" t="s">
        <v>77</v>
      </c>
      <c r="B560" s="53"/>
      <c r="C560" s="53"/>
      <c r="D560" s="43"/>
      <c r="E560" s="43"/>
      <c r="F560" s="43"/>
      <c r="G560" s="44">
        <v>1</v>
      </c>
      <c r="H560" s="44">
        <f>ROUNDUP((D555)/0.2,0)</f>
        <v>20</v>
      </c>
      <c r="I560" s="44">
        <v>6</v>
      </c>
      <c r="J560" s="44">
        <f>F555+22*(I560/1000)</f>
        <v>0.53200000000000003</v>
      </c>
      <c r="K560" s="7">
        <f t="shared" si="252"/>
        <v>10.64</v>
      </c>
      <c r="L560" s="7" t="str">
        <f t="shared" si="253"/>
        <v/>
      </c>
      <c r="M560" s="7" t="str">
        <f t="shared" si="254"/>
        <v/>
      </c>
      <c r="N560" s="7" t="str">
        <f t="shared" si="255"/>
        <v/>
      </c>
      <c r="O560" s="7" t="str">
        <f t="shared" si="256"/>
        <v/>
      </c>
      <c r="P560" s="7" t="str">
        <f>IF(I560=16,G560*H560*J560,"")</f>
        <v/>
      </c>
    </row>
    <row r="561" spans="1:16">
      <c r="A561" s="50" t="s">
        <v>135</v>
      </c>
      <c r="B561" s="50" t="s">
        <v>85</v>
      </c>
      <c r="C561" s="51" t="s">
        <v>112</v>
      </c>
      <c r="D561">
        <f>3.82+0.4</f>
        <v>4.22</v>
      </c>
      <c r="E561">
        <v>0.2</v>
      </c>
      <c r="F561">
        <v>0.45</v>
      </c>
    </row>
    <row r="562" spans="1:16">
      <c r="A562" t="s">
        <v>130</v>
      </c>
      <c r="B562" s="53"/>
      <c r="C562" s="53"/>
      <c r="D562" s="43"/>
      <c r="E562" s="43"/>
      <c r="F562" s="43"/>
      <c r="G562" s="44">
        <v>1</v>
      </c>
      <c r="H562" s="44">
        <v>6</v>
      </c>
      <c r="I562" s="44">
        <v>14</v>
      </c>
      <c r="J562" s="44">
        <f>D561+0.5</f>
        <v>4.72</v>
      </c>
      <c r="K562" s="7" t="str">
        <f t="shared" ref="K562:K566" si="258">IF(I562=6,G562*H562*J562,"")</f>
        <v/>
      </c>
      <c r="L562" s="7" t="str">
        <f t="shared" ref="L562:L566" si="259">IF(I562=8,G562*H562*J562,"")</f>
        <v/>
      </c>
      <c r="M562" s="7" t="str">
        <f t="shared" ref="M562:M566" si="260">IF(I562=10,G562*H562*J562,"")</f>
        <v/>
      </c>
      <c r="N562" s="7" t="str">
        <f t="shared" ref="N562:N566" si="261">IF(I562=12,G562*H562*J562,"")</f>
        <v/>
      </c>
      <c r="O562" s="7">
        <f t="shared" ref="O562:O566" si="262">IF(I562=14,G562*H562*J562,"")</f>
        <v>28.32</v>
      </c>
      <c r="P562" s="7" t="str">
        <f t="shared" ref="P562:P564" si="263">IF(I562=16,G562*H562*J562,"")</f>
        <v/>
      </c>
    </row>
    <row r="563" spans="1:16">
      <c r="A563" t="s">
        <v>134</v>
      </c>
      <c r="B563" s="53"/>
      <c r="C563" s="53"/>
      <c r="D563" s="43"/>
      <c r="E563" s="43"/>
      <c r="F563" s="43"/>
      <c r="G563" s="44">
        <v>1</v>
      </c>
      <c r="H563" s="44">
        <v>4</v>
      </c>
      <c r="I563" s="44">
        <v>12</v>
      </c>
      <c r="J563" s="44">
        <f>D561+0.5</f>
        <v>4.72</v>
      </c>
      <c r="K563" s="7" t="str">
        <f t="shared" si="258"/>
        <v/>
      </c>
      <c r="L563" s="7" t="str">
        <f t="shared" si="259"/>
        <v/>
      </c>
      <c r="M563" s="7" t="str">
        <f t="shared" si="260"/>
        <v/>
      </c>
      <c r="N563" s="7">
        <f t="shared" si="261"/>
        <v>18.88</v>
      </c>
      <c r="O563" s="7" t="str">
        <f t="shared" si="262"/>
        <v/>
      </c>
      <c r="P563" s="7" t="str">
        <f t="shared" si="263"/>
        <v/>
      </c>
    </row>
    <row r="564" spans="1:16">
      <c r="A564" t="s">
        <v>129</v>
      </c>
      <c r="B564" s="53"/>
      <c r="C564" s="53"/>
      <c r="D564" s="43"/>
      <c r="E564" s="43"/>
      <c r="F564" s="43"/>
      <c r="G564" s="44">
        <v>1</v>
      </c>
      <c r="H564" s="44">
        <v>4</v>
      </c>
      <c r="I564" s="44">
        <v>10</v>
      </c>
      <c r="J564" s="44">
        <f>D561+0.5</f>
        <v>4.72</v>
      </c>
      <c r="K564" s="7" t="str">
        <f t="shared" si="258"/>
        <v/>
      </c>
      <c r="L564" s="7" t="str">
        <f t="shared" si="259"/>
        <v/>
      </c>
      <c r="M564" s="7">
        <f t="shared" si="260"/>
        <v>18.88</v>
      </c>
      <c r="N564" s="7" t="str">
        <f t="shared" si="261"/>
        <v/>
      </c>
      <c r="O564" s="7" t="str">
        <f t="shared" si="262"/>
        <v/>
      </c>
      <c r="P564" s="7" t="str">
        <f t="shared" si="263"/>
        <v/>
      </c>
    </row>
    <row r="565" spans="1:16">
      <c r="A565" t="s">
        <v>76</v>
      </c>
      <c r="B565" s="53"/>
      <c r="C565" s="53"/>
      <c r="D565" s="43"/>
      <c r="E565" s="43"/>
      <c r="F565" s="43"/>
      <c r="G565" s="44">
        <v>1</v>
      </c>
      <c r="H565" s="44">
        <f>ROUNDUP((D561)/0.2,0)</f>
        <v>22</v>
      </c>
      <c r="I565" s="44">
        <v>6</v>
      </c>
      <c r="J565" s="44">
        <f>2*(E561+F561)+20.5*I565/1000</f>
        <v>1.423</v>
      </c>
      <c r="K565" s="7">
        <f t="shared" si="258"/>
        <v>31.306000000000001</v>
      </c>
      <c r="L565" s="7" t="str">
        <f t="shared" si="259"/>
        <v/>
      </c>
      <c r="M565" s="7" t="str">
        <f t="shared" si="260"/>
        <v/>
      </c>
      <c r="N565" s="7" t="str">
        <f t="shared" si="261"/>
        <v/>
      </c>
      <c r="O565" s="7" t="str">
        <f t="shared" si="262"/>
        <v/>
      </c>
      <c r="P565" s="7" t="str">
        <f>IF(I565=16,G565*H565*J565,"")</f>
        <v/>
      </c>
    </row>
    <row r="566" spans="1:16">
      <c r="A566" t="s">
        <v>77</v>
      </c>
      <c r="B566" s="53"/>
      <c r="C566" s="53"/>
      <c r="D566" s="43"/>
      <c r="E566" s="43"/>
      <c r="F566" s="43"/>
      <c r="G566" s="44">
        <v>1</v>
      </c>
      <c r="H566" s="44">
        <f>ROUNDUP((D561)/0.2,0)*2</f>
        <v>44</v>
      </c>
      <c r="I566" s="44">
        <v>6</v>
      </c>
      <c r="J566" s="44">
        <f>F561+22*(I566/1000)</f>
        <v>0.58200000000000007</v>
      </c>
      <c r="K566" s="7">
        <f t="shared" si="258"/>
        <v>25.608000000000004</v>
      </c>
      <c r="L566" s="7" t="str">
        <f t="shared" si="259"/>
        <v/>
      </c>
      <c r="M566" s="7" t="str">
        <f t="shared" si="260"/>
        <v/>
      </c>
      <c r="N566" s="7" t="str">
        <f t="shared" si="261"/>
        <v/>
      </c>
      <c r="O566" s="7" t="str">
        <f t="shared" si="262"/>
        <v/>
      </c>
      <c r="P566" s="7" t="str">
        <f>IF(I566=16,G566*H566*J566,"")</f>
        <v/>
      </c>
    </row>
    <row r="567" spans="1:16">
      <c r="A567" s="50" t="s">
        <v>131</v>
      </c>
      <c r="B567" s="50" t="s">
        <v>119</v>
      </c>
      <c r="C567" s="51" t="s">
        <v>112</v>
      </c>
      <c r="D567">
        <f>0.82+1.08</f>
        <v>1.9</v>
      </c>
      <c r="E567">
        <v>0.2</v>
      </c>
      <c r="F567">
        <v>0.3</v>
      </c>
    </row>
    <row r="568" spans="1:16">
      <c r="A568" t="s">
        <v>130</v>
      </c>
      <c r="B568" s="53"/>
      <c r="C568" s="53"/>
      <c r="D568" s="43"/>
      <c r="E568" s="43"/>
      <c r="F568" s="43"/>
      <c r="G568" s="44">
        <v>1</v>
      </c>
      <c r="H568" s="44">
        <v>6</v>
      </c>
      <c r="I568" s="44">
        <v>12</v>
      </c>
      <c r="J568" s="44">
        <f>D567+0.5</f>
        <v>2.4</v>
      </c>
      <c r="K568" s="7" t="str">
        <f t="shared" ref="K568:K570" si="264">IF(I568=6,G568*H568*J568,"")</f>
        <v/>
      </c>
      <c r="L568" s="7" t="str">
        <f t="shared" ref="L568:L570" si="265">IF(I568=8,G568*H568*J568,"")</f>
        <v/>
      </c>
      <c r="M568" s="7" t="str">
        <f t="shared" ref="M568:M570" si="266">IF(I568=10,G568*H568*J568,"")</f>
        <v/>
      </c>
      <c r="N568" s="7">
        <f t="shared" ref="N568:N570" si="267">IF(I568=12,G568*H568*J568,"")</f>
        <v>14.399999999999999</v>
      </c>
      <c r="O568" s="7" t="str">
        <f t="shared" ref="O568:O570" si="268">IF(I568=14,G568*H568*J568,"")</f>
        <v/>
      </c>
      <c r="P568" s="7" t="str">
        <f t="shared" ref="P568:P569" si="269">IF(I568=16,G568*H568*J568,"")</f>
        <v/>
      </c>
    </row>
    <row r="569" spans="1:16">
      <c r="A569" t="s">
        <v>129</v>
      </c>
      <c r="B569" s="53"/>
      <c r="C569" s="53"/>
      <c r="D569" s="43"/>
      <c r="E569" s="43"/>
      <c r="F569" s="43"/>
      <c r="G569" s="44">
        <v>1</v>
      </c>
      <c r="H569" s="44">
        <v>2</v>
      </c>
      <c r="I569" s="44">
        <v>10</v>
      </c>
      <c r="J569" s="44">
        <f>D567+0.5</f>
        <v>2.4</v>
      </c>
      <c r="K569" s="7" t="str">
        <f t="shared" si="264"/>
        <v/>
      </c>
      <c r="L569" s="7" t="str">
        <f t="shared" si="265"/>
        <v/>
      </c>
      <c r="M569" s="7">
        <f t="shared" si="266"/>
        <v>4.8</v>
      </c>
      <c r="N569" s="7" t="str">
        <f t="shared" si="267"/>
        <v/>
      </c>
      <c r="O569" s="7" t="str">
        <f t="shared" si="268"/>
        <v/>
      </c>
      <c r="P569" s="7" t="str">
        <f t="shared" si="269"/>
        <v/>
      </c>
    </row>
    <row r="570" spans="1:16">
      <c r="A570" t="s">
        <v>76</v>
      </c>
      <c r="B570" s="53"/>
      <c r="C570" s="53"/>
      <c r="D570" s="43"/>
      <c r="E570" s="43"/>
      <c r="F570" s="43"/>
      <c r="G570" s="44">
        <v>1</v>
      </c>
      <c r="H570" s="44">
        <f>ROUNDUP((D567)/0.2,0)</f>
        <v>10</v>
      </c>
      <c r="I570" s="44">
        <v>6</v>
      </c>
      <c r="J570" s="44">
        <f>2*(E567+F567)+20.5*I570/1000</f>
        <v>1.123</v>
      </c>
      <c r="K570" s="7">
        <f t="shared" si="264"/>
        <v>11.23</v>
      </c>
      <c r="L570" s="7" t="str">
        <f t="shared" si="265"/>
        <v/>
      </c>
      <c r="M570" s="7" t="str">
        <f t="shared" si="266"/>
        <v/>
      </c>
      <c r="N570" s="7" t="str">
        <f t="shared" si="267"/>
        <v/>
      </c>
      <c r="O570" s="7" t="str">
        <f t="shared" si="268"/>
        <v/>
      </c>
      <c r="P570" s="7" t="str">
        <f>IF(I570=16,G570*H570*J570,"")</f>
        <v/>
      </c>
    </row>
    <row r="571" spans="1:16">
      <c r="A571" s="50" t="s">
        <v>135</v>
      </c>
      <c r="B571" s="50" t="s">
        <v>115</v>
      </c>
      <c r="C571" s="51" t="s">
        <v>112</v>
      </c>
      <c r="D571">
        <f>0.15+3.82</f>
        <v>3.9699999999999998</v>
      </c>
      <c r="E571">
        <v>0.2</v>
      </c>
      <c r="F571">
        <v>0.4</v>
      </c>
    </row>
    <row r="572" spans="1:16">
      <c r="A572" t="s">
        <v>130</v>
      </c>
      <c r="B572" s="53"/>
      <c r="C572" s="53"/>
      <c r="D572" s="43"/>
      <c r="E572" s="43"/>
      <c r="F572" s="43"/>
      <c r="G572" s="44">
        <v>1</v>
      </c>
      <c r="H572" s="44">
        <v>6</v>
      </c>
      <c r="I572" s="44">
        <v>14</v>
      </c>
      <c r="J572" s="44">
        <f>D571+0.5</f>
        <v>4.47</v>
      </c>
      <c r="K572" s="7" t="str">
        <f t="shared" ref="K572:K576" si="270">IF(I572=6,G572*H572*J572,"")</f>
        <v/>
      </c>
      <c r="L572" s="7" t="str">
        <f t="shared" ref="L572:L576" si="271">IF(I572=8,G572*H572*J572,"")</f>
        <v/>
      </c>
      <c r="M572" s="7" t="str">
        <f t="shared" ref="M572:M576" si="272">IF(I572=10,G572*H572*J572,"")</f>
        <v/>
      </c>
      <c r="N572" s="7" t="str">
        <f t="shared" ref="N572:N576" si="273">IF(I572=12,G572*H572*J572,"")</f>
        <v/>
      </c>
      <c r="O572" s="7">
        <f t="shared" ref="O572:O576" si="274">IF(I572=14,G572*H572*J572,"")</f>
        <v>26.82</v>
      </c>
      <c r="P572" s="7" t="str">
        <f t="shared" ref="P572:P574" si="275">IF(I572=16,G572*H572*J572,"")</f>
        <v/>
      </c>
    </row>
    <row r="573" spans="1:16">
      <c r="A573" t="s">
        <v>134</v>
      </c>
      <c r="B573" s="53"/>
      <c r="C573" s="53"/>
      <c r="D573" s="43"/>
      <c r="E573" s="43"/>
      <c r="F573" s="43"/>
      <c r="G573" s="44">
        <v>1</v>
      </c>
      <c r="H573" s="44">
        <v>4</v>
      </c>
      <c r="I573" s="44">
        <v>12</v>
      </c>
      <c r="J573" s="44">
        <f>D571+0.5</f>
        <v>4.47</v>
      </c>
      <c r="K573" s="7" t="str">
        <f t="shared" si="270"/>
        <v/>
      </c>
      <c r="L573" s="7" t="str">
        <f t="shared" si="271"/>
        <v/>
      </c>
      <c r="M573" s="7" t="str">
        <f t="shared" si="272"/>
        <v/>
      </c>
      <c r="N573" s="7">
        <f t="shared" si="273"/>
        <v>17.88</v>
      </c>
      <c r="O573" s="7" t="str">
        <f t="shared" si="274"/>
        <v/>
      </c>
      <c r="P573" s="7" t="str">
        <f t="shared" si="275"/>
        <v/>
      </c>
    </row>
    <row r="574" spans="1:16">
      <c r="A574" t="s">
        <v>129</v>
      </c>
      <c r="B574" s="53"/>
      <c r="C574" s="53"/>
      <c r="D574" s="43"/>
      <c r="E574" s="43"/>
      <c r="F574" s="43"/>
      <c r="G574" s="44">
        <v>1</v>
      </c>
      <c r="H574" s="44">
        <v>4</v>
      </c>
      <c r="I574" s="44">
        <v>10</v>
      </c>
      <c r="J574" s="44">
        <f>D571+0.5</f>
        <v>4.47</v>
      </c>
      <c r="K574" s="7" t="str">
        <f t="shared" si="270"/>
        <v/>
      </c>
      <c r="L574" s="7" t="str">
        <f t="shared" si="271"/>
        <v/>
      </c>
      <c r="M574" s="7">
        <f t="shared" si="272"/>
        <v>17.88</v>
      </c>
      <c r="N574" s="7" t="str">
        <f t="shared" si="273"/>
        <v/>
      </c>
      <c r="O574" s="7" t="str">
        <f t="shared" si="274"/>
        <v/>
      </c>
      <c r="P574" s="7" t="str">
        <f t="shared" si="275"/>
        <v/>
      </c>
    </row>
    <row r="575" spans="1:16">
      <c r="A575" t="s">
        <v>76</v>
      </c>
      <c r="B575" s="53"/>
      <c r="C575" s="53"/>
      <c r="D575" s="43"/>
      <c r="E575" s="43"/>
      <c r="F575" s="43"/>
      <c r="G575" s="44">
        <v>1</v>
      </c>
      <c r="H575" s="44">
        <f>ROUNDUP((D571)/0.2,0)</f>
        <v>20</v>
      </c>
      <c r="I575" s="44">
        <v>6</v>
      </c>
      <c r="J575" s="44">
        <f>2*(E571+F571)+20.5*I575/1000</f>
        <v>1.3230000000000002</v>
      </c>
      <c r="K575" s="7">
        <f t="shared" si="270"/>
        <v>26.460000000000004</v>
      </c>
      <c r="L575" s="7" t="str">
        <f t="shared" si="271"/>
        <v/>
      </c>
      <c r="M575" s="7" t="str">
        <f t="shared" si="272"/>
        <v/>
      </c>
      <c r="N575" s="7" t="str">
        <f t="shared" si="273"/>
        <v/>
      </c>
      <c r="O575" s="7" t="str">
        <f t="shared" si="274"/>
        <v/>
      </c>
      <c r="P575" s="7" t="str">
        <f>IF(I575=16,G575*H575*J575,"")</f>
        <v/>
      </c>
    </row>
    <row r="576" spans="1:16">
      <c r="A576" t="s">
        <v>77</v>
      </c>
      <c r="B576" s="53"/>
      <c r="C576" s="53"/>
      <c r="D576" s="43"/>
      <c r="E576" s="43"/>
      <c r="F576" s="43"/>
      <c r="G576" s="44">
        <v>1</v>
      </c>
      <c r="H576" s="44">
        <f>ROUNDUP((D571)/0.2,0)</f>
        <v>20</v>
      </c>
      <c r="I576" s="44">
        <v>6</v>
      </c>
      <c r="J576" s="44">
        <f>F571+22*(I576/1000)</f>
        <v>0.53200000000000003</v>
      </c>
      <c r="K576" s="7">
        <f t="shared" si="270"/>
        <v>10.64</v>
      </c>
      <c r="L576" s="7" t="str">
        <f t="shared" si="271"/>
        <v/>
      </c>
      <c r="M576" s="7" t="str">
        <f t="shared" si="272"/>
        <v/>
      </c>
      <c r="N576" s="7" t="str">
        <f t="shared" si="273"/>
        <v/>
      </c>
      <c r="O576" s="7" t="str">
        <f t="shared" si="274"/>
        <v/>
      </c>
      <c r="P576" s="7" t="str">
        <f>IF(I576=16,G576*H576*J576,"")</f>
        <v/>
      </c>
    </row>
    <row r="577" spans="1:16">
      <c r="A577" s="50" t="s">
        <v>137</v>
      </c>
      <c r="B577" s="53" t="s">
        <v>7</v>
      </c>
      <c r="C577" s="23" t="s">
        <v>70</v>
      </c>
      <c r="D577" s="84">
        <v>4.78</v>
      </c>
      <c r="E577" s="84">
        <v>0.2</v>
      </c>
      <c r="F577" s="84">
        <v>0.2</v>
      </c>
      <c r="G577" s="44"/>
      <c r="H577" s="44"/>
      <c r="I577" s="44"/>
      <c r="J577" s="44"/>
    </row>
    <row r="578" spans="1:16">
      <c r="A578" t="s">
        <v>130</v>
      </c>
      <c r="B578" s="53"/>
      <c r="C578" s="53"/>
      <c r="D578" s="43"/>
      <c r="E578" s="43"/>
      <c r="F578" s="43"/>
      <c r="G578" s="44">
        <v>1</v>
      </c>
      <c r="H578" s="44">
        <v>4</v>
      </c>
      <c r="I578" s="44">
        <v>14</v>
      </c>
      <c r="J578" s="44">
        <f>D577+0.5</f>
        <v>5.28</v>
      </c>
      <c r="K578" s="7" t="str">
        <f t="shared" ref="K578:K580" si="276">IF(I578=6,G578*H578*J578,"")</f>
        <v/>
      </c>
      <c r="L578" s="7" t="str">
        <f t="shared" ref="L578:L580" si="277">IF(I578=8,G578*H578*J578,"")</f>
        <v/>
      </c>
      <c r="M578" s="7" t="str">
        <f t="shared" ref="M578:M580" si="278">IF(I578=10,G578*H578*J578,"")</f>
        <v/>
      </c>
      <c r="N578" s="7" t="str">
        <f t="shared" ref="N578:N580" si="279">IF(I578=12,G578*H578*J578,"")</f>
        <v/>
      </c>
      <c r="O578" s="7">
        <f t="shared" ref="O578:O580" si="280">IF(I578=14,G578*H578*J578,"")</f>
        <v>21.12</v>
      </c>
      <c r="P578" s="7" t="str">
        <f t="shared" ref="P578:P579" si="281">IF(I578=16,G578*H578*J578,"")</f>
        <v/>
      </c>
    </row>
    <row r="579" spans="1:16">
      <c r="A579" t="s">
        <v>129</v>
      </c>
      <c r="B579" s="53"/>
      <c r="C579" s="53"/>
      <c r="D579" s="43"/>
      <c r="E579" s="43"/>
      <c r="F579" s="43"/>
      <c r="G579" s="44">
        <v>1</v>
      </c>
      <c r="H579" s="44">
        <v>2</v>
      </c>
      <c r="I579" s="44">
        <v>12</v>
      </c>
      <c r="J579" s="44">
        <f>D577+0.5</f>
        <v>5.28</v>
      </c>
      <c r="K579" s="7" t="str">
        <f t="shared" si="276"/>
        <v/>
      </c>
      <c r="L579" s="7" t="str">
        <f t="shared" si="277"/>
        <v/>
      </c>
      <c r="M579" s="7" t="str">
        <f t="shared" si="278"/>
        <v/>
      </c>
      <c r="N579" s="7">
        <f t="shared" si="279"/>
        <v>10.56</v>
      </c>
      <c r="O579" s="7" t="str">
        <f t="shared" si="280"/>
        <v/>
      </c>
      <c r="P579" s="7" t="str">
        <f t="shared" si="281"/>
        <v/>
      </c>
    </row>
    <row r="580" spans="1:16">
      <c r="A580" t="s">
        <v>76</v>
      </c>
      <c r="B580" s="53"/>
      <c r="C580" s="53"/>
      <c r="D580" s="43"/>
      <c r="E580" s="43"/>
      <c r="F580" s="43"/>
      <c r="G580" s="44">
        <v>1</v>
      </c>
      <c r="H580" s="44">
        <f>ROUNDUP((D577)/0.2,0)</f>
        <v>24</v>
      </c>
      <c r="I580" s="44">
        <v>6</v>
      </c>
      <c r="J580" s="44">
        <f>2*(E577+F577)+20.5*I580/1000</f>
        <v>0.92300000000000004</v>
      </c>
      <c r="K580" s="7">
        <f t="shared" si="276"/>
        <v>22.152000000000001</v>
      </c>
      <c r="L580" s="7" t="str">
        <f t="shared" si="277"/>
        <v/>
      </c>
      <c r="M580" s="7" t="str">
        <f t="shared" si="278"/>
        <v/>
      </c>
      <c r="N580" s="7" t="str">
        <f t="shared" si="279"/>
        <v/>
      </c>
      <c r="O580" s="7" t="str">
        <f t="shared" si="280"/>
        <v/>
      </c>
      <c r="P580" s="7" t="str">
        <f>IF(I580=16,G580*H580*J580,"")</f>
        <v/>
      </c>
    </row>
    <row r="581" spans="1:16">
      <c r="A581" s="50" t="s">
        <v>137</v>
      </c>
      <c r="B581" s="53" t="s">
        <v>9</v>
      </c>
      <c r="C581" s="23" t="s">
        <v>70</v>
      </c>
      <c r="D581" s="84">
        <v>4.78</v>
      </c>
      <c r="E581" s="84">
        <v>0.2</v>
      </c>
      <c r="F581" s="84">
        <v>0.2</v>
      </c>
      <c r="G581" s="44"/>
      <c r="H581" s="44"/>
      <c r="I581" s="44"/>
      <c r="J581" s="44"/>
    </row>
    <row r="582" spans="1:16">
      <c r="A582" t="s">
        <v>130</v>
      </c>
      <c r="B582" s="53"/>
      <c r="C582" s="53"/>
      <c r="D582" s="43"/>
      <c r="E582" s="43"/>
      <c r="F582" s="43"/>
      <c r="G582" s="44">
        <v>1</v>
      </c>
      <c r="H582" s="44">
        <v>4</v>
      </c>
      <c r="I582" s="44">
        <v>14</v>
      </c>
      <c r="J582" s="44">
        <f>D581+0.5</f>
        <v>5.28</v>
      </c>
      <c r="K582" s="7" t="str">
        <f t="shared" ref="K582:K584" si="282">IF(I582=6,G582*H582*J582,"")</f>
        <v/>
      </c>
      <c r="L582" s="7" t="str">
        <f t="shared" ref="L582:L584" si="283">IF(I582=8,G582*H582*J582,"")</f>
        <v/>
      </c>
      <c r="M582" s="7" t="str">
        <f t="shared" ref="M582:M584" si="284">IF(I582=10,G582*H582*J582,"")</f>
        <v/>
      </c>
      <c r="N582" s="7" t="str">
        <f t="shared" ref="N582:N584" si="285">IF(I582=12,G582*H582*J582,"")</f>
        <v/>
      </c>
      <c r="O582" s="7">
        <f t="shared" ref="O582:O584" si="286">IF(I582=14,G582*H582*J582,"")</f>
        <v>21.12</v>
      </c>
      <c r="P582" s="7" t="str">
        <f t="shared" ref="P582:P583" si="287">IF(I582=16,G582*H582*J582,"")</f>
        <v/>
      </c>
    </row>
    <row r="583" spans="1:16">
      <c r="A583" t="s">
        <v>129</v>
      </c>
      <c r="B583" s="53"/>
      <c r="C583" s="53"/>
      <c r="D583" s="43"/>
      <c r="E583" s="43"/>
      <c r="F583" s="43"/>
      <c r="G583" s="44">
        <v>1</v>
      </c>
      <c r="H583" s="44">
        <v>2</v>
      </c>
      <c r="I583" s="44">
        <v>12</v>
      </c>
      <c r="J583" s="44">
        <f>D581+0.5</f>
        <v>5.28</v>
      </c>
      <c r="K583" s="7" t="str">
        <f t="shared" si="282"/>
        <v/>
      </c>
      <c r="L583" s="7" t="str">
        <f t="shared" si="283"/>
        <v/>
      </c>
      <c r="M583" s="7" t="str">
        <f t="shared" si="284"/>
        <v/>
      </c>
      <c r="N583" s="7">
        <f t="shared" si="285"/>
        <v>10.56</v>
      </c>
      <c r="O583" s="7" t="str">
        <f t="shared" si="286"/>
        <v/>
      </c>
      <c r="P583" s="7" t="str">
        <f t="shared" si="287"/>
        <v/>
      </c>
    </row>
    <row r="584" spans="1:16" ht="15.6" customHeight="1">
      <c r="A584" t="s">
        <v>76</v>
      </c>
      <c r="B584" s="53"/>
      <c r="C584" s="53"/>
      <c r="D584" s="43"/>
      <c r="E584" s="43"/>
      <c r="F584" s="43"/>
      <c r="G584" s="44">
        <v>1</v>
      </c>
      <c r="H584" s="44">
        <f>ROUNDUP((D581)/0.2,0)</f>
        <v>24</v>
      </c>
      <c r="I584" s="44">
        <v>6</v>
      </c>
      <c r="J584" s="44">
        <f>2*(E581+F581)+20.5*I584/1000</f>
        <v>0.92300000000000004</v>
      </c>
      <c r="K584" s="7">
        <f t="shared" si="282"/>
        <v>22.152000000000001</v>
      </c>
      <c r="L584" s="7" t="str">
        <f t="shared" si="283"/>
        <v/>
      </c>
      <c r="M584" s="7" t="str">
        <f t="shared" si="284"/>
        <v/>
      </c>
      <c r="N584" s="7" t="str">
        <f t="shared" si="285"/>
        <v/>
      </c>
      <c r="O584" s="7" t="str">
        <f t="shared" si="286"/>
        <v/>
      </c>
      <c r="P584" s="7" t="str">
        <f>IF(I584=16,G584*H584*J584,"")</f>
        <v/>
      </c>
    </row>
    <row r="585" spans="1:16">
      <c r="A585" s="50" t="s">
        <v>137</v>
      </c>
      <c r="B585" s="53" t="s">
        <v>7</v>
      </c>
      <c r="C585" s="23" t="s">
        <v>110</v>
      </c>
      <c r="D585" s="84">
        <v>2.65</v>
      </c>
      <c r="E585" s="84">
        <v>0.2</v>
      </c>
      <c r="F585" s="84">
        <v>0.2</v>
      </c>
      <c r="G585" s="44"/>
      <c r="H585" s="44"/>
      <c r="I585" s="44"/>
      <c r="J585" s="44"/>
    </row>
    <row r="586" spans="1:16">
      <c r="A586" t="s">
        <v>130</v>
      </c>
      <c r="B586" s="53"/>
      <c r="C586" s="53"/>
      <c r="D586" s="43"/>
      <c r="E586" s="43"/>
      <c r="F586" s="43"/>
      <c r="G586" s="44">
        <v>1</v>
      </c>
      <c r="H586" s="44">
        <v>4</v>
      </c>
      <c r="I586" s="44">
        <v>14</v>
      </c>
      <c r="J586" s="44">
        <f>D585+0.5</f>
        <v>3.15</v>
      </c>
      <c r="K586" s="7" t="str">
        <f t="shared" ref="K586:K588" si="288">IF(I586=6,G586*H586*J586,"")</f>
        <v/>
      </c>
      <c r="L586" s="7" t="str">
        <f t="shared" ref="L586:L588" si="289">IF(I586=8,G586*H586*J586,"")</f>
        <v/>
      </c>
      <c r="M586" s="7" t="str">
        <f t="shared" ref="M586:M588" si="290">IF(I586=10,G586*H586*J586,"")</f>
        <v/>
      </c>
      <c r="N586" s="7" t="str">
        <f t="shared" ref="N586:N588" si="291">IF(I586=12,G586*H586*J586,"")</f>
        <v/>
      </c>
      <c r="O586" s="7">
        <f t="shared" ref="O586:O588" si="292">IF(I586=14,G586*H586*J586,"")</f>
        <v>12.6</v>
      </c>
      <c r="P586" s="7" t="str">
        <f t="shared" ref="P586:P587" si="293">IF(I586=16,G586*H586*J586,"")</f>
        <v/>
      </c>
    </row>
    <row r="587" spans="1:16">
      <c r="A587" t="s">
        <v>129</v>
      </c>
      <c r="B587" s="53"/>
      <c r="C587" s="53"/>
      <c r="D587" s="43"/>
      <c r="E587" s="43"/>
      <c r="F587" s="43"/>
      <c r="G587" s="44">
        <v>1</v>
      </c>
      <c r="H587" s="44">
        <v>2</v>
      </c>
      <c r="I587" s="44">
        <v>12</v>
      </c>
      <c r="J587" s="44">
        <f>D585+0.5</f>
        <v>3.15</v>
      </c>
      <c r="K587" s="7" t="str">
        <f t="shared" si="288"/>
        <v/>
      </c>
      <c r="L587" s="7" t="str">
        <f t="shared" si="289"/>
        <v/>
      </c>
      <c r="M587" s="7" t="str">
        <f t="shared" si="290"/>
        <v/>
      </c>
      <c r="N587" s="7">
        <f t="shared" si="291"/>
        <v>6.3</v>
      </c>
      <c r="O587" s="7" t="str">
        <f t="shared" si="292"/>
        <v/>
      </c>
      <c r="P587" s="7" t="str">
        <f t="shared" si="293"/>
        <v/>
      </c>
    </row>
    <row r="588" spans="1:16">
      <c r="A588" t="s">
        <v>76</v>
      </c>
      <c r="B588" s="53"/>
      <c r="C588" s="53"/>
      <c r="D588" s="43"/>
      <c r="E588" s="43"/>
      <c r="F588" s="43"/>
      <c r="G588" s="44">
        <v>1</v>
      </c>
      <c r="H588" s="44">
        <f>ROUNDUP((D585)/0.2,0)</f>
        <v>14</v>
      </c>
      <c r="I588" s="44">
        <v>6</v>
      </c>
      <c r="J588" s="44">
        <f>2*(E585+F585)+20.5*I588/1000</f>
        <v>0.92300000000000004</v>
      </c>
      <c r="K588" s="7">
        <f t="shared" si="288"/>
        <v>12.922000000000001</v>
      </c>
      <c r="L588" s="7" t="str">
        <f t="shared" si="289"/>
        <v/>
      </c>
      <c r="M588" s="7" t="str">
        <f t="shared" si="290"/>
        <v/>
      </c>
      <c r="N588" s="7" t="str">
        <f t="shared" si="291"/>
        <v/>
      </c>
      <c r="O588" s="7" t="str">
        <f t="shared" si="292"/>
        <v/>
      </c>
      <c r="P588" s="7" t="str">
        <f>IF(I588=16,G588*H588*J588,"")</f>
        <v/>
      </c>
    </row>
    <row r="589" spans="1:16">
      <c r="A589" s="50" t="s">
        <v>137</v>
      </c>
      <c r="B589" s="53" t="s">
        <v>9</v>
      </c>
      <c r="C589" s="23" t="s">
        <v>110</v>
      </c>
      <c r="D589" s="84">
        <v>2.65</v>
      </c>
      <c r="E589" s="84">
        <v>0.2</v>
      </c>
      <c r="F589" s="84">
        <v>0.2</v>
      </c>
      <c r="G589" s="44"/>
      <c r="H589" s="44"/>
      <c r="I589" s="44"/>
      <c r="J589" s="44"/>
    </row>
    <row r="590" spans="1:16">
      <c r="A590" t="s">
        <v>130</v>
      </c>
      <c r="B590" s="53"/>
      <c r="C590" s="53"/>
      <c r="D590" s="43"/>
      <c r="E590" s="43"/>
      <c r="F590" s="43"/>
      <c r="G590" s="44">
        <v>1</v>
      </c>
      <c r="H590" s="44">
        <v>4</v>
      </c>
      <c r="I590" s="44">
        <v>14</v>
      </c>
      <c r="J590" s="44">
        <f>D589+0.5</f>
        <v>3.15</v>
      </c>
      <c r="K590" s="7" t="str">
        <f t="shared" ref="K590:K592" si="294">IF(I590=6,G590*H590*J590,"")</f>
        <v/>
      </c>
      <c r="L590" s="7" t="str">
        <f t="shared" ref="L590:L592" si="295">IF(I590=8,G590*H590*J590,"")</f>
        <v/>
      </c>
      <c r="M590" s="7" t="str">
        <f t="shared" ref="M590:M592" si="296">IF(I590=10,G590*H590*J590,"")</f>
        <v/>
      </c>
      <c r="N590" s="7" t="str">
        <f t="shared" ref="N590:N592" si="297">IF(I590=12,G590*H590*J590,"")</f>
        <v/>
      </c>
      <c r="O590" s="7">
        <f t="shared" ref="O590:O592" si="298">IF(I590=14,G590*H590*J590,"")</f>
        <v>12.6</v>
      </c>
      <c r="P590" s="7" t="str">
        <f t="shared" ref="P590:P591" si="299">IF(I590=16,G590*H590*J590,"")</f>
        <v/>
      </c>
    </row>
    <row r="591" spans="1:16">
      <c r="A591" t="s">
        <v>129</v>
      </c>
      <c r="B591" s="53"/>
      <c r="C591" s="53"/>
      <c r="D591" s="43"/>
      <c r="E591" s="43"/>
      <c r="F591" s="43"/>
      <c r="G591" s="44">
        <v>1</v>
      </c>
      <c r="H591" s="44">
        <v>2</v>
      </c>
      <c r="I591" s="44">
        <v>12</v>
      </c>
      <c r="J591" s="44">
        <f>D589+0.5</f>
        <v>3.15</v>
      </c>
      <c r="K591" s="7" t="str">
        <f t="shared" si="294"/>
        <v/>
      </c>
      <c r="L591" s="7" t="str">
        <f t="shared" si="295"/>
        <v/>
      </c>
      <c r="M591" s="7" t="str">
        <f t="shared" si="296"/>
        <v/>
      </c>
      <c r="N591" s="7">
        <f t="shared" si="297"/>
        <v>6.3</v>
      </c>
      <c r="O591" s="7" t="str">
        <f t="shared" si="298"/>
        <v/>
      </c>
      <c r="P591" s="7" t="str">
        <f t="shared" si="299"/>
        <v/>
      </c>
    </row>
    <row r="592" spans="1:16">
      <c r="A592" t="s">
        <v>76</v>
      </c>
      <c r="B592" s="53"/>
      <c r="C592" s="53"/>
      <c r="D592" s="43"/>
      <c r="E592" s="43"/>
      <c r="F592" s="43"/>
      <c r="G592" s="44">
        <v>1</v>
      </c>
      <c r="H592" s="44">
        <f>ROUNDUP((D589)/0.2,0)</f>
        <v>14</v>
      </c>
      <c r="I592" s="44">
        <v>6</v>
      </c>
      <c r="J592" s="44">
        <f>2*(E589+F589)+20.5*I592/1000</f>
        <v>0.92300000000000004</v>
      </c>
      <c r="K592" s="7">
        <f t="shared" si="294"/>
        <v>12.922000000000001</v>
      </c>
      <c r="L592" s="7" t="str">
        <f t="shared" si="295"/>
        <v/>
      </c>
      <c r="M592" s="7" t="str">
        <f t="shared" si="296"/>
        <v/>
      </c>
      <c r="N592" s="7" t="str">
        <f t="shared" si="297"/>
        <v/>
      </c>
      <c r="O592" s="7" t="str">
        <f t="shared" si="298"/>
        <v/>
      </c>
      <c r="P592" s="7" t="str">
        <f>IF(I592=16,G592*H592*J592,"")</f>
        <v/>
      </c>
    </row>
    <row r="593" spans="1:19">
      <c r="A593" s="50" t="s">
        <v>137</v>
      </c>
      <c r="B593" s="53" t="s">
        <v>7</v>
      </c>
      <c r="C593" s="23" t="s">
        <v>111</v>
      </c>
      <c r="D593" s="84">
        <v>4.5999999999999996</v>
      </c>
      <c r="E593" s="84">
        <v>0.2</v>
      </c>
      <c r="F593" s="84">
        <v>0.2</v>
      </c>
      <c r="G593" s="44"/>
      <c r="H593" s="44"/>
      <c r="I593" s="44"/>
      <c r="J593" s="44"/>
    </row>
    <row r="594" spans="1:19">
      <c r="A594" t="s">
        <v>130</v>
      </c>
      <c r="B594" s="53"/>
      <c r="C594" s="53"/>
      <c r="D594" s="43"/>
      <c r="E594" s="43"/>
      <c r="F594" s="43"/>
      <c r="G594" s="44">
        <v>1</v>
      </c>
      <c r="H594" s="44">
        <v>4</v>
      </c>
      <c r="I594" s="44">
        <v>14</v>
      </c>
      <c r="J594" s="44">
        <f>D593+0.5</f>
        <v>5.0999999999999996</v>
      </c>
      <c r="K594" s="7" t="str">
        <f t="shared" ref="K594:K596" si="300">IF(I594=6,G594*H594*J594,"")</f>
        <v/>
      </c>
      <c r="L594" s="7" t="str">
        <f t="shared" ref="L594:L596" si="301">IF(I594=8,G594*H594*J594,"")</f>
        <v/>
      </c>
      <c r="M594" s="7" t="str">
        <f t="shared" ref="M594:M596" si="302">IF(I594=10,G594*H594*J594,"")</f>
        <v/>
      </c>
      <c r="N594" s="7" t="str">
        <f t="shared" ref="N594:N596" si="303">IF(I594=12,G594*H594*J594,"")</f>
        <v/>
      </c>
      <c r="O594" s="7">
        <f t="shared" ref="O594:O596" si="304">IF(I594=14,G594*H594*J594,"")</f>
        <v>20.399999999999999</v>
      </c>
      <c r="P594" s="7" t="str">
        <f t="shared" ref="P594:P595" si="305">IF(I594=16,G594*H594*J594,"")</f>
        <v/>
      </c>
    </row>
    <row r="595" spans="1:19">
      <c r="A595" t="s">
        <v>129</v>
      </c>
      <c r="B595" s="53"/>
      <c r="C595" s="53"/>
      <c r="D595" s="43"/>
      <c r="E595" s="43"/>
      <c r="F595" s="43"/>
      <c r="G595" s="44">
        <v>1</v>
      </c>
      <c r="H595" s="44">
        <v>2</v>
      </c>
      <c r="I595" s="44">
        <v>12</v>
      </c>
      <c r="J595" s="44">
        <f>D593+0.5</f>
        <v>5.0999999999999996</v>
      </c>
      <c r="K595" s="7" t="str">
        <f t="shared" si="300"/>
        <v/>
      </c>
      <c r="L595" s="7" t="str">
        <f t="shared" si="301"/>
        <v/>
      </c>
      <c r="M595" s="7" t="str">
        <f t="shared" si="302"/>
        <v/>
      </c>
      <c r="N595" s="7">
        <f t="shared" si="303"/>
        <v>10.199999999999999</v>
      </c>
      <c r="O595" s="7" t="str">
        <f t="shared" si="304"/>
        <v/>
      </c>
      <c r="P595" s="7" t="str">
        <f t="shared" si="305"/>
        <v/>
      </c>
    </row>
    <row r="596" spans="1:19">
      <c r="A596" t="s">
        <v>76</v>
      </c>
      <c r="B596" s="53"/>
      <c r="C596" s="53"/>
      <c r="D596" s="43"/>
      <c r="E596" s="43"/>
      <c r="F596" s="43"/>
      <c r="G596" s="44">
        <v>1</v>
      </c>
      <c r="H596" s="44">
        <f>ROUNDUP((D593)/0.2,0)</f>
        <v>23</v>
      </c>
      <c r="I596" s="44">
        <v>6</v>
      </c>
      <c r="J596" s="44">
        <f>2*(E593+F593)+20.5*I596/1000</f>
        <v>0.92300000000000004</v>
      </c>
      <c r="K596" s="7">
        <f t="shared" si="300"/>
        <v>21.228999999999999</v>
      </c>
      <c r="L596" s="7" t="str">
        <f t="shared" si="301"/>
        <v/>
      </c>
      <c r="M596" s="7" t="str">
        <f t="shared" si="302"/>
        <v/>
      </c>
      <c r="N596" s="7" t="str">
        <f t="shared" si="303"/>
        <v/>
      </c>
      <c r="O596" s="7" t="str">
        <f t="shared" si="304"/>
        <v/>
      </c>
      <c r="P596" s="7" t="str">
        <f>IF(I596=16,G596*H596*J596,"")</f>
        <v/>
      </c>
    </row>
    <row r="597" spans="1:19">
      <c r="A597" s="50" t="s">
        <v>137</v>
      </c>
      <c r="B597" s="53" t="s">
        <v>9</v>
      </c>
      <c r="C597" s="23" t="s">
        <v>111</v>
      </c>
      <c r="D597" s="84">
        <v>4.5999999999999996</v>
      </c>
      <c r="E597" s="84">
        <v>0.2</v>
      </c>
      <c r="F597" s="84">
        <v>0.2</v>
      </c>
      <c r="G597" s="44"/>
      <c r="H597" s="44"/>
      <c r="I597" s="44"/>
      <c r="J597" s="44"/>
    </row>
    <row r="598" spans="1:19">
      <c r="A598" t="s">
        <v>130</v>
      </c>
      <c r="B598" s="53"/>
      <c r="C598" s="53"/>
      <c r="D598" s="43"/>
      <c r="E598" s="43"/>
      <c r="F598" s="43"/>
      <c r="G598" s="44">
        <v>1</v>
      </c>
      <c r="H598" s="44">
        <v>4</v>
      </c>
      <c r="I598" s="44">
        <v>14</v>
      </c>
      <c r="J598" s="44">
        <f>D597+0.5</f>
        <v>5.0999999999999996</v>
      </c>
      <c r="K598" s="7" t="str">
        <f t="shared" ref="K598:K600" si="306">IF(I598=6,G598*H598*J598,"")</f>
        <v/>
      </c>
      <c r="L598" s="7" t="str">
        <f t="shared" ref="L598:L600" si="307">IF(I598=8,G598*H598*J598,"")</f>
        <v/>
      </c>
      <c r="M598" s="7" t="str">
        <f t="shared" ref="M598:M600" si="308">IF(I598=10,G598*H598*J598,"")</f>
        <v/>
      </c>
      <c r="N598" s="7" t="str">
        <f t="shared" ref="N598:N600" si="309">IF(I598=12,G598*H598*J598,"")</f>
        <v/>
      </c>
      <c r="O598" s="7">
        <f t="shared" ref="O598:O600" si="310">IF(I598=14,G598*H598*J598,"")</f>
        <v>20.399999999999999</v>
      </c>
      <c r="P598" s="7" t="str">
        <f t="shared" ref="P598:P599" si="311">IF(I598=16,G598*H598*J598,"")</f>
        <v/>
      </c>
    </row>
    <row r="599" spans="1:19">
      <c r="A599" t="s">
        <v>129</v>
      </c>
      <c r="B599" s="53"/>
      <c r="C599" s="53"/>
      <c r="D599" s="43"/>
      <c r="E599" s="43"/>
      <c r="F599" s="43"/>
      <c r="G599" s="44">
        <v>1</v>
      </c>
      <c r="H599" s="44">
        <v>2</v>
      </c>
      <c r="I599" s="44">
        <v>12</v>
      </c>
      <c r="J599" s="44">
        <f>D597+0.5</f>
        <v>5.0999999999999996</v>
      </c>
      <c r="K599" s="7" t="str">
        <f t="shared" si="306"/>
        <v/>
      </c>
      <c r="L599" s="7" t="str">
        <f t="shared" si="307"/>
        <v/>
      </c>
      <c r="M599" s="7" t="str">
        <f t="shared" si="308"/>
        <v/>
      </c>
      <c r="N599" s="7">
        <f t="shared" si="309"/>
        <v>10.199999999999999</v>
      </c>
      <c r="O599" s="7" t="str">
        <f t="shared" si="310"/>
        <v/>
      </c>
      <c r="P599" s="7" t="str">
        <f t="shared" si="311"/>
        <v/>
      </c>
    </row>
    <row r="600" spans="1:19">
      <c r="A600" t="s">
        <v>76</v>
      </c>
      <c r="B600" s="53"/>
      <c r="C600" s="53"/>
      <c r="D600" s="43"/>
      <c r="E600" s="43"/>
      <c r="F600" s="43"/>
      <c r="G600" s="44">
        <v>1</v>
      </c>
      <c r="H600" s="44">
        <f>ROUNDUP((D597)/0.2,0)</f>
        <v>23</v>
      </c>
      <c r="I600" s="44">
        <v>6</v>
      </c>
      <c r="J600" s="44">
        <f>2*(E597+F597)+20.5*I600/1000</f>
        <v>0.92300000000000004</v>
      </c>
      <c r="K600" s="7">
        <f t="shared" si="306"/>
        <v>21.228999999999999</v>
      </c>
      <c r="L600" s="7" t="str">
        <f t="shared" si="307"/>
        <v/>
      </c>
      <c r="M600" s="7" t="str">
        <f t="shared" si="308"/>
        <v/>
      </c>
      <c r="N600" s="7" t="str">
        <f t="shared" si="309"/>
        <v/>
      </c>
      <c r="O600" s="7" t="str">
        <f t="shared" si="310"/>
        <v/>
      </c>
      <c r="P600" s="7" t="str">
        <f>IF(I600=16,G600*H600*J600,"")</f>
        <v/>
      </c>
    </row>
    <row r="601" spans="1:19" s="45" customFormat="1">
      <c r="A601" s="172" t="s">
        <v>139</v>
      </c>
      <c r="B601" s="172"/>
      <c r="C601" s="172"/>
      <c r="D601" s="172"/>
      <c r="E601" s="172"/>
      <c r="F601" s="173"/>
      <c r="G601" s="44"/>
      <c r="H601" s="44"/>
      <c r="I601" s="44"/>
      <c r="J601" s="44"/>
      <c r="K601" s="65"/>
      <c r="L601" s="65"/>
      <c r="M601" s="65"/>
      <c r="N601" s="65"/>
      <c r="O601" s="65"/>
      <c r="P601" s="65"/>
      <c r="Q601" s="65"/>
      <c r="R601" s="65"/>
      <c r="S601" s="65"/>
    </row>
    <row r="602" spans="1:19">
      <c r="A602" s="2" t="s">
        <v>126</v>
      </c>
      <c r="B602" s="2" t="s">
        <v>2</v>
      </c>
      <c r="C602" s="2" t="s">
        <v>3</v>
      </c>
      <c r="D602" s="43"/>
      <c r="E602" s="43"/>
      <c r="F602" s="43"/>
      <c r="G602" s="44"/>
      <c r="H602" s="44"/>
      <c r="I602" s="44"/>
      <c r="J602" s="44"/>
    </row>
    <row r="603" spans="1:19">
      <c r="A603" s="50" t="s">
        <v>140</v>
      </c>
      <c r="B603" s="50" t="s">
        <v>25</v>
      </c>
      <c r="C603" s="51" t="s">
        <v>80</v>
      </c>
      <c r="D603">
        <f>3.82+0.4+0.82</f>
        <v>5.04</v>
      </c>
      <c r="E603">
        <v>0.2</v>
      </c>
      <c r="F603">
        <v>0.5</v>
      </c>
    </row>
    <row r="604" spans="1:19">
      <c r="A604" t="s">
        <v>130</v>
      </c>
      <c r="B604" s="53"/>
      <c r="C604" s="53"/>
      <c r="D604" s="43"/>
      <c r="E604" s="43"/>
      <c r="F604" s="43"/>
      <c r="G604" s="44">
        <v>1</v>
      </c>
      <c r="H604" s="44">
        <v>6</v>
      </c>
      <c r="I604" s="44">
        <v>14</v>
      </c>
      <c r="J604" s="44">
        <f>D603+0.5</f>
        <v>5.54</v>
      </c>
      <c r="K604" s="7" t="str">
        <f t="shared" ref="K604:K608" si="312">IF(I604=6,G604*H604*J604,"")</f>
        <v/>
      </c>
      <c r="L604" s="7" t="str">
        <f t="shared" ref="L604:L608" si="313">IF(I604=8,G604*H604*J604,"")</f>
        <v/>
      </c>
      <c r="M604" s="7" t="str">
        <f t="shared" ref="M604:M608" si="314">IF(I604=10,G604*H604*J604,"")</f>
        <v/>
      </c>
      <c r="N604" s="7" t="str">
        <f t="shared" ref="N604:N608" si="315">IF(I604=12,G604*H604*J604,"")</f>
        <v/>
      </c>
      <c r="O604" s="7">
        <f t="shared" ref="O604:O608" si="316">IF(I604=14,G604*H604*J604,"")</f>
        <v>33.24</v>
      </c>
      <c r="P604" s="7" t="str">
        <f t="shared" ref="P604:P606" si="317">IF(I604=16,G604*H604*J604,"")</f>
        <v/>
      </c>
    </row>
    <row r="605" spans="1:19">
      <c r="A605" t="s">
        <v>134</v>
      </c>
      <c r="B605" s="53"/>
      <c r="C605" s="53"/>
      <c r="D605" s="43"/>
      <c r="E605" s="43"/>
      <c r="F605" s="43"/>
      <c r="G605" s="44">
        <v>1</v>
      </c>
      <c r="H605" s="44">
        <v>4</v>
      </c>
      <c r="I605" s="44">
        <v>12</v>
      </c>
      <c r="J605" s="44">
        <f>D603+0.5</f>
        <v>5.54</v>
      </c>
      <c r="K605" s="7" t="str">
        <f t="shared" si="312"/>
        <v/>
      </c>
      <c r="L605" s="7" t="str">
        <f t="shared" si="313"/>
        <v/>
      </c>
      <c r="M605" s="7" t="str">
        <f t="shared" si="314"/>
        <v/>
      </c>
      <c r="N605" s="7">
        <f t="shared" si="315"/>
        <v>22.16</v>
      </c>
      <c r="O605" s="7" t="str">
        <f t="shared" si="316"/>
        <v/>
      </c>
      <c r="P605" s="7" t="str">
        <f t="shared" si="317"/>
        <v/>
      </c>
    </row>
    <row r="606" spans="1:19">
      <c r="A606" t="s">
        <v>129</v>
      </c>
      <c r="B606" s="53"/>
      <c r="C606" s="53"/>
      <c r="D606" s="43"/>
      <c r="E606" s="43"/>
      <c r="F606" s="43"/>
      <c r="G606" s="44">
        <v>1</v>
      </c>
      <c r="H606" s="44">
        <v>4</v>
      </c>
      <c r="I606" s="44">
        <v>10</v>
      </c>
      <c r="J606" s="44">
        <f>D603+0.5</f>
        <v>5.54</v>
      </c>
      <c r="K606" s="7" t="str">
        <f t="shared" si="312"/>
        <v/>
      </c>
      <c r="L606" s="7" t="str">
        <f t="shared" si="313"/>
        <v/>
      </c>
      <c r="M606" s="7">
        <f t="shared" si="314"/>
        <v>22.16</v>
      </c>
      <c r="N606" s="7" t="str">
        <f t="shared" si="315"/>
        <v/>
      </c>
      <c r="O606" s="7" t="str">
        <f t="shared" si="316"/>
        <v/>
      </c>
      <c r="P606" s="7" t="str">
        <f t="shared" si="317"/>
        <v/>
      </c>
    </row>
    <row r="607" spans="1:19">
      <c r="A607" t="s">
        <v>76</v>
      </c>
      <c r="B607" s="53"/>
      <c r="C607" s="53"/>
      <c r="D607" s="43"/>
      <c r="E607" s="43"/>
      <c r="F607" s="43"/>
      <c r="G607" s="44">
        <v>1</v>
      </c>
      <c r="H607" s="44">
        <f>ROUNDUP((D603)/0.2,0)</f>
        <v>26</v>
      </c>
      <c r="I607" s="44">
        <v>6</v>
      </c>
      <c r="J607" s="44">
        <f>2*(E603+F603)+20.5*I607/1000</f>
        <v>1.5229999999999999</v>
      </c>
      <c r="K607" s="7">
        <f t="shared" si="312"/>
        <v>39.597999999999999</v>
      </c>
      <c r="L607" s="7" t="str">
        <f t="shared" si="313"/>
        <v/>
      </c>
      <c r="M607" s="7" t="str">
        <f t="shared" si="314"/>
        <v/>
      </c>
      <c r="N607" s="7" t="str">
        <f t="shared" si="315"/>
        <v/>
      </c>
      <c r="O607" s="7" t="str">
        <f t="shared" si="316"/>
        <v/>
      </c>
      <c r="P607" s="7" t="str">
        <f>IF(I607=16,G607*H607*J607,"")</f>
        <v/>
      </c>
    </row>
    <row r="608" spans="1:19">
      <c r="A608" t="s">
        <v>77</v>
      </c>
      <c r="B608" s="53"/>
      <c r="C608" s="53"/>
      <c r="D608" s="43"/>
      <c r="E608" s="43"/>
      <c r="F608" s="43"/>
      <c r="G608" s="44">
        <v>1</v>
      </c>
      <c r="H608" s="44">
        <f>ROUNDUP((D603)/0.2,0)*2</f>
        <v>52</v>
      </c>
      <c r="I608" s="44">
        <v>6</v>
      </c>
      <c r="J608" s="44">
        <f>F603+22*(I608/1000)</f>
        <v>0.63200000000000001</v>
      </c>
      <c r="K608" s="7">
        <f t="shared" si="312"/>
        <v>32.863999999999997</v>
      </c>
      <c r="L608" s="7" t="str">
        <f t="shared" si="313"/>
        <v/>
      </c>
      <c r="M608" s="7" t="str">
        <f t="shared" si="314"/>
        <v/>
      </c>
      <c r="N608" s="7" t="str">
        <f t="shared" si="315"/>
        <v/>
      </c>
      <c r="O608" s="7" t="str">
        <f t="shared" si="316"/>
        <v/>
      </c>
      <c r="P608" s="7" t="str">
        <f>IF(I608=16,G608*H608*J608,"")</f>
        <v/>
      </c>
    </row>
    <row r="609" spans="1:16">
      <c r="A609" s="50" t="s">
        <v>140</v>
      </c>
      <c r="B609" s="50" t="s">
        <v>114</v>
      </c>
      <c r="C609" s="51" t="s">
        <v>80</v>
      </c>
      <c r="D609">
        <f>1.08+0.15+3.82</f>
        <v>5.05</v>
      </c>
      <c r="E609">
        <v>0.2</v>
      </c>
      <c r="F609">
        <v>0.5</v>
      </c>
    </row>
    <row r="610" spans="1:16">
      <c r="A610" t="s">
        <v>130</v>
      </c>
      <c r="B610" s="53"/>
      <c r="C610" s="53"/>
      <c r="D610" s="43"/>
      <c r="E610" s="43"/>
      <c r="F610" s="43"/>
      <c r="G610" s="44">
        <v>1</v>
      </c>
      <c r="H610" s="44">
        <v>6</v>
      </c>
      <c r="I610" s="44">
        <v>14</v>
      </c>
      <c r="J610" s="44">
        <f>D609+0.5</f>
        <v>5.55</v>
      </c>
      <c r="K610" s="7" t="str">
        <f t="shared" ref="K610:K614" si="318">IF(I610=6,G610*H610*J610,"")</f>
        <v/>
      </c>
      <c r="L610" s="7" t="str">
        <f t="shared" ref="L610:L614" si="319">IF(I610=8,G610*H610*J610,"")</f>
        <v/>
      </c>
      <c r="M610" s="7" t="str">
        <f t="shared" ref="M610:M614" si="320">IF(I610=10,G610*H610*J610,"")</f>
        <v/>
      </c>
      <c r="N610" s="7" t="str">
        <f t="shared" ref="N610:N614" si="321">IF(I610=12,G610*H610*J610,"")</f>
        <v/>
      </c>
      <c r="O610" s="7">
        <f t="shared" ref="O610:O614" si="322">IF(I610=14,G610*H610*J610,"")</f>
        <v>33.299999999999997</v>
      </c>
      <c r="P610" s="7" t="str">
        <f t="shared" ref="P610:P612" si="323">IF(I610=16,G610*H610*J610,"")</f>
        <v/>
      </c>
    </row>
    <row r="611" spans="1:16">
      <c r="A611" t="s">
        <v>134</v>
      </c>
      <c r="B611" s="53"/>
      <c r="C611" s="53"/>
      <c r="D611" s="43"/>
      <c r="E611" s="43"/>
      <c r="F611" s="43"/>
      <c r="G611" s="44">
        <v>1</v>
      </c>
      <c r="H611" s="44">
        <v>4</v>
      </c>
      <c r="I611" s="44">
        <v>12</v>
      </c>
      <c r="J611" s="44">
        <f>D609+0.5</f>
        <v>5.55</v>
      </c>
      <c r="K611" s="7" t="str">
        <f t="shared" si="318"/>
        <v/>
      </c>
      <c r="L611" s="7" t="str">
        <f t="shared" si="319"/>
        <v/>
      </c>
      <c r="M611" s="7" t="str">
        <f t="shared" si="320"/>
        <v/>
      </c>
      <c r="N611" s="7">
        <f t="shared" si="321"/>
        <v>22.2</v>
      </c>
      <c r="O611" s="7" t="str">
        <f t="shared" si="322"/>
        <v/>
      </c>
      <c r="P611" s="7" t="str">
        <f t="shared" si="323"/>
        <v/>
      </c>
    </row>
    <row r="612" spans="1:16">
      <c r="A612" t="s">
        <v>129</v>
      </c>
      <c r="B612" s="53"/>
      <c r="C612" s="53"/>
      <c r="D612" s="43"/>
      <c r="E612" s="43"/>
      <c r="F612" s="43"/>
      <c r="G612" s="44">
        <v>1</v>
      </c>
      <c r="H612" s="44">
        <v>4</v>
      </c>
      <c r="I612" s="44">
        <v>10</v>
      </c>
      <c r="J612" s="44">
        <f>D609+0.5</f>
        <v>5.55</v>
      </c>
      <c r="K612" s="7" t="str">
        <f t="shared" si="318"/>
        <v/>
      </c>
      <c r="L612" s="7" t="str">
        <f t="shared" si="319"/>
        <v/>
      </c>
      <c r="M612" s="7">
        <f t="shared" si="320"/>
        <v>22.2</v>
      </c>
      <c r="N612" s="7" t="str">
        <f t="shared" si="321"/>
        <v/>
      </c>
      <c r="O612" s="7" t="str">
        <f t="shared" si="322"/>
        <v/>
      </c>
      <c r="P612" s="7" t="str">
        <f t="shared" si="323"/>
        <v/>
      </c>
    </row>
    <row r="613" spans="1:16">
      <c r="A613" t="s">
        <v>76</v>
      </c>
      <c r="B613" s="53"/>
      <c r="C613" s="53"/>
      <c r="D613" s="43"/>
      <c r="E613" s="43"/>
      <c r="F613" s="43"/>
      <c r="G613" s="44">
        <v>1</v>
      </c>
      <c r="H613" s="44">
        <f>ROUNDUP((D609)/0.2,0)</f>
        <v>26</v>
      </c>
      <c r="I613" s="44">
        <v>6</v>
      </c>
      <c r="J613" s="44">
        <f>2*(E609+F609)+20.5*I613/1000</f>
        <v>1.5229999999999999</v>
      </c>
      <c r="K613" s="7">
        <f t="shared" si="318"/>
        <v>39.597999999999999</v>
      </c>
      <c r="L613" s="7" t="str">
        <f t="shared" si="319"/>
        <v/>
      </c>
      <c r="M613" s="7" t="str">
        <f t="shared" si="320"/>
        <v/>
      </c>
      <c r="N613" s="7" t="str">
        <f t="shared" si="321"/>
        <v/>
      </c>
      <c r="O613" s="7" t="str">
        <f t="shared" si="322"/>
        <v/>
      </c>
      <c r="P613" s="7" t="str">
        <f>IF(I613=16,G613*H613*J613,"")</f>
        <v/>
      </c>
    </row>
    <row r="614" spans="1:16">
      <c r="A614" t="s">
        <v>77</v>
      </c>
      <c r="B614" s="53"/>
      <c r="C614" s="53"/>
      <c r="D614" s="43"/>
      <c r="E614" s="43"/>
      <c r="F614" s="43"/>
      <c r="G614" s="44">
        <v>1</v>
      </c>
      <c r="H614" s="44">
        <f>ROUNDUP((D609)/0.2,0)*2</f>
        <v>52</v>
      </c>
      <c r="I614" s="44">
        <v>6</v>
      </c>
      <c r="J614" s="44">
        <f>F609+22*(I614/1000)</f>
        <v>0.63200000000000001</v>
      </c>
      <c r="K614" s="7">
        <f t="shared" si="318"/>
        <v>32.863999999999997</v>
      </c>
      <c r="L614" s="7" t="str">
        <f t="shared" si="319"/>
        <v/>
      </c>
      <c r="M614" s="7" t="str">
        <f t="shared" si="320"/>
        <v/>
      </c>
      <c r="N614" s="7" t="str">
        <f t="shared" si="321"/>
        <v/>
      </c>
      <c r="O614" s="7" t="str">
        <f t="shared" si="322"/>
        <v/>
      </c>
      <c r="P614" s="7" t="str">
        <f>IF(I614=16,G614*H614*J614,"")</f>
        <v/>
      </c>
    </row>
    <row r="615" spans="1:16">
      <c r="A615" s="50" t="s">
        <v>131</v>
      </c>
      <c r="B615" s="53" t="s">
        <v>4</v>
      </c>
      <c r="C615" s="23" t="s">
        <v>71</v>
      </c>
      <c r="D615" s="43"/>
      <c r="E615" s="43"/>
      <c r="F615" s="43"/>
      <c r="G615" s="44"/>
      <c r="H615" s="44"/>
      <c r="I615" s="44"/>
      <c r="J615" s="44"/>
    </row>
    <row r="616" spans="1:16">
      <c r="A616" t="s">
        <v>130</v>
      </c>
      <c r="B616" s="53"/>
      <c r="C616" s="53"/>
      <c r="D616" s="84">
        <v>2.48</v>
      </c>
      <c r="E616" s="84">
        <v>0.2</v>
      </c>
      <c r="F616" s="84">
        <v>0.3</v>
      </c>
      <c r="G616" s="44">
        <v>1</v>
      </c>
      <c r="H616" s="44">
        <v>6</v>
      </c>
      <c r="I616" s="44">
        <v>12</v>
      </c>
      <c r="J616" s="44">
        <f>D616+0.5</f>
        <v>2.98</v>
      </c>
      <c r="K616" s="7" t="str">
        <f t="shared" ref="K616:K618" si="324">IF(I616=6,G616*H616*J616,"")</f>
        <v/>
      </c>
      <c r="L616" s="7" t="str">
        <f t="shared" ref="L616:L618" si="325">IF(I616=8,G616*H616*J616,"")</f>
        <v/>
      </c>
      <c r="M616" s="7" t="str">
        <f t="shared" ref="M616:M618" si="326">IF(I616=10,G616*H616*J616,"")</f>
        <v/>
      </c>
      <c r="N616" s="7">
        <f t="shared" ref="N616:N618" si="327">IF(I616=12,G616*H616*J616,"")</f>
        <v>17.88</v>
      </c>
      <c r="O616" s="7" t="str">
        <f t="shared" ref="O616:O618" si="328">IF(I616=14,G616*H616*J616,"")</f>
        <v/>
      </c>
      <c r="P616" s="7" t="str">
        <f t="shared" ref="P616:P617" si="329">IF(I616=16,G616*H616*J616,"")</f>
        <v/>
      </c>
    </row>
    <row r="617" spans="1:16">
      <c r="A617" t="s">
        <v>129</v>
      </c>
      <c r="B617" s="53"/>
      <c r="C617" s="53"/>
      <c r="D617" s="43"/>
      <c r="E617" s="43"/>
      <c r="F617" s="43"/>
      <c r="G617" s="44">
        <v>1</v>
      </c>
      <c r="H617" s="44">
        <v>2</v>
      </c>
      <c r="I617" s="44">
        <v>10</v>
      </c>
      <c r="J617" s="44">
        <f>D616+0.5</f>
        <v>2.98</v>
      </c>
      <c r="K617" s="7" t="str">
        <f t="shared" si="324"/>
        <v/>
      </c>
      <c r="L617" s="7" t="str">
        <f t="shared" si="325"/>
        <v/>
      </c>
      <c r="M617" s="7">
        <f t="shared" si="326"/>
        <v>5.96</v>
      </c>
      <c r="N617" s="7" t="str">
        <f t="shared" si="327"/>
        <v/>
      </c>
      <c r="O617" s="7" t="str">
        <f t="shared" si="328"/>
        <v/>
      </c>
      <c r="P617" s="7" t="str">
        <f t="shared" si="329"/>
        <v/>
      </c>
    </row>
    <row r="618" spans="1:16">
      <c r="A618" t="s">
        <v>76</v>
      </c>
      <c r="B618" s="53"/>
      <c r="C618" s="53"/>
      <c r="D618" s="43"/>
      <c r="E618" s="43"/>
      <c r="F618" s="43"/>
      <c r="G618" s="44">
        <v>1</v>
      </c>
      <c r="H618" s="44">
        <f>ROUNDUP((D615)/0.2,0)</f>
        <v>0</v>
      </c>
      <c r="I618" s="44">
        <v>6</v>
      </c>
      <c r="J618" s="44">
        <f>2*(E615+F615)+20.5*I618/1000</f>
        <v>0.123</v>
      </c>
      <c r="K618" s="7">
        <f t="shared" si="324"/>
        <v>0</v>
      </c>
      <c r="L618" s="7" t="str">
        <f t="shared" si="325"/>
        <v/>
      </c>
      <c r="M618" s="7" t="str">
        <f t="shared" si="326"/>
        <v/>
      </c>
      <c r="N618" s="7" t="str">
        <f t="shared" si="327"/>
        <v/>
      </c>
      <c r="O618" s="7" t="str">
        <f t="shared" si="328"/>
        <v/>
      </c>
      <c r="P618" s="7" t="str">
        <f>IF(I618=16,G618*H618*J618,"")</f>
        <v/>
      </c>
    </row>
    <row r="619" spans="1:16">
      <c r="A619" s="50" t="s">
        <v>131</v>
      </c>
      <c r="B619" s="47" t="s">
        <v>11</v>
      </c>
      <c r="C619" s="85" t="s">
        <v>71</v>
      </c>
      <c r="D619" s="84">
        <v>2.48</v>
      </c>
      <c r="E619" s="84">
        <v>0.2</v>
      </c>
      <c r="F619" s="84">
        <v>0.3</v>
      </c>
      <c r="G619" s="44"/>
      <c r="H619" s="44"/>
      <c r="I619" s="44"/>
      <c r="J619" s="44"/>
    </row>
    <row r="620" spans="1:16">
      <c r="A620" t="s">
        <v>130</v>
      </c>
      <c r="B620" s="53"/>
      <c r="C620" s="53"/>
      <c r="D620" s="43"/>
      <c r="E620" s="43"/>
      <c r="F620" s="43"/>
      <c r="G620" s="44">
        <v>1</v>
      </c>
      <c r="H620" s="44">
        <v>6</v>
      </c>
      <c r="I620" s="44">
        <v>12</v>
      </c>
      <c r="J620" s="44">
        <f>D619+0.5</f>
        <v>2.98</v>
      </c>
      <c r="K620" s="7" t="str">
        <f t="shared" ref="K620:K622" si="330">IF(I620=6,G620*H620*J620,"")</f>
        <v/>
      </c>
      <c r="L620" s="7" t="str">
        <f t="shared" ref="L620:L622" si="331">IF(I620=8,G620*H620*J620,"")</f>
        <v/>
      </c>
      <c r="M620" s="7" t="str">
        <f t="shared" ref="M620:M622" si="332">IF(I620=10,G620*H620*J620,"")</f>
        <v/>
      </c>
      <c r="N620" s="7">
        <f t="shared" ref="N620:N622" si="333">IF(I620=12,G620*H620*J620,"")</f>
        <v>17.88</v>
      </c>
      <c r="O620" s="7" t="str">
        <f t="shared" ref="O620:O622" si="334">IF(I620=14,G620*H620*J620,"")</f>
        <v/>
      </c>
      <c r="P620" s="7" t="str">
        <f t="shared" ref="P620:P621" si="335">IF(I620=16,G620*H620*J620,"")</f>
        <v/>
      </c>
    </row>
    <row r="621" spans="1:16">
      <c r="A621" t="s">
        <v>129</v>
      </c>
      <c r="B621" s="53"/>
      <c r="C621" s="53"/>
      <c r="D621" s="43"/>
      <c r="E621" s="43"/>
      <c r="F621" s="43"/>
      <c r="G621" s="44">
        <v>1</v>
      </c>
      <c r="H621" s="44">
        <v>2</v>
      </c>
      <c r="I621" s="44">
        <v>10</v>
      </c>
      <c r="J621" s="44">
        <f>D619+0.5</f>
        <v>2.98</v>
      </c>
      <c r="K621" s="7" t="str">
        <f t="shared" si="330"/>
        <v/>
      </c>
      <c r="L621" s="7" t="str">
        <f t="shared" si="331"/>
        <v/>
      </c>
      <c r="M621" s="7">
        <f t="shared" si="332"/>
        <v>5.96</v>
      </c>
      <c r="N621" s="7" t="str">
        <f t="shared" si="333"/>
        <v/>
      </c>
      <c r="O621" s="7" t="str">
        <f t="shared" si="334"/>
        <v/>
      </c>
      <c r="P621" s="7" t="str">
        <f t="shared" si="335"/>
        <v/>
      </c>
    </row>
    <row r="622" spans="1:16">
      <c r="A622" t="s">
        <v>76</v>
      </c>
      <c r="B622" s="53"/>
      <c r="C622" s="53"/>
      <c r="D622" s="43"/>
      <c r="E622" s="43"/>
      <c r="F622" s="43"/>
      <c r="G622" s="44">
        <v>1</v>
      </c>
      <c r="H622" s="44">
        <f>ROUNDUP((D619)/0.2,0)</f>
        <v>13</v>
      </c>
      <c r="I622" s="44">
        <v>6</v>
      </c>
      <c r="J622" s="44">
        <f>2*(E619+F619)+20.5*I622/1000</f>
        <v>1.123</v>
      </c>
      <c r="K622" s="7">
        <f t="shared" si="330"/>
        <v>14.599</v>
      </c>
      <c r="L622" s="7" t="str">
        <f t="shared" si="331"/>
        <v/>
      </c>
      <c r="M622" s="7" t="str">
        <f t="shared" si="332"/>
        <v/>
      </c>
      <c r="N622" s="7" t="str">
        <f t="shared" si="333"/>
        <v/>
      </c>
      <c r="O622" s="7" t="str">
        <f t="shared" si="334"/>
        <v/>
      </c>
      <c r="P622" s="7" t="str">
        <f>IF(I622=16,G622*H622*J622,"")</f>
        <v/>
      </c>
    </row>
    <row r="623" spans="1:16">
      <c r="A623" s="50" t="s">
        <v>131</v>
      </c>
      <c r="B623" s="47" t="s">
        <v>11</v>
      </c>
      <c r="C623" s="85" t="s">
        <v>72</v>
      </c>
      <c r="D623" s="84">
        <f>7.25/2</f>
        <v>3.625</v>
      </c>
      <c r="E623" s="84">
        <v>0.2</v>
      </c>
      <c r="F623" s="84">
        <v>0.3</v>
      </c>
      <c r="G623" s="44"/>
      <c r="H623" s="44"/>
      <c r="I623" s="44"/>
      <c r="J623" s="44"/>
    </row>
    <row r="624" spans="1:16">
      <c r="A624" t="s">
        <v>130</v>
      </c>
      <c r="B624" s="53"/>
      <c r="C624" s="53"/>
      <c r="D624" s="43"/>
      <c r="E624" s="43"/>
      <c r="F624" s="43"/>
      <c r="G624" s="44">
        <v>1</v>
      </c>
      <c r="H624" s="44">
        <v>6</v>
      </c>
      <c r="I624" s="44">
        <v>12</v>
      </c>
      <c r="J624" s="44">
        <f>D623+0.5</f>
        <v>4.125</v>
      </c>
      <c r="K624" s="7" t="str">
        <f t="shared" ref="K624:K626" si="336">IF(I624=6,G624*H624*J624,"")</f>
        <v/>
      </c>
      <c r="L624" s="7" t="str">
        <f t="shared" ref="L624:L626" si="337">IF(I624=8,G624*H624*J624,"")</f>
        <v/>
      </c>
      <c r="M624" s="7" t="str">
        <f t="shared" ref="M624:M626" si="338">IF(I624=10,G624*H624*J624,"")</f>
        <v/>
      </c>
      <c r="N624" s="7">
        <f t="shared" ref="N624:N626" si="339">IF(I624=12,G624*H624*J624,"")</f>
        <v>24.75</v>
      </c>
      <c r="O624" s="7" t="str">
        <f t="shared" ref="O624:O626" si="340">IF(I624=14,G624*H624*J624,"")</f>
        <v/>
      </c>
      <c r="P624" s="7" t="str">
        <f t="shared" ref="P624:P625" si="341">IF(I624=16,G624*H624*J624,"")</f>
        <v/>
      </c>
    </row>
    <row r="625" spans="1:16">
      <c r="A625" t="s">
        <v>129</v>
      </c>
      <c r="B625" s="53"/>
      <c r="C625" s="53"/>
      <c r="D625" s="43"/>
      <c r="E625" s="43"/>
      <c r="F625" s="43"/>
      <c r="G625" s="44">
        <v>1</v>
      </c>
      <c r="H625" s="44">
        <v>2</v>
      </c>
      <c r="I625" s="44">
        <v>10</v>
      </c>
      <c r="J625" s="44">
        <f>D623+0.5</f>
        <v>4.125</v>
      </c>
      <c r="K625" s="7" t="str">
        <f t="shared" si="336"/>
        <v/>
      </c>
      <c r="L625" s="7" t="str">
        <f t="shared" si="337"/>
        <v/>
      </c>
      <c r="M625" s="7">
        <f t="shared" si="338"/>
        <v>8.25</v>
      </c>
      <c r="N625" s="7" t="str">
        <f t="shared" si="339"/>
        <v/>
      </c>
      <c r="O625" s="7" t="str">
        <f t="shared" si="340"/>
        <v/>
      </c>
      <c r="P625" s="7" t="str">
        <f t="shared" si="341"/>
        <v/>
      </c>
    </row>
    <row r="626" spans="1:16">
      <c r="A626" t="s">
        <v>76</v>
      </c>
      <c r="B626" s="53"/>
      <c r="C626" s="23"/>
      <c r="D626" s="43"/>
      <c r="E626" s="43"/>
      <c r="F626" s="43"/>
      <c r="G626" s="44">
        <v>1</v>
      </c>
      <c r="H626" s="44">
        <f>ROUNDUP((D623)/0.2,0)</f>
        <v>19</v>
      </c>
      <c r="I626" s="44">
        <v>6</v>
      </c>
      <c r="J626" s="44">
        <f>2*(E623+F623)+20.5*I626/1000</f>
        <v>1.123</v>
      </c>
      <c r="K626" s="7">
        <f t="shared" si="336"/>
        <v>21.337</v>
      </c>
      <c r="L626" s="7" t="str">
        <f t="shared" si="337"/>
        <v/>
      </c>
      <c r="M626" s="7" t="str">
        <f t="shared" si="338"/>
        <v/>
      </c>
      <c r="N626" s="7" t="str">
        <f t="shared" si="339"/>
        <v/>
      </c>
      <c r="O626" s="7" t="str">
        <f t="shared" si="340"/>
        <v/>
      </c>
      <c r="P626" s="7" t="str">
        <f>IF(I626=16,G626*H626*J626,"")</f>
        <v/>
      </c>
    </row>
    <row r="627" spans="1:16">
      <c r="A627" s="50" t="s">
        <v>141</v>
      </c>
      <c r="B627" s="53" t="s">
        <v>4</v>
      </c>
      <c r="C627" s="23" t="s">
        <v>117</v>
      </c>
      <c r="D627" s="84">
        <v>7.25</v>
      </c>
      <c r="E627" s="84">
        <v>0.4</v>
      </c>
      <c r="F627" s="84">
        <v>0.9</v>
      </c>
      <c r="G627" s="44"/>
      <c r="H627" s="44"/>
      <c r="I627" s="44"/>
      <c r="J627" s="44"/>
    </row>
    <row r="628" spans="1:16">
      <c r="A628" t="s">
        <v>130</v>
      </c>
      <c r="B628" s="53"/>
      <c r="C628" s="53"/>
      <c r="D628" s="43"/>
      <c r="E628" s="43"/>
      <c r="F628" s="43"/>
      <c r="G628" s="44">
        <v>1</v>
      </c>
      <c r="H628" s="44">
        <v>4</v>
      </c>
      <c r="I628" s="44">
        <v>16</v>
      </c>
      <c r="J628" s="44">
        <f>D627+0.5</f>
        <v>7.75</v>
      </c>
      <c r="K628" s="7" t="str">
        <f t="shared" ref="K628:K632" si="342">IF(I628=6,G628*H628*J628,"")</f>
        <v/>
      </c>
      <c r="L628" s="7" t="str">
        <f t="shared" ref="L628:L632" si="343">IF(I628=8,G628*H628*J628,"")</f>
        <v/>
      </c>
      <c r="M628" s="7" t="str">
        <f t="shared" ref="M628:M632" si="344">IF(I628=10,G628*H628*J628,"")</f>
        <v/>
      </c>
      <c r="N628" s="7" t="str">
        <f t="shared" ref="N628:N632" si="345">IF(I628=12,G628*H628*J628,"")</f>
        <v/>
      </c>
      <c r="O628" s="7" t="str">
        <f t="shared" ref="O628:O632" si="346">IF(I628=14,G628*H628*J628,"")</f>
        <v/>
      </c>
      <c r="P628" s="7">
        <f t="shared" ref="P628:P630" si="347">IF(I628=16,G628*H628*J628,"")</f>
        <v>31</v>
      </c>
    </row>
    <row r="629" spans="1:16">
      <c r="A629" t="s">
        <v>134</v>
      </c>
      <c r="B629" s="53"/>
      <c r="C629" s="53"/>
      <c r="D629" s="43"/>
      <c r="E629" s="43"/>
      <c r="F629" s="43"/>
      <c r="G629" s="44">
        <v>1</v>
      </c>
      <c r="H629" s="44">
        <v>6</v>
      </c>
      <c r="I629" s="44">
        <v>12</v>
      </c>
      <c r="J629" s="44">
        <f>D627+0.5</f>
        <v>7.75</v>
      </c>
      <c r="K629" s="7" t="str">
        <f t="shared" si="342"/>
        <v/>
      </c>
      <c r="L629" s="7" t="str">
        <f t="shared" si="343"/>
        <v/>
      </c>
      <c r="M629" s="7" t="str">
        <f t="shared" si="344"/>
        <v/>
      </c>
      <c r="N629" s="7">
        <f t="shared" si="345"/>
        <v>46.5</v>
      </c>
      <c r="O629" s="7" t="str">
        <f t="shared" si="346"/>
        <v/>
      </c>
      <c r="P629" s="7" t="str">
        <f t="shared" si="347"/>
        <v/>
      </c>
    </row>
    <row r="630" spans="1:16">
      <c r="A630" t="s">
        <v>129</v>
      </c>
      <c r="B630" s="53"/>
      <c r="C630" s="53"/>
      <c r="D630" s="43"/>
      <c r="E630" s="43"/>
      <c r="F630" s="43"/>
      <c r="G630" s="44">
        <v>1</v>
      </c>
      <c r="H630" s="44">
        <v>14</v>
      </c>
      <c r="I630" s="44">
        <v>16</v>
      </c>
      <c r="J630" s="44">
        <f>D627+0.5</f>
        <v>7.75</v>
      </c>
      <c r="K630" s="7" t="str">
        <f t="shared" si="342"/>
        <v/>
      </c>
      <c r="L630" s="7" t="str">
        <f t="shared" si="343"/>
        <v/>
      </c>
      <c r="M630" s="7" t="str">
        <f t="shared" si="344"/>
        <v/>
      </c>
      <c r="N630" s="7" t="str">
        <f t="shared" si="345"/>
        <v/>
      </c>
      <c r="O630" s="7" t="str">
        <f t="shared" si="346"/>
        <v/>
      </c>
      <c r="P630" s="7">
        <f t="shared" si="347"/>
        <v>108.5</v>
      </c>
    </row>
    <row r="631" spans="1:16">
      <c r="A631" t="s">
        <v>76</v>
      </c>
      <c r="B631" s="53"/>
      <c r="C631" s="53"/>
      <c r="D631" s="43"/>
      <c r="E631" s="43"/>
      <c r="F631" s="43"/>
      <c r="G631" s="44">
        <v>1</v>
      </c>
      <c r="H631" s="44">
        <f>ROUNDUP((D627)/0.2,0)</f>
        <v>37</v>
      </c>
      <c r="I631" s="44">
        <v>6</v>
      </c>
      <c r="J631" s="44">
        <f>2*(E627+F627)+20.5*I631/1000</f>
        <v>2.7229999999999999</v>
      </c>
      <c r="K631" s="7">
        <f t="shared" si="342"/>
        <v>100.75099999999999</v>
      </c>
      <c r="L631" s="7" t="str">
        <f t="shared" si="343"/>
        <v/>
      </c>
      <c r="M631" s="7" t="str">
        <f t="shared" si="344"/>
        <v/>
      </c>
      <c r="N631" s="7" t="str">
        <f t="shared" si="345"/>
        <v/>
      </c>
      <c r="O631" s="7" t="str">
        <f t="shared" si="346"/>
        <v/>
      </c>
      <c r="P631" s="7" t="str">
        <f>IF(I631=16,G631*H631*J631,"")</f>
        <v/>
      </c>
    </row>
    <row r="632" spans="1:16">
      <c r="A632" t="s">
        <v>77</v>
      </c>
      <c r="B632" s="53"/>
      <c r="C632" s="53"/>
      <c r="D632" s="43"/>
      <c r="E632" s="43"/>
      <c r="F632" s="43"/>
      <c r="G632" s="44">
        <v>1</v>
      </c>
      <c r="H632" s="44">
        <f>ROUNDUP((D627)/0.2,0)*3</f>
        <v>111</v>
      </c>
      <c r="I632" s="44">
        <v>6</v>
      </c>
      <c r="J632" s="44">
        <f>F627+22*(I632/1000)</f>
        <v>1.032</v>
      </c>
      <c r="K632" s="7">
        <f t="shared" si="342"/>
        <v>114.55200000000001</v>
      </c>
      <c r="L632" s="7" t="str">
        <f t="shared" si="343"/>
        <v/>
      </c>
      <c r="M632" s="7" t="str">
        <f t="shared" si="344"/>
        <v/>
      </c>
      <c r="N632" s="7" t="str">
        <f t="shared" si="345"/>
        <v/>
      </c>
      <c r="O632" s="7" t="str">
        <f t="shared" si="346"/>
        <v/>
      </c>
      <c r="P632" s="7" t="str">
        <f>IF(I632=16,G632*H632*J632,"")</f>
        <v/>
      </c>
    </row>
    <row r="633" spans="1:16">
      <c r="A633" s="50" t="s">
        <v>142</v>
      </c>
      <c r="B633" s="53" t="s">
        <v>121</v>
      </c>
      <c r="C633" s="53">
        <v>3</v>
      </c>
      <c r="D633" s="84">
        <f>3.82+0.4+0.82+1.08+0.15+3.82</f>
        <v>10.09</v>
      </c>
      <c r="E633" s="84">
        <v>0.3</v>
      </c>
      <c r="F633" s="84">
        <v>0.9</v>
      </c>
      <c r="G633" s="44"/>
      <c r="H633" s="44"/>
      <c r="I633" s="44"/>
      <c r="J633" s="44"/>
    </row>
    <row r="634" spans="1:16">
      <c r="A634" t="s">
        <v>130</v>
      </c>
      <c r="B634" s="53"/>
      <c r="C634" s="53"/>
      <c r="D634" s="43"/>
      <c r="E634" s="43"/>
      <c r="F634" s="43"/>
      <c r="G634" s="44">
        <v>1</v>
      </c>
      <c r="H634" s="44">
        <v>4</v>
      </c>
      <c r="I634" s="44">
        <v>16</v>
      </c>
      <c r="J634" s="44">
        <f>D633+0.5</f>
        <v>10.59</v>
      </c>
      <c r="K634" s="7" t="str">
        <f t="shared" ref="K634:K638" si="348">IF(I634=6,G634*H634*J634,"")</f>
        <v/>
      </c>
      <c r="L634" s="7" t="str">
        <f t="shared" ref="L634:L638" si="349">IF(I634=8,G634*H634*J634,"")</f>
        <v/>
      </c>
      <c r="M634" s="7" t="str">
        <f t="shared" ref="M634:M638" si="350">IF(I634=10,G634*H634*J634,"")</f>
        <v/>
      </c>
      <c r="N634" s="7" t="str">
        <f t="shared" ref="N634:N638" si="351">IF(I634=12,G634*H634*J634,"")</f>
        <v/>
      </c>
      <c r="O634" s="7" t="str">
        <f t="shared" ref="O634:O638" si="352">IF(I634=14,G634*H634*J634,"")</f>
        <v/>
      </c>
      <c r="P634" s="7">
        <f t="shared" ref="P634:P636" si="353">IF(I634=16,G634*H634*J634,"")</f>
        <v>42.36</v>
      </c>
    </row>
    <row r="635" spans="1:16">
      <c r="A635" t="s">
        <v>134</v>
      </c>
      <c r="B635" s="53"/>
      <c r="C635" s="53"/>
      <c r="D635" s="43"/>
      <c r="E635" s="43"/>
      <c r="F635" s="43"/>
      <c r="G635" s="44">
        <v>1</v>
      </c>
      <c r="H635" s="44">
        <v>6</v>
      </c>
      <c r="I635" s="44">
        <v>12</v>
      </c>
      <c r="J635" s="44">
        <f>D633+0.5</f>
        <v>10.59</v>
      </c>
      <c r="K635" s="7" t="str">
        <f t="shared" si="348"/>
        <v/>
      </c>
      <c r="L635" s="7" t="str">
        <f t="shared" si="349"/>
        <v/>
      </c>
      <c r="M635" s="7" t="str">
        <f t="shared" si="350"/>
        <v/>
      </c>
      <c r="N635" s="7">
        <f t="shared" si="351"/>
        <v>63.54</v>
      </c>
      <c r="O635" s="7" t="str">
        <f t="shared" si="352"/>
        <v/>
      </c>
      <c r="P635" s="7" t="str">
        <f t="shared" si="353"/>
        <v/>
      </c>
    </row>
    <row r="636" spans="1:16">
      <c r="A636" t="s">
        <v>129</v>
      </c>
      <c r="B636" s="53"/>
      <c r="C636" s="53"/>
      <c r="D636" s="43"/>
      <c r="E636" s="43"/>
      <c r="F636" s="43"/>
      <c r="G636" s="44">
        <v>1</v>
      </c>
      <c r="H636" s="44">
        <v>14</v>
      </c>
      <c r="I636" s="44">
        <v>16</v>
      </c>
      <c r="J636" s="44">
        <f>D633+0.5</f>
        <v>10.59</v>
      </c>
      <c r="K636" s="7" t="str">
        <f t="shared" si="348"/>
        <v/>
      </c>
      <c r="L636" s="7" t="str">
        <f t="shared" si="349"/>
        <v/>
      </c>
      <c r="M636" s="7" t="str">
        <f t="shared" si="350"/>
        <v/>
      </c>
      <c r="N636" s="7" t="str">
        <f t="shared" si="351"/>
        <v/>
      </c>
      <c r="O636" s="7" t="str">
        <f t="shared" si="352"/>
        <v/>
      </c>
      <c r="P636" s="7">
        <f t="shared" si="353"/>
        <v>148.26</v>
      </c>
    </row>
    <row r="637" spans="1:16">
      <c r="A637" t="s">
        <v>76</v>
      </c>
      <c r="B637" s="53"/>
      <c r="C637" s="53"/>
      <c r="D637" s="43"/>
      <c r="E637" s="43"/>
      <c r="F637" s="43"/>
      <c r="G637" s="44">
        <v>1</v>
      </c>
      <c r="H637" s="44">
        <f>ROUNDUP((D633)/0.2,0)</f>
        <v>51</v>
      </c>
      <c r="I637" s="44">
        <v>6</v>
      </c>
      <c r="J637" s="44">
        <f>2*(E633+F633)+20.5*I637/1000</f>
        <v>2.5229999999999997</v>
      </c>
      <c r="K637" s="7">
        <f t="shared" si="348"/>
        <v>128.67299999999997</v>
      </c>
      <c r="L637" s="7" t="str">
        <f t="shared" si="349"/>
        <v/>
      </c>
      <c r="M637" s="7" t="str">
        <f t="shared" si="350"/>
        <v/>
      </c>
      <c r="N637" s="7" t="str">
        <f t="shared" si="351"/>
        <v/>
      </c>
      <c r="O637" s="7" t="str">
        <f t="shared" si="352"/>
        <v/>
      </c>
      <c r="P637" s="7" t="str">
        <f>IF(I637=16,G637*H637*J637,"")</f>
        <v/>
      </c>
    </row>
    <row r="638" spans="1:16">
      <c r="A638" t="s">
        <v>77</v>
      </c>
      <c r="B638" s="53"/>
      <c r="C638" s="53"/>
      <c r="D638" s="43"/>
      <c r="E638" s="43"/>
      <c r="F638" s="43"/>
      <c r="G638" s="44">
        <v>1</v>
      </c>
      <c r="H638" s="44">
        <f>ROUNDUP((D633)/0.2,0)*3</f>
        <v>153</v>
      </c>
      <c r="I638" s="44">
        <v>6</v>
      </c>
      <c r="J638" s="44">
        <f>F633+22*(I638/1000)</f>
        <v>1.032</v>
      </c>
      <c r="K638" s="7">
        <f t="shared" si="348"/>
        <v>157.89600000000002</v>
      </c>
      <c r="L638" s="7" t="str">
        <f t="shared" si="349"/>
        <v/>
      </c>
      <c r="M638" s="7" t="str">
        <f t="shared" si="350"/>
        <v/>
      </c>
      <c r="N638" s="7" t="str">
        <f t="shared" si="351"/>
        <v/>
      </c>
      <c r="O638" s="7" t="str">
        <f t="shared" si="352"/>
        <v/>
      </c>
      <c r="P638" s="7" t="str">
        <f>IF(I638=16,G638*H638*J638,"")</f>
        <v/>
      </c>
    </row>
    <row r="639" spans="1:16">
      <c r="A639" t="s">
        <v>143</v>
      </c>
      <c r="B639" s="53"/>
      <c r="C639" s="53"/>
      <c r="D639" s="84">
        <f>D633</f>
        <v>10.09</v>
      </c>
      <c r="E639" s="84">
        <v>0.3</v>
      </c>
      <c r="F639" s="84">
        <v>0.8</v>
      </c>
      <c r="G639" s="44"/>
      <c r="H639" s="44"/>
      <c r="I639" s="44"/>
      <c r="J639" s="44"/>
    </row>
    <row r="640" spans="1:16">
      <c r="A640" t="s">
        <v>130</v>
      </c>
      <c r="B640" s="53"/>
      <c r="C640" s="53"/>
      <c r="D640" s="43"/>
      <c r="E640" s="43"/>
      <c r="F640" s="43"/>
      <c r="G640" s="44">
        <v>1</v>
      </c>
      <c r="H640" s="44">
        <v>12</v>
      </c>
      <c r="I640" s="44">
        <v>12</v>
      </c>
      <c r="J640" s="44">
        <f>D639+0.5</f>
        <v>10.59</v>
      </c>
      <c r="K640" s="7" t="str">
        <f t="shared" ref="K640:K642" si="354">IF(I640=6,G640*H640*J640,"")</f>
        <v/>
      </c>
      <c r="L640" s="7" t="str">
        <f t="shared" ref="L640:L642" si="355">IF(I640=8,G640*H640*J640,"")</f>
        <v/>
      </c>
      <c r="M640" s="7" t="str">
        <f t="shared" ref="M640:M642" si="356">IF(I640=10,G640*H640*J640,"")</f>
        <v/>
      </c>
      <c r="N640" s="7">
        <f t="shared" ref="N640:N642" si="357">IF(I640=12,G640*H640*J640,"")</f>
        <v>127.08</v>
      </c>
      <c r="O640" s="7" t="str">
        <f t="shared" ref="O640:O642" si="358">IF(I640=14,G640*H640*J640,"")</f>
        <v/>
      </c>
      <c r="P640" s="7" t="str">
        <f t="shared" ref="P640" si="359">IF(I640=16,G640*H640*J640,"")</f>
        <v/>
      </c>
    </row>
    <row r="641" spans="1:16">
      <c r="A641" t="s">
        <v>76</v>
      </c>
      <c r="B641" s="53"/>
      <c r="C641" s="53"/>
      <c r="D641" s="43"/>
      <c r="E641" s="43"/>
      <c r="F641" s="43"/>
      <c r="G641" s="44">
        <v>1</v>
      </c>
      <c r="H641" s="44">
        <f>ROUNDUP((D639)/0.2,0)</f>
        <v>51</v>
      </c>
      <c r="I641" s="44">
        <v>8</v>
      </c>
      <c r="J641" s="44">
        <f>2*(E639+F639)+20.5*I641/1000</f>
        <v>2.3640000000000003</v>
      </c>
      <c r="K641" s="7" t="str">
        <f t="shared" si="354"/>
        <v/>
      </c>
      <c r="L641" s="7">
        <f t="shared" si="355"/>
        <v>120.56400000000002</v>
      </c>
      <c r="M641" s="7" t="str">
        <f t="shared" si="356"/>
        <v/>
      </c>
      <c r="N641" s="7" t="str">
        <f t="shared" si="357"/>
        <v/>
      </c>
      <c r="O641" s="7" t="str">
        <f t="shared" si="358"/>
        <v/>
      </c>
      <c r="P641" s="7" t="str">
        <f>IF(I641=16,G641*H641*J641,"")</f>
        <v/>
      </c>
    </row>
    <row r="642" spans="1:16">
      <c r="A642" t="s">
        <v>77</v>
      </c>
      <c r="B642" s="53"/>
      <c r="C642" s="53"/>
      <c r="D642" s="43"/>
      <c r="E642" s="43"/>
      <c r="F642" s="43"/>
      <c r="G642" s="44">
        <v>1</v>
      </c>
      <c r="H642" s="44">
        <f>ROUNDUP((D639)/0.2,0)*3</f>
        <v>153</v>
      </c>
      <c r="I642" s="44">
        <v>6</v>
      </c>
      <c r="J642" s="44">
        <f>F639+22*(I642/1000)</f>
        <v>0.93200000000000005</v>
      </c>
      <c r="K642" s="7">
        <f t="shared" si="354"/>
        <v>142.596</v>
      </c>
      <c r="L642" s="7" t="str">
        <f t="shared" si="355"/>
        <v/>
      </c>
      <c r="M642" s="7" t="str">
        <f t="shared" si="356"/>
        <v/>
      </c>
      <c r="N642" s="7" t="str">
        <f t="shared" si="357"/>
        <v/>
      </c>
      <c r="O642" s="7" t="str">
        <f t="shared" si="358"/>
        <v/>
      </c>
      <c r="P642" s="7" t="str">
        <f>IF(I642=16,G642*H642*J642,"")</f>
        <v/>
      </c>
    </row>
    <row r="643" spans="1:16">
      <c r="A643" s="50" t="s">
        <v>132</v>
      </c>
      <c r="B643" s="50" t="s">
        <v>11</v>
      </c>
      <c r="C643" s="51" t="s">
        <v>144</v>
      </c>
      <c r="D643">
        <f>7.25/2+2.38</f>
        <v>6.0049999999999999</v>
      </c>
      <c r="E643">
        <v>0.2</v>
      </c>
      <c r="F643">
        <v>0.45</v>
      </c>
    </row>
    <row r="644" spans="1:16">
      <c r="A644" t="s">
        <v>130</v>
      </c>
      <c r="B644" s="53"/>
      <c r="C644" s="53"/>
      <c r="D644" s="43"/>
      <c r="E644" s="43"/>
      <c r="F644" s="43"/>
      <c r="G644" s="44">
        <v>1</v>
      </c>
      <c r="H644" s="44">
        <v>6</v>
      </c>
      <c r="I644" s="44">
        <v>14</v>
      </c>
      <c r="J644" s="44">
        <f>D643+0.5</f>
        <v>6.5049999999999999</v>
      </c>
      <c r="K644" s="7" t="str">
        <f t="shared" ref="K644:K648" si="360">IF(I644=6,G644*H644*J644,"")</f>
        <v/>
      </c>
      <c r="L644" s="7" t="str">
        <f t="shared" ref="L644:L648" si="361">IF(I644=8,G644*H644*J644,"")</f>
        <v/>
      </c>
      <c r="M644" s="7" t="str">
        <f t="shared" ref="M644:M648" si="362">IF(I644=10,G644*H644*J644,"")</f>
        <v/>
      </c>
      <c r="N644" s="7" t="str">
        <f t="shared" ref="N644:N648" si="363">IF(I644=12,G644*H644*J644,"")</f>
        <v/>
      </c>
      <c r="O644" s="7">
        <f t="shared" ref="O644:O648" si="364">IF(I644=14,G644*H644*J644,"")</f>
        <v>39.03</v>
      </c>
      <c r="P644" s="7" t="str">
        <f t="shared" ref="P644:P646" si="365">IF(I644=16,G644*H644*J644,"")</f>
        <v/>
      </c>
    </row>
    <row r="645" spans="1:16">
      <c r="A645" t="s">
        <v>134</v>
      </c>
      <c r="B645" s="53"/>
      <c r="C645" s="53"/>
      <c r="D645" s="43"/>
      <c r="E645" s="43"/>
      <c r="F645" s="43"/>
      <c r="G645" s="44">
        <v>1</v>
      </c>
      <c r="H645" s="44">
        <v>4</v>
      </c>
      <c r="I645" s="44">
        <v>12</v>
      </c>
      <c r="J645" s="44">
        <f>D644+0.5</f>
        <v>0.5</v>
      </c>
      <c r="K645" s="7" t="str">
        <f t="shared" si="360"/>
        <v/>
      </c>
      <c r="L645" s="7" t="str">
        <f t="shared" si="361"/>
        <v/>
      </c>
      <c r="M645" s="7" t="str">
        <f t="shared" si="362"/>
        <v/>
      </c>
      <c r="N645" s="7">
        <f t="shared" si="363"/>
        <v>2</v>
      </c>
      <c r="O645" s="7" t="str">
        <f t="shared" si="364"/>
        <v/>
      </c>
      <c r="P645" s="7" t="str">
        <f t="shared" si="365"/>
        <v/>
      </c>
    </row>
    <row r="646" spans="1:16">
      <c r="A646" t="s">
        <v>129</v>
      </c>
      <c r="B646" s="53"/>
      <c r="C646" s="53"/>
      <c r="D646" s="43"/>
      <c r="E646" s="43"/>
      <c r="F646" s="43"/>
      <c r="G646" s="44">
        <v>1</v>
      </c>
      <c r="H646" s="44">
        <v>4</v>
      </c>
      <c r="I646" s="44">
        <v>10</v>
      </c>
      <c r="J646" s="44">
        <f>D643+0.5</f>
        <v>6.5049999999999999</v>
      </c>
      <c r="K646" s="7" t="str">
        <f t="shared" si="360"/>
        <v/>
      </c>
      <c r="L646" s="7" t="str">
        <f t="shared" si="361"/>
        <v/>
      </c>
      <c r="M646" s="7">
        <f t="shared" si="362"/>
        <v>26.02</v>
      </c>
      <c r="N646" s="7" t="str">
        <f t="shared" si="363"/>
        <v/>
      </c>
      <c r="O646" s="7" t="str">
        <f t="shared" si="364"/>
        <v/>
      </c>
      <c r="P646" s="7" t="str">
        <f t="shared" si="365"/>
        <v/>
      </c>
    </row>
    <row r="647" spans="1:16">
      <c r="A647" t="s">
        <v>76</v>
      </c>
      <c r="B647" s="53"/>
      <c r="C647" s="53"/>
      <c r="D647" s="43"/>
      <c r="E647" s="43"/>
      <c r="F647" s="43"/>
      <c r="G647" s="44">
        <v>1</v>
      </c>
      <c r="H647" s="44">
        <f>ROUNDUP((D643)/0.2,0)</f>
        <v>31</v>
      </c>
      <c r="I647" s="44">
        <v>6</v>
      </c>
      <c r="J647" s="44">
        <f>2*(E643+F643)+20.5*I647/1000</f>
        <v>1.423</v>
      </c>
      <c r="K647" s="7">
        <f t="shared" si="360"/>
        <v>44.113</v>
      </c>
      <c r="L647" s="7" t="str">
        <f t="shared" si="361"/>
        <v/>
      </c>
      <c r="M647" s="7" t="str">
        <f t="shared" si="362"/>
        <v/>
      </c>
      <c r="N647" s="7" t="str">
        <f t="shared" si="363"/>
        <v/>
      </c>
      <c r="O647" s="7" t="str">
        <f t="shared" si="364"/>
        <v/>
      </c>
      <c r="P647" s="7" t="str">
        <f>IF(I647=16,G647*H647*J647,"")</f>
        <v/>
      </c>
    </row>
    <row r="648" spans="1:16">
      <c r="A648" t="s">
        <v>77</v>
      </c>
      <c r="B648" s="53"/>
      <c r="C648" s="53"/>
      <c r="D648" s="43"/>
      <c r="E648" s="43"/>
      <c r="F648" s="43"/>
      <c r="G648" s="44">
        <v>1</v>
      </c>
      <c r="H648" s="44">
        <f>ROUNDUP((D643)/0.2,0)*2</f>
        <v>62</v>
      </c>
      <c r="I648" s="44">
        <v>6</v>
      </c>
      <c r="J648" s="44">
        <f>F643+22*(I648/1000)</f>
        <v>0.58200000000000007</v>
      </c>
      <c r="K648" s="7">
        <f t="shared" si="360"/>
        <v>36.084000000000003</v>
      </c>
      <c r="L648" s="7" t="str">
        <f t="shared" si="361"/>
        <v/>
      </c>
      <c r="M648" s="7" t="str">
        <f t="shared" si="362"/>
        <v/>
      </c>
      <c r="N648" s="7" t="str">
        <f t="shared" si="363"/>
        <v/>
      </c>
      <c r="O648" s="7" t="str">
        <f t="shared" si="364"/>
        <v/>
      </c>
      <c r="P648" s="7" t="str">
        <f>IF(I648=16,G648*H648*J648,"")</f>
        <v/>
      </c>
    </row>
    <row r="649" spans="1:16">
      <c r="A649" s="50" t="s">
        <v>131</v>
      </c>
      <c r="B649" s="53" t="s">
        <v>4</v>
      </c>
      <c r="C649" s="23" t="s">
        <v>69</v>
      </c>
      <c r="D649" s="43"/>
      <c r="E649" s="43"/>
      <c r="F649" s="43"/>
      <c r="G649" s="44"/>
      <c r="H649" s="44"/>
      <c r="I649" s="44"/>
      <c r="J649" s="44"/>
    </row>
    <row r="650" spans="1:16">
      <c r="A650" t="s">
        <v>130</v>
      </c>
      <c r="B650" s="53"/>
      <c r="C650" s="53"/>
      <c r="D650" s="84">
        <v>2.38</v>
      </c>
      <c r="E650" s="84">
        <v>0.2</v>
      </c>
      <c r="F650" s="84">
        <v>0.3</v>
      </c>
      <c r="G650" s="44">
        <v>1</v>
      </c>
      <c r="H650" s="44">
        <v>6</v>
      </c>
      <c r="I650" s="44">
        <v>12</v>
      </c>
      <c r="J650" s="44">
        <f>D650+0.5</f>
        <v>2.88</v>
      </c>
      <c r="K650" s="7" t="str">
        <f t="shared" ref="K650:K652" si="366">IF(I650=6,G650*H650*J650,"")</f>
        <v/>
      </c>
      <c r="L650" s="7" t="str">
        <f t="shared" ref="L650:L652" si="367">IF(I650=8,G650*H650*J650,"")</f>
        <v/>
      </c>
      <c r="M650" s="7" t="str">
        <f t="shared" ref="M650:M652" si="368">IF(I650=10,G650*H650*J650,"")</f>
        <v/>
      </c>
      <c r="N650" s="7">
        <f t="shared" ref="N650:N652" si="369">IF(I650=12,G650*H650*J650,"")</f>
        <v>17.28</v>
      </c>
      <c r="O650" s="7" t="str">
        <f t="shared" ref="O650:O652" si="370">IF(I650=14,G650*H650*J650,"")</f>
        <v/>
      </c>
      <c r="P650" s="7" t="str">
        <f t="shared" ref="P650:P651" si="371">IF(I650=16,G650*H650*J650,"")</f>
        <v/>
      </c>
    </row>
    <row r="651" spans="1:16">
      <c r="A651" t="s">
        <v>129</v>
      </c>
      <c r="B651" s="53"/>
      <c r="C651" s="53"/>
      <c r="D651" s="43"/>
      <c r="E651" s="43"/>
      <c r="F651" s="43"/>
      <c r="G651" s="44">
        <v>1</v>
      </c>
      <c r="H651" s="44">
        <v>2</v>
      </c>
      <c r="I651" s="44">
        <v>10</v>
      </c>
      <c r="J651" s="44">
        <f>D650+0.5</f>
        <v>2.88</v>
      </c>
      <c r="K651" s="7" t="str">
        <f t="shared" si="366"/>
        <v/>
      </c>
      <c r="L651" s="7" t="str">
        <f t="shared" si="367"/>
        <v/>
      </c>
      <c r="M651" s="7">
        <f t="shared" si="368"/>
        <v>5.76</v>
      </c>
      <c r="N651" s="7" t="str">
        <f t="shared" si="369"/>
        <v/>
      </c>
      <c r="O651" s="7" t="str">
        <f t="shared" si="370"/>
        <v/>
      </c>
      <c r="P651" s="7" t="str">
        <f t="shared" si="371"/>
        <v/>
      </c>
    </row>
    <row r="652" spans="1:16">
      <c r="A652" t="s">
        <v>76</v>
      </c>
      <c r="B652" s="53"/>
      <c r="C652" s="53"/>
      <c r="D652" s="43"/>
      <c r="E652" s="43"/>
      <c r="F652" s="43"/>
      <c r="G652" s="44">
        <v>1</v>
      </c>
      <c r="H652" s="44">
        <f>ROUNDUP((D650)/0.2,0)</f>
        <v>12</v>
      </c>
      <c r="I652" s="44">
        <v>6</v>
      </c>
      <c r="J652" s="44">
        <f>2*(E650+F650)+20.5*I652/1000</f>
        <v>1.123</v>
      </c>
      <c r="K652" s="7">
        <f t="shared" si="366"/>
        <v>13.475999999999999</v>
      </c>
      <c r="L652" s="7" t="str">
        <f t="shared" si="367"/>
        <v/>
      </c>
      <c r="M652" s="7" t="str">
        <f t="shared" si="368"/>
        <v/>
      </c>
      <c r="N652" s="7" t="str">
        <f t="shared" si="369"/>
        <v/>
      </c>
      <c r="O652" s="7" t="str">
        <f t="shared" si="370"/>
        <v/>
      </c>
      <c r="P652" s="7" t="str">
        <f>IF(I652=16,G652*H652*J652,"")</f>
        <v/>
      </c>
    </row>
    <row r="653" spans="1:16">
      <c r="A653" s="50" t="s">
        <v>128</v>
      </c>
      <c r="B653" s="53" t="s">
        <v>4</v>
      </c>
      <c r="C653" s="23" t="s">
        <v>70</v>
      </c>
      <c r="D653" s="84">
        <v>4.78</v>
      </c>
      <c r="E653" s="84">
        <v>0.2</v>
      </c>
      <c r="F653" s="84">
        <v>0.35</v>
      </c>
      <c r="G653" s="44"/>
      <c r="H653" s="44"/>
      <c r="I653" s="44"/>
      <c r="J653" s="44"/>
    </row>
    <row r="654" spans="1:16">
      <c r="A654" t="s">
        <v>130</v>
      </c>
      <c r="B654" s="53"/>
      <c r="C654" s="53"/>
      <c r="D654" s="43"/>
      <c r="E654" s="43"/>
      <c r="F654" s="43"/>
      <c r="G654" s="44">
        <v>1</v>
      </c>
      <c r="H654" s="44">
        <v>6</v>
      </c>
      <c r="I654" s="44">
        <v>12</v>
      </c>
      <c r="J654" s="44">
        <f>D653+0.5</f>
        <v>5.28</v>
      </c>
      <c r="K654" s="7" t="str">
        <f t="shared" ref="K654:K656" si="372">IF(I654=6,G654*H654*J654,"")</f>
        <v/>
      </c>
      <c r="L654" s="7" t="str">
        <f t="shared" ref="L654:L656" si="373">IF(I654=8,G654*H654*J654,"")</f>
        <v/>
      </c>
      <c r="M654" s="7" t="str">
        <f t="shared" ref="M654:M656" si="374">IF(I654=10,G654*H654*J654,"")</f>
        <v/>
      </c>
      <c r="N654" s="7">
        <f t="shared" ref="N654:N656" si="375">IF(I654=12,G654*H654*J654,"")</f>
        <v>31.68</v>
      </c>
      <c r="O654" s="7" t="str">
        <f t="shared" ref="O654:O656" si="376">IF(I654=14,G654*H654*J654,"")</f>
        <v/>
      </c>
      <c r="P654" s="7" t="str">
        <f t="shared" ref="P654:P655" si="377">IF(I654=16,G654*H654*J654,"")</f>
        <v/>
      </c>
    </row>
    <row r="655" spans="1:16">
      <c r="A655" t="s">
        <v>129</v>
      </c>
      <c r="B655" s="53"/>
      <c r="C655" s="53"/>
      <c r="D655" s="43"/>
      <c r="E655" s="43"/>
      <c r="F655" s="43"/>
      <c r="G655" s="44">
        <v>1</v>
      </c>
      <c r="H655" s="44">
        <v>2</v>
      </c>
      <c r="I655" s="44">
        <v>10</v>
      </c>
      <c r="J655" s="44">
        <f>D653+0.5</f>
        <v>5.28</v>
      </c>
      <c r="K655" s="7" t="str">
        <f t="shared" si="372"/>
        <v/>
      </c>
      <c r="L655" s="7" t="str">
        <f t="shared" si="373"/>
        <v/>
      </c>
      <c r="M655" s="7">
        <f t="shared" si="374"/>
        <v>10.56</v>
      </c>
      <c r="N655" s="7" t="str">
        <f t="shared" si="375"/>
        <v/>
      </c>
      <c r="O655" s="7" t="str">
        <f t="shared" si="376"/>
        <v/>
      </c>
      <c r="P655" s="7" t="str">
        <f t="shared" si="377"/>
        <v/>
      </c>
    </row>
    <row r="656" spans="1:16">
      <c r="A656" t="s">
        <v>76</v>
      </c>
      <c r="B656" s="53"/>
      <c r="C656" s="53"/>
      <c r="D656" s="43"/>
      <c r="E656" s="43"/>
      <c r="F656" s="43"/>
      <c r="G656" s="44">
        <v>1</v>
      </c>
      <c r="H656" s="44">
        <f>ROUNDUP((D653)/0.2,0)</f>
        <v>24</v>
      </c>
      <c r="I656" s="44">
        <v>6</v>
      </c>
      <c r="J656" s="44">
        <f>2*(E653+F653)+20.5*I656/1000</f>
        <v>1.2230000000000001</v>
      </c>
      <c r="K656" s="7">
        <f t="shared" si="372"/>
        <v>29.352000000000004</v>
      </c>
      <c r="L656" s="7" t="str">
        <f t="shared" si="373"/>
        <v/>
      </c>
      <c r="M656" s="7" t="str">
        <f t="shared" si="374"/>
        <v/>
      </c>
      <c r="N656" s="7" t="str">
        <f t="shared" si="375"/>
        <v/>
      </c>
      <c r="O656" s="7" t="str">
        <f t="shared" si="376"/>
        <v/>
      </c>
      <c r="P656" s="7" t="str">
        <f>IF(I656=16,G656*H656*J656,"")</f>
        <v/>
      </c>
    </row>
    <row r="657" spans="1:16">
      <c r="A657" s="50" t="s">
        <v>131</v>
      </c>
      <c r="B657" s="53" t="s">
        <v>4</v>
      </c>
      <c r="C657" s="23" t="s">
        <v>110</v>
      </c>
      <c r="D657" s="43"/>
      <c r="E657" s="43"/>
      <c r="F657" s="43"/>
      <c r="G657" s="44"/>
      <c r="H657" s="44"/>
      <c r="I657" s="44"/>
      <c r="J657" s="44"/>
    </row>
    <row r="658" spans="1:16">
      <c r="A658" t="s">
        <v>130</v>
      </c>
      <c r="B658" s="53"/>
      <c r="C658" s="53"/>
      <c r="D658" s="84">
        <v>2.65</v>
      </c>
      <c r="E658" s="84">
        <v>0.2</v>
      </c>
      <c r="F658" s="84">
        <v>0.3</v>
      </c>
      <c r="G658" s="44">
        <v>1</v>
      </c>
      <c r="H658" s="44">
        <v>6</v>
      </c>
      <c r="I658" s="44">
        <v>12</v>
      </c>
      <c r="J658" s="44">
        <f>D658+0.5</f>
        <v>3.15</v>
      </c>
      <c r="K658" s="7" t="str">
        <f t="shared" ref="K658:K660" si="378">IF(I658=6,G658*H658*J658,"")</f>
        <v/>
      </c>
      <c r="L658" s="7" t="str">
        <f t="shared" ref="L658:L660" si="379">IF(I658=8,G658*H658*J658,"")</f>
        <v/>
      </c>
      <c r="M658" s="7" t="str">
        <f t="shared" ref="M658:M660" si="380">IF(I658=10,G658*H658*J658,"")</f>
        <v/>
      </c>
      <c r="N658" s="7">
        <f t="shared" ref="N658:N660" si="381">IF(I658=12,G658*H658*J658,"")</f>
        <v>18.899999999999999</v>
      </c>
      <c r="O658" s="7" t="str">
        <f t="shared" ref="O658:O660" si="382">IF(I658=14,G658*H658*J658,"")</f>
        <v/>
      </c>
      <c r="P658" s="7" t="str">
        <f t="shared" ref="P658:P659" si="383">IF(I658=16,G658*H658*J658,"")</f>
        <v/>
      </c>
    </row>
    <row r="659" spans="1:16">
      <c r="A659" t="s">
        <v>129</v>
      </c>
      <c r="B659" s="53"/>
      <c r="C659" s="53"/>
      <c r="D659" s="43"/>
      <c r="E659" s="43"/>
      <c r="F659" s="43"/>
      <c r="G659" s="44">
        <v>1</v>
      </c>
      <c r="H659" s="44">
        <v>2</v>
      </c>
      <c r="I659" s="44">
        <v>10</v>
      </c>
      <c r="J659" s="44">
        <f>D658+0.5</f>
        <v>3.15</v>
      </c>
      <c r="K659" s="7" t="str">
        <f t="shared" si="378"/>
        <v/>
      </c>
      <c r="L659" s="7" t="str">
        <f t="shared" si="379"/>
        <v/>
      </c>
      <c r="M659" s="7">
        <f t="shared" si="380"/>
        <v>6.3</v>
      </c>
      <c r="N659" s="7" t="str">
        <f t="shared" si="381"/>
        <v/>
      </c>
      <c r="O659" s="7" t="str">
        <f t="shared" si="382"/>
        <v/>
      </c>
      <c r="P659" s="7" t="str">
        <f t="shared" si="383"/>
        <v/>
      </c>
    </row>
    <row r="660" spans="1:16">
      <c r="A660" t="s">
        <v>76</v>
      </c>
      <c r="B660" s="53"/>
      <c r="C660" s="53"/>
      <c r="D660" s="43"/>
      <c r="E660" s="43"/>
      <c r="F660" s="43"/>
      <c r="G660" s="44">
        <v>1</v>
      </c>
      <c r="H660" s="44">
        <f>ROUNDUP((D658)/0.2,0)</f>
        <v>14</v>
      </c>
      <c r="I660" s="44">
        <v>6</v>
      </c>
      <c r="J660" s="44">
        <f>2*(E658+F658)+20.5*I660/1000</f>
        <v>1.123</v>
      </c>
      <c r="K660" s="7">
        <f t="shared" si="378"/>
        <v>15.722</v>
      </c>
      <c r="L660" s="7" t="str">
        <f t="shared" si="379"/>
        <v/>
      </c>
      <c r="M660" s="7" t="str">
        <f t="shared" si="380"/>
        <v/>
      </c>
      <c r="N660" s="7" t="str">
        <f t="shared" si="381"/>
        <v/>
      </c>
      <c r="O660" s="7" t="str">
        <f t="shared" si="382"/>
        <v/>
      </c>
      <c r="P660" s="7" t="str">
        <f>IF(I660=16,G660*H660*J660,"")</f>
        <v/>
      </c>
    </row>
    <row r="661" spans="1:16">
      <c r="A661" s="50" t="s">
        <v>128</v>
      </c>
      <c r="B661" s="53" t="s">
        <v>4</v>
      </c>
      <c r="C661" s="23" t="s">
        <v>111</v>
      </c>
      <c r="D661" s="84">
        <v>4.5999999999999996</v>
      </c>
      <c r="E661" s="84">
        <v>0.2</v>
      </c>
      <c r="F661" s="84">
        <v>0.35</v>
      </c>
      <c r="G661" s="44"/>
      <c r="H661" s="44"/>
      <c r="I661" s="44"/>
      <c r="J661" s="44"/>
    </row>
    <row r="662" spans="1:16">
      <c r="A662" t="s">
        <v>130</v>
      </c>
      <c r="B662" s="53"/>
      <c r="C662" s="53"/>
      <c r="D662" s="43"/>
      <c r="E662" s="43"/>
      <c r="F662" s="43"/>
      <c r="G662" s="44">
        <v>1</v>
      </c>
      <c r="H662" s="44">
        <v>6</v>
      </c>
      <c r="I662" s="44">
        <v>12</v>
      </c>
      <c r="J662" s="44">
        <f>D661+0.5</f>
        <v>5.0999999999999996</v>
      </c>
      <c r="K662" s="7" t="str">
        <f t="shared" ref="K662:K664" si="384">IF(I662=6,G662*H662*J662,"")</f>
        <v/>
      </c>
      <c r="L662" s="7" t="str">
        <f t="shared" ref="L662:L664" si="385">IF(I662=8,G662*H662*J662,"")</f>
        <v/>
      </c>
      <c r="M662" s="7" t="str">
        <f t="shared" ref="M662:M664" si="386">IF(I662=10,G662*H662*J662,"")</f>
        <v/>
      </c>
      <c r="N662" s="7">
        <f t="shared" ref="N662:N664" si="387">IF(I662=12,G662*H662*J662,"")</f>
        <v>30.599999999999998</v>
      </c>
      <c r="O662" s="7" t="str">
        <f t="shared" ref="O662:O664" si="388">IF(I662=14,G662*H662*J662,"")</f>
        <v/>
      </c>
      <c r="P662" s="7" t="str">
        <f t="shared" ref="P662:P663" si="389">IF(I662=16,G662*H662*J662,"")</f>
        <v/>
      </c>
    </row>
    <row r="663" spans="1:16">
      <c r="A663" t="s">
        <v>129</v>
      </c>
      <c r="B663" s="53"/>
      <c r="C663" s="53"/>
      <c r="D663" s="43"/>
      <c r="E663" s="43"/>
      <c r="F663" s="43"/>
      <c r="G663" s="44">
        <v>1</v>
      </c>
      <c r="H663" s="44">
        <v>2</v>
      </c>
      <c r="I663" s="44">
        <v>10</v>
      </c>
      <c r="J663" s="44">
        <f>D661+0.5</f>
        <v>5.0999999999999996</v>
      </c>
      <c r="K663" s="7" t="str">
        <f t="shared" si="384"/>
        <v/>
      </c>
      <c r="L663" s="7" t="str">
        <f t="shared" si="385"/>
        <v/>
      </c>
      <c r="M663" s="7">
        <f t="shared" si="386"/>
        <v>10.199999999999999</v>
      </c>
      <c r="N663" s="7" t="str">
        <f t="shared" si="387"/>
        <v/>
      </c>
      <c r="O663" s="7" t="str">
        <f t="shared" si="388"/>
        <v/>
      </c>
      <c r="P663" s="7" t="str">
        <f t="shared" si="389"/>
        <v/>
      </c>
    </row>
    <row r="664" spans="1:16">
      <c r="A664" t="s">
        <v>76</v>
      </c>
      <c r="B664" s="53"/>
      <c r="C664" s="53"/>
      <c r="D664" s="43"/>
      <c r="E664" s="43"/>
      <c r="F664" s="43"/>
      <c r="G664" s="44">
        <v>1</v>
      </c>
      <c r="H664" s="44">
        <f>ROUNDUP((D661)/0.2,0)</f>
        <v>23</v>
      </c>
      <c r="I664" s="44">
        <v>6</v>
      </c>
      <c r="J664" s="44">
        <f>2*(E661+F661)+20.5*I664/1000</f>
        <v>1.2230000000000001</v>
      </c>
      <c r="K664" s="7">
        <f t="shared" si="384"/>
        <v>28.129000000000001</v>
      </c>
      <c r="L664" s="7" t="str">
        <f t="shared" si="385"/>
        <v/>
      </c>
      <c r="M664" s="7" t="str">
        <f t="shared" si="386"/>
        <v/>
      </c>
      <c r="N664" s="7" t="str">
        <f t="shared" si="387"/>
        <v/>
      </c>
      <c r="O664" s="7" t="str">
        <f t="shared" si="388"/>
        <v/>
      </c>
      <c r="P664" s="7" t="str">
        <f>IF(I664=16,G664*H664*J664,"")</f>
        <v/>
      </c>
    </row>
    <row r="665" spans="1:16">
      <c r="A665" s="50" t="s">
        <v>128</v>
      </c>
      <c r="B665" s="53" t="s">
        <v>11</v>
      </c>
      <c r="C665" s="23" t="s">
        <v>70</v>
      </c>
      <c r="D665" s="84">
        <v>4.78</v>
      </c>
      <c r="E665" s="84">
        <v>0.2</v>
      </c>
      <c r="F665" s="84">
        <v>0.35</v>
      </c>
      <c r="G665" s="44"/>
      <c r="H665" s="44"/>
      <c r="I665" s="44"/>
      <c r="J665" s="44"/>
    </row>
    <row r="666" spans="1:16">
      <c r="A666" t="s">
        <v>130</v>
      </c>
      <c r="B666" s="53"/>
      <c r="C666" s="53"/>
      <c r="D666" s="43"/>
      <c r="E666" s="43"/>
      <c r="F666" s="43"/>
      <c r="G666" s="44">
        <v>1</v>
      </c>
      <c r="H666" s="44">
        <v>6</v>
      </c>
      <c r="I666" s="44">
        <v>12</v>
      </c>
      <c r="J666" s="44">
        <f>D665+0.5</f>
        <v>5.28</v>
      </c>
      <c r="K666" s="7" t="str">
        <f t="shared" ref="K666:K668" si="390">IF(I666=6,G666*H666*J666,"")</f>
        <v/>
      </c>
      <c r="L666" s="7" t="str">
        <f t="shared" ref="L666:L668" si="391">IF(I666=8,G666*H666*J666,"")</f>
        <v/>
      </c>
      <c r="M666" s="7" t="str">
        <f t="shared" ref="M666:M668" si="392">IF(I666=10,G666*H666*J666,"")</f>
        <v/>
      </c>
      <c r="N666" s="7">
        <f t="shared" ref="N666:N668" si="393">IF(I666=12,G666*H666*J666,"")</f>
        <v>31.68</v>
      </c>
      <c r="O666" s="7" t="str">
        <f t="shared" ref="O666:O668" si="394">IF(I666=14,G666*H666*J666,"")</f>
        <v/>
      </c>
      <c r="P666" s="7" t="str">
        <f t="shared" ref="P666:P667" si="395">IF(I666=16,G666*H666*J666,"")</f>
        <v/>
      </c>
    </row>
    <row r="667" spans="1:16">
      <c r="A667" t="s">
        <v>129</v>
      </c>
      <c r="B667" s="53"/>
      <c r="C667" s="53"/>
      <c r="D667" s="43"/>
      <c r="E667" s="43"/>
      <c r="F667" s="43"/>
      <c r="G667" s="44">
        <v>1</v>
      </c>
      <c r="H667" s="44">
        <v>2</v>
      </c>
      <c r="I667" s="44">
        <v>10</v>
      </c>
      <c r="J667" s="44">
        <f>D665+0.5</f>
        <v>5.28</v>
      </c>
      <c r="K667" s="7" t="str">
        <f t="shared" si="390"/>
        <v/>
      </c>
      <c r="L667" s="7" t="str">
        <f t="shared" si="391"/>
        <v/>
      </c>
      <c r="M667" s="7">
        <f t="shared" si="392"/>
        <v>10.56</v>
      </c>
      <c r="N667" s="7" t="str">
        <f t="shared" si="393"/>
        <v/>
      </c>
      <c r="O667" s="7" t="str">
        <f t="shared" si="394"/>
        <v/>
      </c>
      <c r="P667" s="7" t="str">
        <f t="shared" si="395"/>
        <v/>
      </c>
    </row>
    <row r="668" spans="1:16">
      <c r="A668" t="s">
        <v>76</v>
      </c>
      <c r="B668" s="53"/>
      <c r="C668" s="53"/>
      <c r="D668" s="43"/>
      <c r="E668" s="43"/>
      <c r="F668" s="43"/>
      <c r="G668" s="44">
        <v>1</v>
      </c>
      <c r="H668" s="44">
        <f>ROUNDUP((D665)/0.2,0)</f>
        <v>24</v>
      </c>
      <c r="I668" s="44">
        <v>6</v>
      </c>
      <c r="J668" s="44">
        <f>2*(E665+F665)+20.5*I668/1000</f>
        <v>1.2230000000000001</v>
      </c>
      <c r="K668" s="7">
        <f t="shared" si="390"/>
        <v>29.352000000000004</v>
      </c>
      <c r="L668" s="7" t="str">
        <f t="shared" si="391"/>
        <v/>
      </c>
      <c r="M668" s="7" t="str">
        <f t="shared" si="392"/>
        <v/>
      </c>
      <c r="N668" s="7" t="str">
        <f t="shared" si="393"/>
        <v/>
      </c>
      <c r="O668" s="7" t="str">
        <f t="shared" si="394"/>
        <v/>
      </c>
      <c r="P668" s="7" t="str">
        <f>IF(I668=16,G668*H668*J668,"")</f>
        <v/>
      </c>
    </row>
    <row r="669" spans="1:16">
      <c r="A669" s="50" t="s">
        <v>131</v>
      </c>
      <c r="B669" s="53" t="s">
        <v>11</v>
      </c>
      <c r="C669" s="23" t="s">
        <v>110</v>
      </c>
      <c r="D669" s="43"/>
      <c r="E669" s="43"/>
      <c r="F669" s="43"/>
      <c r="G669" s="44"/>
      <c r="H669" s="44"/>
      <c r="I669" s="44"/>
      <c r="J669" s="44"/>
    </row>
    <row r="670" spans="1:16">
      <c r="A670" t="s">
        <v>130</v>
      </c>
      <c r="B670" s="53"/>
      <c r="C670" s="53"/>
      <c r="D670" s="84">
        <v>2.65</v>
      </c>
      <c r="E670" s="84">
        <v>0.2</v>
      </c>
      <c r="F670" s="84">
        <v>0.3</v>
      </c>
      <c r="G670" s="44">
        <v>1</v>
      </c>
      <c r="H670" s="44">
        <v>6</v>
      </c>
      <c r="I670" s="44">
        <v>12</v>
      </c>
      <c r="J670" s="44">
        <f>D670+0.5</f>
        <v>3.15</v>
      </c>
      <c r="K670" s="7" t="str">
        <f t="shared" ref="K670:K672" si="396">IF(I670=6,G670*H670*J670,"")</f>
        <v/>
      </c>
      <c r="L670" s="7" t="str">
        <f t="shared" ref="L670:L672" si="397">IF(I670=8,G670*H670*J670,"")</f>
        <v/>
      </c>
      <c r="M670" s="7" t="str">
        <f t="shared" ref="M670:M672" si="398">IF(I670=10,G670*H670*J670,"")</f>
        <v/>
      </c>
      <c r="N670" s="7">
        <f t="shared" ref="N670:N672" si="399">IF(I670=12,G670*H670*J670,"")</f>
        <v>18.899999999999999</v>
      </c>
      <c r="O670" s="7" t="str">
        <f t="shared" ref="O670:O672" si="400">IF(I670=14,G670*H670*J670,"")</f>
        <v/>
      </c>
      <c r="P670" s="7" t="str">
        <f t="shared" ref="P670:P671" si="401">IF(I670=16,G670*H670*J670,"")</f>
        <v/>
      </c>
    </row>
    <row r="671" spans="1:16">
      <c r="A671" t="s">
        <v>129</v>
      </c>
      <c r="B671" s="53"/>
      <c r="C671" s="53"/>
      <c r="D671" s="43"/>
      <c r="E671" s="43"/>
      <c r="F671" s="43"/>
      <c r="G671" s="44">
        <v>1</v>
      </c>
      <c r="H671" s="44">
        <v>2</v>
      </c>
      <c r="I671" s="44">
        <v>10</v>
      </c>
      <c r="J671" s="44">
        <f>D670+0.5</f>
        <v>3.15</v>
      </c>
      <c r="K671" s="7" t="str">
        <f t="shared" si="396"/>
        <v/>
      </c>
      <c r="L671" s="7" t="str">
        <f t="shared" si="397"/>
        <v/>
      </c>
      <c r="M671" s="7">
        <f t="shared" si="398"/>
        <v>6.3</v>
      </c>
      <c r="N671" s="7" t="str">
        <f t="shared" si="399"/>
        <v/>
      </c>
      <c r="O671" s="7" t="str">
        <f t="shared" si="400"/>
        <v/>
      </c>
      <c r="P671" s="7" t="str">
        <f t="shared" si="401"/>
        <v/>
      </c>
    </row>
    <row r="672" spans="1:16">
      <c r="A672" t="s">
        <v>76</v>
      </c>
      <c r="B672" s="53"/>
      <c r="C672" s="53"/>
      <c r="D672" s="43"/>
      <c r="E672" s="43"/>
      <c r="F672" s="43"/>
      <c r="G672" s="44">
        <v>1</v>
      </c>
      <c r="H672" s="44">
        <f>ROUNDUP((D670)/0.2,0)</f>
        <v>14</v>
      </c>
      <c r="I672" s="44">
        <v>6</v>
      </c>
      <c r="J672" s="44">
        <f>2*(E670+F670)+20.5*I672/1000</f>
        <v>1.123</v>
      </c>
      <c r="K672" s="7">
        <f t="shared" si="396"/>
        <v>15.722</v>
      </c>
      <c r="L672" s="7" t="str">
        <f t="shared" si="397"/>
        <v/>
      </c>
      <c r="M672" s="7" t="str">
        <f t="shared" si="398"/>
        <v/>
      </c>
      <c r="N672" s="7" t="str">
        <f t="shared" si="399"/>
        <v/>
      </c>
      <c r="O672" s="7" t="str">
        <f t="shared" si="400"/>
        <v/>
      </c>
      <c r="P672" s="7" t="str">
        <f>IF(I672=16,G672*H672*J672,"")</f>
        <v/>
      </c>
    </row>
    <row r="673" spans="1:16">
      <c r="A673" s="50" t="s">
        <v>128</v>
      </c>
      <c r="B673" s="53" t="s">
        <v>11</v>
      </c>
      <c r="C673" s="23" t="s">
        <v>111</v>
      </c>
      <c r="D673" s="84">
        <v>4.5999999999999996</v>
      </c>
      <c r="E673" s="84">
        <v>0.2</v>
      </c>
      <c r="F673" s="84">
        <v>0.35</v>
      </c>
      <c r="G673" s="44"/>
      <c r="H673" s="44"/>
      <c r="I673" s="44"/>
      <c r="J673" s="44"/>
    </row>
    <row r="674" spans="1:16">
      <c r="A674" t="s">
        <v>130</v>
      </c>
      <c r="B674" s="53"/>
      <c r="C674" s="53"/>
      <c r="D674" s="43"/>
      <c r="E674" s="43"/>
      <c r="F674" s="43"/>
      <c r="G674" s="44">
        <v>1</v>
      </c>
      <c r="H674" s="44">
        <v>6</v>
      </c>
      <c r="I674" s="44">
        <v>12</v>
      </c>
      <c r="J674" s="44">
        <f>D673+0.5</f>
        <v>5.0999999999999996</v>
      </c>
      <c r="K674" s="7" t="str">
        <f t="shared" ref="K674:K676" si="402">IF(I674=6,G674*H674*J674,"")</f>
        <v/>
      </c>
      <c r="L674" s="7" t="str">
        <f t="shared" ref="L674:L676" si="403">IF(I674=8,G674*H674*J674,"")</f>
        <v/>
      </c>
      <c r="M674" s="7" t="str">
        <f t="shared" ref="M674:M676" si="404">IF(I674=10,G674*H674*J674,"")</f>
        <v/>
      </c>
      <c r="N674" s="7">
        <f t="shared" ref="N674:N676" si="405">IF(I674=12,G674*H674*J674,"")</f>
        <v>30.599999999999998</v>
      </c>
      <c r="O674" s="7" t="str">
        <f t="shared" ref="O674:O676" si="406">IF(I674=14,G674*H674*J674,"")</f>
        <v/>
      </c>
      <c r="P674" s="7" t="str">
        <f t="shared" ref="P674:P675" si="407">IF(I674=16,G674*H674*J674,"")</f>
        <v/>
      </c>
    </row>
    <row r="675" spans="1:16">
      <c r="A675" t="s">
        <v>129</v>
      </c>
      <c r="B675" s="53"/>
      <c r="C675" s="53"/>
      <c r="D675" s="43"/>
      <c r="E675" s="43"/>
      <c r="F675" s="43"/>
      <c r="G675" s="44">
        <v>1</v>
      </c>
      <c r="H675" s="44">
        <v>2</v>
      </c>
      <c r="I675" s="44">
        <v>10</v>
      </c>
      <c r="J675" s="44">
        <f>D673+0.5</f>
        <v>5.0999999999999996</v>
      </c>
      <c r="K675" s="7" t="str">
        <f t="shared" si="402"/>
        <v/>
      </c>
      <c r="L675" s="7" t="str">
        <f t="shared" si="403"/>
        <v/>
      </c>
      <c r="M675" s="7">
        <f t="shared" si="404"/>
        <v>10.199999999999999</v>
      </c>
      <c r="N675" s="7" t="str">
        <f t="shared" si="405"/>
        <v/>
      </c>
      <c r="O675" s="7" t="str">
        <f t="shared" si="406"/>
        <v/>
      </c>
      <c r="P675" s="7" t="str">
        <f t="shared" si="407"/>
        <v/>
      </c>
    </row>
    <row r="676" spans="1:16">
      <c r="A676" t="s">
        <v>76</v>
      </c>
      <c r="B676" s="53"/>
      <c r="C676" s="53"/>
      <c r="D676" s="43"/>
      <c r="E676" s="43"/>
      <c r="F676" s="43"/>
      <c r="G676" s="44">
        <v>1</v>
      </c>
      <c r="H676" s="44">
        <f>ROUNDUP((D673)/0.2,0)</f>
        <v>23</v>
      </c>
      <c r="I676" s="44">
        <v>6</v>
      </c>
      <c r="J676" s="44">
        <f>2*(E673+F673)+20.5*I676/1000</f>
        <v>1.2230000000000001</v>
      </c>
      <c r="K676" s="7">
        <f t="shared" si="402"/>
        <v>28.129000000000001</v>
      </c>
      <c r="L676" s="7" t="str">
        <f t="shared" si="403"/>
        <v/>
      </c>
      <c r="M676" s="7" t="str">
        <f t="shared" si="404"/>
        <v/>
      </c>
      <c r="N676" s="7" t="str">
        <f t="shared" si="405"/>
        <v/>
      </c>
      <c r="O676" s="7" t="str">
        <f t="shared" si="406"/>
        <v/>
      </c>
      <c r="P676" s="7" t="str">
        <f>IF(I676=16,G676*H676*J676,"")</f>
        <v/>
      </c>
    </row>
    <row r="677" spans="1:16">
      <c r="A677" s="50" t="s">
        <v>132</v>
      </c>
      <c r="B677" s="50" t="s">
        <v>133</v>
      </c>
      <c r="C677" s="51" t="s">
        <v>83</v>
      </c>
      <c r="D677">
        <v>3.82</v>
      </c>
      <c r="E677">
        <v>0.2</v>
      </c>
      <c r="F677">
        <v>0.45</v>
      </c>
    </row>
    <row r="678" spans="1:16">
      <c r="A678" t="s">
        <v>130</v>
      </c>
      <c r="B678" s="53"/>
      <c r="C678" s="53"/>
      <c r="D678" s="43"/>
      <c r="E678" s="43"/>
      <c r="F678" s="43"/>
      <c r="G678" s="44">
        <v>1</v>
      </c>
      <c r="H678" s="44">
        <v>6</v>
      </c>
      <c r="I678" s="44">
        <v>14</v>
      </c>
      <c r="J678" s="44">
        <f>D677+0.5</f>
        <v>4.32</v>
      </c>
      <c r="K678" s="7" t="str">
        <f t="shared" ref="K678:K682" si="408">IF(I678=6,G678*H678*J678,"")</f>
        <v/>
      </c>
      <c r="L678" s="7" t="str">
        <f t="shared" ref="L678:L682" si="409">IF(I678=8,G678*H678*J678,"")</f>
        <v/>
      </c>
      <c r="M678" s="7" t="str">
        <f t="shared" ref="M678:M682" si="410">IF(I678=10,G678*H678*J678,"")</f>
        <v/>
      </c>
      <c r="N678" s="7" t="str">
        <f t="shared" ref="N678:N682" si="411">IF(I678=12,G678*H678*J678,"")</f>
        <v/>
      </c>
      <c r="O678" s="7">
        <f t="shared" ref="O678:O682" si="412">IF(I678=14,G678*H678*J678,"")</f>
        <v>25.92</v>
      </c>
      <c r="P678" s="7" t="str">
        <f t="shared" ref="P678:P680" si="413">IF(I678=16,G678*H678*J678,"")</f>
        <v/>
      </c>
    </row>
    <row r="679" spans="1:16">
      <c r="A679" t="s">
        <v>134</v>
      </c>
      <c r="B679" s="53"/>
      <c r="C679" s="53"/>
      <c r="D679" s="43"/>
      <c r="E679" s="43"/>
      <c r="F679" s="43"/>
      <c r="G679" s="44">
        <v>1</v>
      </c>
      <c r="H679" s="44">
        <v>4</v>
      </c>
      <c r="I679" s="44">
        <v>12</v>
      </c>
      <c r="J679" s="44">
        <f>D677+0.5</f>
        <v>4.32</v>
      </c>
      <c r="K679" s="7" t="str">
        <f t="shared" si="408"/>
        <v/>
      </c>
      <c r="L679" s="7" t="str">
        <f t="shared" si="409"/>
        <v/>
      </c>
      <c r="M679" s="7" t="str">
        <f t="shared" si="410"/>
        <v/>
      </c>
      <c r="N679" s="7">
        <f t="shared" si="411"/>
        <v>17.28</v>
      </c>
      <c r="O679" s="7" t="str">
        <f t="shared" si="412"/>
        <v/>
      </c>
      <c r="P679" s="7" t="str">
        <f t="shared" si="413"/>
        <v/>
      </c>
    </row>
    <row r="680" spans="1:16">
      <c r="A680" t="s">
        <v>129</v>
      </c>
      <c r="B680" s="53"/>
      <c r="C680" s="53"/>
      <c r="D680" s="43"/>
      <c r="E680" s="43"/>
      <c r="F680" s="43"/>
      <c r="G680" s="44">
        <v>1</v>
      </c>
      <c r="H680" s="44">
        <v>4</v>
      </c>
      <c r="I680" s="44">
        <v>10</v>
      </c>
      <c r="J680" s="44">
        <f>D677+0.5</f>
        <v>4.32</v>
      </c>
      <c r="K680" s="7" t="str">
        <f t="shared" si="408"/>
        <v/>
      </c>
      <c r="L680" s="7" t="str">
        <f t="shared" si="409"/>
        <v/>
      </c>
      <c r="M680" s="7">
        <f t="shared" si="410"/>
        <v>17.28</v>
      </c>
      <c r="N680" s="7" t="str">
        <f t="shared" si="411"/>
        <v/>
      </c>
      <c r="O680" s="7" t="str">
        <f t="shared" si="412"/>
        <v/>
      </c>
      <c r="P680" s="7" t="str">
        <f t="shared" si="413"/>
        <v/>
      </c>
    </row>
    <row r="681" spans="1:16">
      <c r="A681" t="s">
        <v>76</v>
      </c>
      <c r="B681" s="53"/>
      <c r="C681" s="53"/>
      <c r="D681" s="43"/>
      <c r="E681" s="43"/>
      <c r="F681" s="43"/>
      <c r="G681" s="44">
        <v>1</v>
      </c>
      <c r="H681" s="44">
        <f>ROUNDUP((D677)/0.2,0)</f>
        <v>20</v>
      </c>
      <c r="I681" s="44">
        <v>6</v>
      </c>
      <c r="J681" s="44">
        <f>2*(E677+F677)+20.5*I681/1000</f>
        <v>1.423</v>
      </c>
      <c r="K681" s="7">
        <f t="shared" si="408"/>
        <v>28.46</v>
      </c>
      <c r="L681" s="7" t="str">
        <f t="shared" si="409"/>
        <v/>
      </c>
      <c r="M681" s="7" t="str">
        <f t="shared" si="410"/>
        <v/>
      </c>
      <c r="N681" s="7" t="str">
        <f t="shared" si="411"/>
        <v/>
      </c>
      <c r="O681" s="7" t="str">
        <f t="shared" si="412"/>
        <v/>
      </c>
      <c r="P681" s="7" t="str">
        <f>IF(I681=16,G681*H681*J681,"")</f>
        <v/>
      </c>
    </row>
    <row r="682" spans="1:16">
      <c r="A682" t="s">
        <v>77</v>
      </c>
      <c r="B682" s="53"/>
      <c r="C682" s="53"/>
      <c r="D682" s="43"/>
      <c r="E682" s="43"/>
      <c r="F682" s="43"/>
      <c r="G682" s="44">
        <v>1</v>
      </c>
      <c r="H682" s="44">
        <f>ROUNDUP((D677)/0.2,0)*2</f>
        <v>40</v>
      </c>
      <c r="I682" s="44">
        <v>6</v>
      </c>
      <c r="J682" s="44">
        <f>F677+22*(I682/1000)</f>
        <v>0.58200000000000007</v>
      </c>
      <c r="K682" s="7">
        <f t="shared" si="408"/>
        <v>23.28</v>
      </c>
      <c r="L682" s="7" t="str">
        <f t="shared" si="409"/>
        <v/>
      </c>
      <c r="M682" s="7" t="str">
        <f t="shared" si="410"/>
        <v/>
      </c>
      <c r="N682" s="7" t="str">
        <f t="shared" si="411"/>
        <v/>
      </c>
      <c r="O682" s="7" t="str">
        <f t="shared" si="412"/>
        <v/>
      </c>
      <c r="P682" s="7" t="str">
        <f>IF(I682=16,G682*H682*J682,"")</f>
        <v/>
      </c>
    </row>
    <row r="683" spans="1:16">
      <c r="A683" s="50" t="s">
        <v>135</v>
      </c>
      <c r="B683" s="50" t="s">
        <v>136</v>
      </c>
      <c r="C683" s="51" t="s">
        <v>83</v>
      </c>
      <c r="D683">
        <f>0.4+0.82+1.08+0.15</f>
        <v>2.4499999999999997</v>
      </c>
      <c r="E683">
        <v>0.2</v>
      </c>
      <c r="F683">
        <v>0.4</v>
      </c>
    </row>
    <row r="684" spans="1:16">
      <c r="A684" t="s">
        <v>130</v>
      </c>
      <c r="B684" s="53"/>
      <c r="C684" s="53"/>
      <c r="D684" s="43"/>
      <c r="E684" s="43"/>
      <c r="F684" s="43"/>
      <c r="G684" s="44">
        <v>1</v>
      </c>
      <c r="H684" s="44">
        <v>6</v>
      </c>
      <c r="I684" s="44">
        <v>14</v>
      </c>
      <c r="J684" s="44">
        <f>D683+0.5</f>
        <v>2.9499999999999997</v>
      </c>
      <c r="K684" s="7" t="str">
        <f t="shared" ref="K684:K688" si="414">IF(I684=6,G684*H684*J684,"")</f>
        <v/>
      </c>
      <c r="L684" s="7" t="str">
        <f t="shared" ref="L684:L688" si="415">IF(I684=8,G684*H684*J684,"")</f>
        <v/>
      </c>
      <c r="M684" s="7" t="str">
        <f t="shared" ref="M684:M688" si="416">IF(I684=10,G684*H684*J684,"")</f>
        <v/>
      </c>
      <c r="N684" s="7" t="str">
        <f t="shared" ref="N684:N688" si="417">IF(I684=12,G684*H684*J684,"")</f>
        <v/>
      </c>
      <c r="O684" s="7">
        <f t="shared" ref="O684:O688" si="418">IF(I684=14,G684*H684*J684,"")</f>
        <v>17.7</v>
      </c>
      <c r="P684" s="7" t="str">
        <f t="shared" ref="P684:P686" si="419">IF(I684=16,G684*H684*J684,"")</f>
        <v/>
      </c>
    </row>
    <row r="685" spans="1:16">
      <c r="A685" t="s">
        <v>134</v>
      </c>
      <c r="B685" s="53"/>
      <c r="C685" s="53"/>
      <c r="D685" s="43"/>
      <c r="E685" s="43"/>
      <c r="F685" s="43"/>
      <c r="G685" s="44">
        <v>1</v>
      </c>
      <c r="H685" s="44">
        <v>4</v>
      </c>
      <c r="I685" s="44">
        <v>12</v>
      </c>
      <c r="J685" s="44">
        <f>D683+0.5</f>
        <v>2.9499999999999997</v>
      </c>
      <c r="K685" s="7" t="str">
        <f t="shared" si="414"/>
        <v/>
      </c>
      <c r="L685" s="7" t="str">
        <f t="shared" si="415"/>
        <v/>
      </c>
      <c r="M685" s="7" t="str">
        <f t="shared" si="416"/>
        <v/>
      </c>
      <c r="N685" s="7">
        <f t="shared" si="417"/>
        <v>11.799999999999999</v>
      </c>
      <c r="O685" s="7" t="str">
        <f t="shared" si="418"/>
        <v/>
      </c>
      <c r="P685" s="7" t="str">
        <f t="shared" si="419"/>
        <v/>
      </c>
    </row>
    <row r="686" spans="1:16">
      <c r="A686" t="s">
        <v>129</v>
      </c>
      <c r="B686" s="53"/>
      <c r="C686" s="53"/>
      <c r="D686" s="43"/>
      <c r="E686" s="43"/>
      <c r="F686" s="43"/>
      <c r="G686" s="44">
        <v>1</v>
      </c>
      <c r="H686" s="44">
        <v>4</v>
      </c>
      <c r="I686" s="44">
        <v>10</v>
      </c>
      <c r="J686" s="44">
        <f>D683+0.5</f>
        <v>2.9499999999999997</v>
      </c>
      <c r="K686" s="7" t="str">
        <f t="shared" si="414"/>
        <v/>
      </c>
      <c r="L686" s="7" t="str">
        <f t="shared" si="415"/>
        <v/>
      </c>
      <c r="M686" s="7">
        <f t="shared" si="416"/>
        <v>11.799999999999999</v>
      </c>
      <c r="N686" s="7" t="str">
        <f t="shared" si="417"/>
        <v/>
      </c>
      <c r="O686" s="7" t="str">
        <f t="shared" si="418"/>
        <v/>
      </c>
      <c r="P686" s="7" t="str">
        <f t="shared" si="419"/>
        <v/>
      </c>
    </row>
    <row r="687" spans="1:16">
      <c r="A687" t="s">
        <v>76</v>
      </c>
      <c r="B687" s="53"/>
      <c r="C687" s="53"/>
      <c r="D687" s="43"/>
      <c r="E687" s="43"/>
      <c r="F687" s="43"/>
      <c r="G687" s="44">
        <v>1</v>
      </c>
      <c r="H687" s="44">
        <f>ROUNDUP((D683)/0.2,0)</f>
        <v>13</v>
      </c>
      <c r="I687" s="44">
        <v>6</v>
      </c>
      <c r="J687" s="44">
        <f>2*(E683+F683)+20.5*I687/1000</f>
        <v>1.3230000000000002</v>
      </c>
      <c r="K687" s="7">
        <f t="shared" si="414"/>
        <v>17.199000000000002</v>
      </c>
      <c r="L687" s="7" t="str">
        <f t="shared" si="415"/>
        <v/>
      </c>
      <c r="M687" s="7" t="str">
        <f t="shared" si="416"/>
        <v/>
      </c>
      <c r="N687" s="7" t="str">
        <f t="shared" si="417"/>
        <v/>
      </c>
      <c r="O687" s="7" t="str">
        <f t="shared" si="418"/>
        <v/>
      </c>
      <c r="P687" s="7" t="str">
        <f>IF(I687=16,G687*H687*J687,"")</f>
        <v/>
      </c>
    </row>
    <row r="688" spans="1:16">
      <c r="A688" t="s">
        <v>77</v>
      </c>
      <c r="B688" s="53"/>
      <c r="C688" s="53"/>
      <c r="D688" s="43"/>
      <c r="E688" s="43"/>
      <c r="F688" s="43"/>
      <c r="G688" s="44">
        <v>1</v>
      </c>
      <c r="H688" s="44">
        <f>ROUNDUP((D683)/0.2,0)</f>
        <v>13</v>
      </c>
      <c r="I688" s="44">
        <v>6</v>
      </c>
      <c r="J688" s="44">
        <f>F683+22*(I688/1000)</f>
        <v>0.53200000000000003</v>
      </c>
      <c r="K688" s="7">
        <f t="shared" si="414"/>
        <v>6.9160000000000004</v>
      </c>
      <c r="L688" s="7" t="str">
        <f t="shared" si="415"/>
        <v/>
      </c>
      <c r="M688" s="7" t="str">
        <f t="shared" si="416"/>
        <v/>
      </c>
      <c r="N688" s="7" t="str">
        <f t="shared" si="417"/>
        <v/>
      </c>
      <c r="O688" s="7" t="str">
        <f t="shared" si="418"/>
        <v/>
      </c>
      <c r="P688" s="7" t="str">
        <f>IF(I688=16,G688*H688*J688,"")</f>
        <v/>
      </c>
    </row>
    <row r="689" spans="1:16">
      <c r="A689" s="50" t="s">
        <v>132</v>
      </c>
      <c r="B689" s="50" t="s">
        <v>145</v>
      </c>
      <c r="C689" s="51" t="s">
        <v>83</v>
      </c>
      <c r="D689">
        <v>3.82</v>
      </c>
      <c r="E689">
        <v>0.2</v>
      </c>
      <c r="F689">
        <v>0.45</v>
      </c>
    </row>
    <row r="690" spans="1:16">
      <c r="A690" t="s">
        <v>130</v>
      </c>
      <c r="B690" s="53"/>
      <c r="C690" s="53"/>
      <c r="D690" s="43"/>
      <c r="E690" s="43"/>
      <c r="F690" s="43"/>
      <c r="G690" s="44">
        <v>1</v>
      </c>
      <c r="H690" s="44">
        <v>6</v>
      </c>
      <c r="I690" s="44">
        <v>14</v>
      </c>
      <c r="J690" s="44">
        <f>D689+0.5</f>
        <v>4.32</v>
      </c>
      <c r="K690" s="7" t="str">
        <f t="shared" ref="K690:K694" si="420">IF(I690=6,G690*H690*J690,"")</f>
        <v/>
      </c>
      <c r="L690" s="7" t="str">
        <f t="shared" ref="L690:L694" si="421">IF(I690=8,G690*H690*J690,"")</f>
        <v/>
      </c>
      <c r="M690" s="7" t="str">
        <f t="shared" ref="M690:M694" si="422">IF(I690=10,G690*H690*J690,"")</f>
        <v/>
      </c>
      <c r="N690" s="7" t="str">
        <f t="shared" ref="N690:N694" si="423">IF(I690=12,G690*H690*J690,"")</f>
        <v/>
      </c>
      <c r="O690" s="7">
        <f t="shared" ref="O690:O694" si="424">IF(I690=14,G690*H690*J690,"")</f>
        <v>25.92</v>
      </c>
      <c r="P690" s="7" t="str">
        <f t="shared" ref="P690:P692" si="425">IF(I690=16,G690*H690*J690,"")</f>
        <v/>
      </c>
    </row>
    <row r="691" spans="1:16">
      <c r="A691" t="s">
        <v>134</v>
      </c>
      <c r="B691" s="53"/>
      <c r="C691" s="53"/>
      <c r="D691" s="43"/>
      <c r="E691" s="43"/>
      <c r="F691" s="43"/>
      <c r="G691" s="44">
        <v>1</v>
      </c>
      <c r="H691" s="44">
        <v>4</v>
      </c>
      <c r="I691" s="44">
        <v>12</v>
      </c>
      <c r="J691" s="44">
        <f>D689+0.5</f>
        <v>4.32</v>
      </c>
      <c r="K691" s="7" t="str">
        <f t="shared" si="420"/>
        <v/>
      </c>
      <c r="L691" s="7" t="str">
        <f t="shared" si="421"/>
        <v/>
      </c>
      <c r="M691" s="7" t="str">
        <f t="shared" si="422"/>
        <v/>
      </c>
      <c r="N691" s="7">
        <f t="shared" si="423"/>
        <v>17.28</v>
      </c>
      <c r="O691" s="7" t="str">
        <f t="shared" si="424"/>
        <v/>
      </c>
      <c r="P691" s="7" t="str">
        <f t="shared" si="425"/>
        <v/>
      </c>
    </row>
    <row r="692" spans="1:16">
      <c r="A692" t="s">
        <v>129</v>
      </c>
      <c r="B692" s="53"/>
      <c r="C692" s="53"/>
      <c r="D692" s="43"/>
      <c r="E692" s="43"/>
      <c r="F692" s="43"/>
      <c r="G692" s="44">
        <v>1</v>
      </c>
      <c r="H692" s="44">
        <v>4</v>
      </c>
      <c r="I692" s="44">
        <v>10</v>
      </c>
      <c r="J692" s="44">
        <f>D689+0.5</f>
        <v>4.32</v>
      </c>
      <c r="K692" s="7" t="str">
        <f t="shared" si="420"/>
        <v/>
      </c>
      <c r="L692" s="7" t="str">
        <f t="shared" si="421"/>
        <v/>
      </c>
      <c r="M692" s="7">
        <f t="shared" si="422"/>
        <v>17.28</v>
      </c>
      <c r="N692" s="7" t="str">
        <f t="shared" si="423"/>
        <v/>
      </c>
      <c r="O692" s="7" t="str">
        <f t="shared" si="424"/>
        <v/>
      </c>
      <c r="P692" s="7" t="str">
        <f t="shared" si="425"/>
        <v/>
      </c>
    </row>
    <row r="693" spans="1:16">
      <c r="A693" t="s">
        <v>76</v>
      </c>
      <c r="B693" s="53"/>
      <c r="C693" s="53"/>
      <c r="D693" s="43"/>
      <c r="E693" s="43"/>
      <c r="F693" s="43"/>
      <c r="G693" s="44">
        <v>1</v>
      </c>
      <c r="H693" s="44">
        <f>ROUNDUP((D689)/0.2,0)</f>
        <v>20</v>
      </c>
      <c r="I693" s="44">
        <v>6</v>
      </c>
      <c r="J693" s="44">
        <f>2*(E689+F689)+20.5*I693/1000</f>
        <v>1.423</v>
      </c>
      <c r="K693" s="7">
        <f t="shared" si="420"/>
        <v>28.46</v>
      </c>
      <c r="L693" s="7" t="str">
        <f t="shared" si="421"/>
        <v/>
      </c>
      <c r="M693" s="7" t="str">
        <f t="shared" si="422"/>
        <v/>
      </c>
      <c r="N693" s="7" t="str">
        <f t="shared" si="423"/>
        <v/>
      </c>
      <c r="O693" s="7" t="str">
        <f t="shared" si="424"/>
        <v/>
      </c>
      <c r="P693" s="7" t="str">
        <f>IF(I693=16,G693*H693*J693,"")</f>
        <v/>
      </c>
    </row>
    <row r="694" spans="1:16">
      <c r="A694" t="s">
        <v>77</v>
      </c>
      <c r="B694" s="53"/>
      <c r="C694" s="53"/>
      <c r="D694" s="43"/>
      <c r="E694" s="43"/>
      <c r="F694" s="43"/>
      <c r="G694" s="44">
        <v>1</v>
      </c>
      <c r="H694" s="44">
        <f>ROUNDUP((D689)/0.2,0)*2</f>
        <v>40</v>
      </c>
      <c r="I694" s="44">
        <v>6</v>
      </c>
      <c r="J694" s="44">
        <f>F689+22*(I694/1000)</f>
        <v>0.58200000000000007</v>
      </c>
      <c r="K694" s="7">
        <f t="shared" si="420"/>
        <v>23.28</v>
      </c>
      <c r="L694" s="7" t="str">
        <f t="shared" si="421"/>
        <v/>
      </c>
      <c r="M694" s="7" t="str">
        <f t="shared" si="422"/>
        <v/>
      </c>
      <c r="N694" s="7" t="str">
        <f t="shared" si="423"/>
        <v/>
      </c>
      <c r="O694" s="7" t="str">
        <f t="shared" si="424"/>
        <v/>
      </c>
      <c r="P694" s="7" t="str">
        <f>IF(I694=16,G694*H694*J694,"")</f>
        <v/>
      </c>
    </row>
    <row r="695" spans="1:16">
      <c r="A695" s="50" t="s">
        <v>132</v>
      </c>
      <c r="B695" s="50" t="s">
        <v>133</v>
      </c>
      <c r="C695" s="51" t="s">
        <v>87</v>
      </c>
      <c r="D695">
        <v>3.82</v>
      </c>
      <c r="E695">
        <v>0.2</v>
      </c>
      <c r="F695">
        <v>0.45</v>
      </c>
    </row>
    <row r="696" spans="1:16">
      <c r="A696" t="s">
        <v>130</v>
      </c>
      <c r="B696" s="53"/>
      <c r="C696" s="53"/>
      <c r="D696" s="43"/>
      <c r="E696" s="43"/>
      <c r="F696" s="43"/>
      <c r="G696" s="44">
        <v>1</v>
      </c>
      <c r="H696" s="44">
        <v>6</v>
      </c>
      <c r="I696" s="44">
        <v>14</v>
      </c>
      <c r="J696" s="44">
        <f>D695+0.5</f>
        <v>4.32</v>
      </c>
      <c r="K696" s="7" t="str">
        <f t="shared" ref="K696:K700" si="426">IF(I696=6,G696*H696*J696,"")</f>
        <v/>
      </c>
      <c r="L696" s="7" t="str">
        <f t="shared" ref="L696:L700" si="427">IF(I696=8,G696*H696*J696,"")</f>
        <v/>
      </c>
      <c r="M696" s="7" t="str">
        <f t="shared" ref="M696:M700" si="428">IF(I696=10,G696*H696*J696,"")</f>
        <v/>
      </c>
      <c r="N696" s="7" t="str">
        <f t="shared" ref="N696:N700" si="429">IF(I696=12,G696*H696*J696,"")</f>
        <v/>
      </c>
      <c r="O696" s="7">
        <f t="shared" ref="O696:O700" si="430">IF(I696=14,G696*H696*J696,"")</f>
        <v>25.92</v>
      </c>
      <c r="P696" s="7" t="str">
        <f t="shared" ref="P696:P698" si="431">IF(I696=16,G696*H696*J696,"")</f>
        <v/>
      </c>
    </row>
    <row r="697" spans="1:16">
      <c r="A697" t="s">
        <v>134</v>
      </c>
      <c r="B697" s="53"/>
      <c r="C697" s="53"/>
      <c r="D697" s="43"/>
      <c r="E697" s="43"/>
      <c r="F697" s="43"/>
      <c r="G697" s="44">
        <v>1</v>
      </c>
      <c r="H697" s="44">
        <v>4</v>
      </c>
      <c r="I697" s="44">
        <v>12</v>
      </c>
      <c r="J697" s="44">
        <f>D695+0.5</f>
        <v>4.32</v>
      </c>
      <c r="K697" s="7" t="str">
        <f t="shared" si="426"/>
        <v/>
      </c>
      <c r="L697" s="7" t="str">
        <f t="shared" si="427"/>
        <v/>
      </c>
      <c r="M697" s="7" t="str">
        <f t="shared" si="428"/>
        <v/>
      </c>
      <c r="N697" s="7">
        <f t="shared" si="429"/>
        <v>17.28</v>
      </c>
      <c r="O697" s="7" t="str">
        <f t="shared" si="430"/>
        <v/>
      </c>
      <c r="P697" s="7" t="str">
        <f t="shared" si="431"/>
        <v/>
      </c>
    </row>
    <row r="698" spans="1:16">
      <c r="A698" t="s">
        <v>129</v>
      </c>
      <c r="B698" s="53"/>
      <c r="C698" s="53"/>
      <c r="D698" s="43"/>
      <c r="E698" s="43"/>
      <c r="F698" s="43"/>
      <c r="G698" s="44">
        <v>1</v>
      </c>
      <c r="H698" s="44">
        <v>4</v>
      </c>
      <c r="I698" s="44">
        <v>10</v>
      </c>
      <c r="J698" s="44">
        <f>D695+0.5</f>
        <v>4.32</v>
      </c>
      <c r="K698" s="7" t="str">
        <f t="shared" si="426"/>
        <v/>
      </c>
      <c r="L698" s="7" t="str">
        <f t="shared" si="427"/>
        <v/>
      </c>
      <c r="M698" s="7">
        <f t="shared" si="428"/>
        <v>17.28</v>
      </c>
      <c r="N698" s="7" t="str">
        <f t="shared" si="429"/>
        <v/>
      </c>
      <c r="O698" s="7" t="str">
        <f t="shared" si="430"/>
        <v/>
      </c>
      <c r="P698" s="7" t="str">
        <f t="shared" si="431"/>
        <v/>
      </c>
    </row>
    <row r="699" spans="1:16">
      <c r="A699" t="s">
        <v>76</v>
      </c>
      <c r="B699" s="53"/>
      <c r="C699" s="53"/>
      <c r="D699" s="43"/>
      <c r="E699" s="43"/>
      <c r="F699" s="43"/>
      <c r="G699" s="44">
        <v>1</v>
      </c>
      <c r="H699" s="44">
        <f>ROUNDUP((D695)/0.2,0)</f>
        <v>20</v>
      </c>
      <c r="I699" s="44">
        <v>6</v>
      </c>
      <c r="J699" s="44">
        <f>2*(E695+F695)+20.5*I699/1000</f>
        <v>1.423</v>
      </c>
      <c r="K699" s="7">
        <f t="shared" si="426"/>
        <v>28.46</v>
      </c>
      <c r="L699" s="7" t="str">
        <f t="shared" si="427"/>
        <v/>
      </c>
      <c r="M699" s="7" t="str">
        <f t="shared" si="428"/>
        <v/>
      </c>
      <c r="N699" s="7" t="str">
        <f t="shared" si="429"/>
        <v/>
      </c>
      <c r="O699" s="7" t="str">
        <f t="shared" si="430"/>
        <v/>
      </c>
      <c r="P699" s="7" t="str">
        <f>IF(I699=16,G699*H699*J699,"")</f>
        <v/>
      </c>
    </row>
    <row r="700" spans="1:16">
      <c r="A700" t="s">
        <v>77</v>
      </c>
      <c r="B700" s="53"/>
      <c r="C700" s="53"/>
      <c r="D700" s="43"/>
      <c r="E700" s="43"/>
      <c r="F700" s="43"/>
      <c r="G700" s="44">
        <v>1</v>
      </c>
      <c r="H700" s="44">
        <f>ROUNDUP((D695)/0.2,0)*2</f>
        <v>40</v>
      </c>
      <c r="I700" s="44">
        <v>6</v>
      </c>
      <c r="J700" s="44">
        <f>F695+22*(I700/1000)</f>
        <v>0.58200000000000007</v>
      </c>
      <c r="K700" s="7">
        <f t="shared" si="426"/>
        <v>23.28</v>
      </c>
      <c r="L700" s="7" t="str">
        <f t="shared" si="427"/>
        <v/>
      </c>
      <c r="M700" s="7" t="str">
        <f t="shared" si="428"/>
        <v/>
      </c>
      <c r="N700" s="7" t="str">
        <f t="shared" si="429"/>
        <v/>
      </c>
      <c r="O700" s="7" t="str">
        <f t="shared" si="430"/>
        <v/>
      </c>
      <c r="P700" s="7" t="str">
        <f>IF(I700=16,G700*H700*J700,"")</f>
        <v/>
      </c>
    </row>
    <row r="701" spans="1:16">
      <c r="A701" s="50" t="s">
        <v>135</v>
      </c>
      <c r="B701" s="50" t="s">
        <v>146</v>
      </c>
      <c r="C701" s="51" t="s">
        <v>87</v>
      </c>
      <c r="D701">
        <f>0.4+0.82+1.08+0.15</f>
        <v>2.4499999999999997</v>
      </c>
      <c r="E701">
        <v>0.2</v>
      </c>
      <c r="F701">
        <v>0.4</v>
      </c>
    </row>
    <row r="702" spans="1:16">
      <c r="A702" t="s">
        <v>130</v>
      </c>
      <c r="B702" s="53"/>
      <c r="C702" s="53"/>
      <c r="D702" s="43"/>
      <c r="E702" s="43"/>
      <c r="F702" s="43"/>
      <c r="G702" s="44">
        <v>1</v>
      </c>
      <c r="H702" s="44">
        <v>6</v>
      </c>
      <c r="I702" s="44">
        <v>14</v>
      </c>
      <c r="J702" s="44">
        <f>D701+0.5</f>
        <v>2.9499999999999997</v>
      </c>
      <c r="K702" s="7" t="str">
        <f t="shared" ref="K702:K706" si="432">IF(I702=6,G702*H702*J702,"")</f>
        <v/>
      </c>
      <c r="L702" s="7" t="str">
        <f t="shared" ref="L702:L706" si="433">IF(I702=8,G702*H702*J702,"")</f>
        <v/>
      </c>
      <c r="M702" s="7" t="str">
        <f t="shared" ref="M702:M706" si="434">IF(I702=10,G702*H702*J702,"")</f>
        <v/>
      </c>
      <c r="N702" s="7" t="str">
        <f t="shared" ref="N702:N706" si="435">IF(I702=12,G702*H702*J702,"")</f>
        <v/>
      </c>
      <c r="O702" s="7">
        <f t="shared" ref="O702:O706" si="436">IF(I702=14,G702*H702*J702,"")</f>
        <v>17.7</v>
      </c>
      <c r="P702" s="7" t="str">
        <f t="shared" ref="P702:P704" si="437">IF(I702=16,G702*H702*J702,"")</f>
        <v/>
      </c>
    </row>
    <row r="703" spans="1:16">
      <c r="A703" t="s">
        <v>134</v>
      </c>
      <c r="B703" s="53"/>
      <c r="C703" s="53"/>
      <c r="D703" s="43"/>
      <c r="E703" s="43"/>
      <c r="F703" s="43"/>
      <c r="G703" s="44">
        <v>1</v>
      </c>
      <c r="H703" s="44">
        <v>4</v>
      </c>
      <c r="I703" s="44">
        <v>12</v>
      </c>
      <c r="J703" s="44">
        <f>D701+0.5</f>
        <v>2.9499999999999997</v>
      </c>
      <c r="K703" s="7" t="str">
        <f t="shared" si="432"/>
        <v/>
      </c>
      <c r="L703" s="7" t="str">
        <f t="shared" si="433"/>
        <v/>
      </c>
      <c r="M703" s="7" t="str">
        <f t="shared" si="434"/>
        <v/>
      </c>
      <c r="N703" s="7">
        <f t="shared" si="435"/>
        <v>11.799999999999999</v>
      </c>
      <c r="O703" s="7" t="str">
        <f t="shared" si="436"/>
        <v/>
      </c>
      <c r="P703" s="7" t="str">
        <f t="shared" si="437"/>
        <v/>
      </c>
    </row>
    <row r="704" spans="1:16">
      <c r="A704" t="s">
        <v>129</v>
      </c>
      <c r="B704" s="53"/>
      <c r="C704" s="53"/>
      <c r="D704" s="43"/>
      <c r="E704" s="43"/>
      <c r="F704" s="43"/>
      <c r="G704" s="44">
        <v>1</v>
      </c>
      <c r="H704" s="44">
        <v>4</v>
      </c>
      <c r="I704" s="44">
        <v>10</v>
      </c>
      <c r="J704" s="44">
        <f>D701+0.5</f>
        <v>2.9499999999999997</v>
      </c>
      <c r="K704" s="7" t="str">
        <f t="shared" si="432"/>
        <v/>
      </c>
      <c r="L704" s="7" t="str">
        <f t="shared" si="433"/>
        <v/>
      </c>
      <c r="M704" s="7">
        <f t="shared" si="434"/>
        <v>11.799999999999999</v>
      </c>
      <c r="N704" s="7" t="str">
        <f t="shared" si="435"/>
        <v/>
      </c>
      <c r="O704" s="7" t="str">
        <f t="shared" si="436"/>
        <v/>
      </c>
      <c r="P704" s="7" t="str">
        <f t="shared" si="437"/>
        <v/>
      </c>
    </row>
    <row r="705" spans="1:16">
      <c r="A705" t="s">
        <v>76</v>
      </c>
      <c r="B705" s="53"/>
      <c r="C705" s="53"/>
      <c r="D705" s="43"/>
      <c r="E705" s="43"/>
      <c r="F705" s="43"/>
      <c r="G705" s="44">
        <v>1</v>
      </c>
      <c r="H705" s="44">
        <f>ROUNDUP((D701)/0.2,0)</f>
        <v>13</v>
      </c>
      <c r="I705" s="44">
        <v>6</v>
      </c>
      <c r="J705" s="44">
        <f>2*(E701+F701)+20.5*I705/1000</f>
        <v>1.3230000000000002</v>
      </c>
      <c r="K705" s="7">
        <f t="shared" si="432"/>
        <v>17.199000000000002</v>
      </c>
      <c r="L705" s="7" t="str">
        <f t="shared" si="433"/>
        <v/>
      </c>
      <c r="M705" s="7" t="str">
        <f t="shared" si="434"/>
        <v/>
      </c>
      <c r="N705" s="7" t="str">
        <f t="shared" si="435"/>
        <v/>
      </c>
      <c r="O705" s="7" t="str">
        <f t="shared" si="436"/>
        <v/>
      </c>
      <c r="P705" s="7" t="str">
        <f>IF(I705=16,G705*H705*J705,"")</f>
        <v/>
      </c>
    </row>
    <row r="706" spans="1:16">
      <c r="A706" t="s">
        <v>77</v>
      </c>
      <c r="B706" s="53"/>
      <c r="C706" s="53"/>
      <c r="D706" s="43"/>
      <c r="E706" s="43"/>
      <c r="F706" s="43"/>
      <c r="G706" s="44">
        <v>1</v>
      </c>
      <c r="H706" s="44">
        <f>ROUNDUP((D701)/0.2,0)</f>
        <v>13</v>
      </c>
      <c r="I706" s="44">
        <v>6</v>
      </c>
      <c r="J706" s="44">
        <f>F701+22*(I706/1000)</f>
        <v>0.53200000000000003</v>
      </c>
      <c r="K706" s="7">
        <f t="shared" si="432"/>
        <v>6.9160000000000004</v>
      </c>
      <c r="L706" s="7" t="str">
        <f t="shared" si="433"/>
        <v/>
      </c>
      <c r="M706" s="7" t="str">
        <f t="shared" si="434"/>
        <v/>
      </c>
      <c r="N706" s="7" t="str">
        <f t="shared" si="435"/>
        <v/>
      </c>
      <c r="O706" s="7" t="str">
        <f t="shared" si="436"/>
        <v/>
      </c>
      <c r="P706" s="7" t="str">
        <f>IF(I706=16,G706*H706*J706,"")</f>
        <v/>
      </c>
    </row>
    <row r="707" spans="1:16">
      <c r="A707" s="50" t="s">
        <v>132</v>
      </c>
      <c r="B707" s="50" t="s">
        <v>115</v>
      </c>
      <c r="C707" s="51" t="s">
        <v>87</v>
      </c>
      <c r="D707">
        <v>3.82</v>
      </c>
      <c r="E707">
        <v>0.2</v>
      </c>
      <c r="F707">
        <v>0.45</v>
      </c>
    </row>
    <row r="708" spans="1:16">
      <c r="A708" t="s">
        <v>130</v>
      </c>
      <c r="B708" s="53"/>
      <c r="C708" s="53"/>
      <c r="D708" s="43"/>
      <c r="E708" s="43"/>
      <c r="F708" s="43"/>
      <c r="G708" s="44">
        <v>1</v>
      </c>
      <c r="H708" s="44">
        <v>6</v>
      </c>
      <c r="I708" s="44">
        <v>14</v>
      </c>
      <c r="J708" s="44">
        <f>D707+0.5</f>
        <v>4.32</v>
      </c>
      <c r="K708" s="7" t="str">
        <f t="shared" ref="K708:K711" si="438">IF(I708=6,G708*H708*J708,"")</f>
        <v/>
      </c>
      <c r="L708" s="7" t="str">
        <f t="shared" ref="L708:L711" si="439">IF(I708=8,G708*H708*J708,"")</f>
        <v/>
      </c>
      <c r="M708" s="7" t="str">
        <f t="shared" ref="M708:M711" si="440">IF(I708=10,G708*H708*J708,"")</f>
        <v/>
      </c>
      <c r="N708" s="7" t="str">
        <f t="shared" ref="N708:N711" si="441">IF(I708=12,G708*H708*J708,"")</f>
        <v/>
      </c>
      <c r="O708" s="7">
        <f t="shared" ref="O708:O711" si="442">IF(I708=14,G708*H708*J708,"")</f>
        <v>25.92</v>
      </c>
      <c r="P708" s="7" t="str">
        <f t="shared" ref="P708:P710" si="443">IF(I708=16,G708*H708*J708,"")</f>
        <v/>
      </c>
    </row>
    <row r="709" spans="1:16">
      <c r="A709" t="s">
        <v>134</v>
      </c>
      <c r="B709" s="53"/>
      <c r="C709" s="53"/>
      <c r="D709" s="43"/>
      <c r="E709" s="43"/>
      <c r="F709" s="43"/>
      <c r="G709" s="44">
        <v>1</v>
      </c>
      <c r="H709" s="44">
        <v>4</v>
      </c>
      <c r="I709" s="44">
        <v>12</v>
      </c>
      <c r="J709" s="44">
        <f>D707+0.5</f>
        <v>4.32</v>
      </c>
      <c r="K709" s="7" t="str">
        <f t="shared" si="438"/>
        <v/>
      </c>
      <c r="L709" s="7" t="str">
        <f t="shared" si="439"/>
        <v/>
      </c>
      <c r="M709" s="7" t="str">
        <f t="shared" si="440"/>
        <v/>
      </c>
      <c r="N709" s="7">
        <f t="shared" si="441"/>
        <v>17.28</v>
      </c>
      <c r="O709" s="7" t="str">
        <f t="shared" si="442"/>
        <v/>
      </c>
      <c r="P709" s="7" t="str">
        <f t="shared" si="443"/>
        <v/>
      </c>
    </row>
    <row r="710" spans="1:16">
      <c r="A710" t="s">
        <v>129</v>
      </c>
      <c r="B710" s="53"/>
      <c r="C710" s="53"/>
      <c r="D710" s="43"/>
      <c r="E710" s="43"/>
      <c r="F710" s="43"/>
      <c r="G710" s="44">
        <v>1</v>
      </c>
      <c r="H710" s="44">
        <v>4</v>
      </c>
      <c r="I710" s="44">
        <v>10</v>
      </c>
      <c r="J710" s="44">
        <f>D707+0.5</f>
        <v>4.32</v>
      </c>
      <c r="K710" s="7" t="str">
        <f t="shared" si="438"/>
        <v/>
      </c>
      <c r="L710" s="7" t="str">
        <f t="shared" si="439"/>
        <v/>
      </c>
      <c r="M710" s="7">
        <f t="shared" si="440"/>
        <v>17.28</v>
      </c>
      <c r="N710" s="7" t="str">
        <f t="shared" si="441"/>
        <v/>
      </c>
      <c r="O710" s="7" t="str">
        <f t="shared" si="442"/>
        <v/>
      </c>
      <c r="P710" s="7" t="str">
        <f t="shared" si="443"/>
        <v/>
      </c>
    </row>
    <row r="711" spans="1:16">
      <c r="A711" t="s">
        <v>76</v>
      </c>
      <c r="B711" s="53"/>
      <c r="C711" s="53"/>
      <c r="D711" s="43"/>
      <c r="E711" s="43"/>
      <c r="F711" s="43"/>
      <c r="G711" s="44">
        <v>1</v>
      </c>
      <c r="H711" s="44">
        <f>ROUNDUP((D707)/0.2,0)</f>
        <v>20</v>
      </c>
      <c r="I711" s="44">
        <v>6</v>
      </c>
      <c r="J711" s="44">
        <f>2*(E707+F707)+20.5*I711/1000</f>
        <v>1.423</v>
      </c>
      <c r="K711" s="7">
        <f t="shared" si="438"/>
        <v>28.46</v>
      </c>
      <c r="L711" s="7" t="str">
        <f t="shared" si="439"/>
        <v/>
      </c>
      <c r="M711" s="7" t="str">
        <f t="shared" si="440"/>
        <v/>
      </c>
      <c r="N711" s="7" t="str">
        <f t="shared" si="441"/>
        <v/>
      </c>
      <c r="O711" s="7" t="str">
        <f t="shared" si="442"/>
        <v/>
      </c>
      <c r="P711" s="7" t="str">
        <f>IF(I711=16,G711*H711*J711,"")</f>
        <v/>
      </c>
    </row>
    <row r="712" spans="1:16">
      <c r="A712" s="50" t="s">
        <v>132</v>
      </c>
      <c r="B712" s="50" t="s">
        <v>133</v>
      </c>
      <c r="C712" s="51" t="s">
        <v>112</v>
      </c>
      <c r="D712">
        <v>3.82</v>
      </c>
      <c r="E712">
        <v>0.2</v>
      </c>
      <c r="F712">
        <v>0.45</v>
      </c>
    </row>
    <row r="713" spans="1:16">
      <c r="A713" t="s">
        <v>130</v>
      </c>
      <c r="B713" s="53"/>
      <c r="C713" s="53"/>
      <c r="D713" s="43"/>
      <c r="E713" s="43"/>
      <c r="F713" s="43"/>
      <c r="G713" s="44">
        <v>1</v>
      </c>
      <c r="H713" s="44">
        <v>6</v>
      </c>
      <c r="I713" s="44">
        <v>14</v>
      </c>
      <c r="J713" s="44">
        <f>D712+0.5</f>
        <v>4.32</v>
      </c>
      <c r="K713" s="7" t="str">
        <f t="shared" ref="K713:K717" si="444">IF(I713=6,G713*H713*J713,"")</f>
        <v/>
      </c>
      <c r="L713" s="7" t="str">
        <f t="shared" ref="L713:L717" si="445">IF(I713=8,G713*H713*J713,"")</f>
        <v/>
      </c>
      <c r="M713" s="7" t="str">
        <f t="shared" ref="M713:M717" si="446">IF(I713=10,G713*H713*J713,"")</f>
        <v/>
      </c>
      <c r="N713" s="7" t="str">
        <f t="shared" ref="N713:N717" si="447">IF(I713=12,G713*H713*J713,"")</f>
        <v/>
      </c>
      <c r="O713" s="7">
        <f t="shared" ref="O713:O717" si="448">IF(I713=14,G713*H713*J713,"")</f>
        <v>25.92</v>
      </c>
      <c r="P713" s="7" t="str">
        <f t="shared" ref="P713:P715" si="449">IF(I713=16,G713*H713*J713,"")</f>
        <v/>
      </c>
    </row>
    <row r="714" spans="1:16">
      <c r="A714" t="s">
        <v>134</v>
      </c>
      <c r="B714" s="53"/>
      <c r="C714" s="53"/>
      <c r="D714" s="43"/>
      <c r="E714" s="43"/>
      <c r="F714" s="43"/>
      <c r="G714" s="44">
        <v>1</v>
      </c>
      <c r="H714" s="44">
        <v>4</v>
      </c>
      <c r="I714" s="44">
        <v>12</v>
      </c>
      <c r="J714" s="44">
        <f>D712+0.5</f>
        <v>4.32</v>
      </c>
      <c r="K714" s="7" t="str">
        <f t="shared" si="444"/>
        <v/>
      </c>
      <c r="L714" s="7" t="str">
        <f t="shared" si="445"/>
        <v/>
      </c>
      <c r="M714" s="7" t="str">
        <f t="shared" si="446"/>
        <v/>
      </c>
      <c r="N714" s="7">
        <f t="shared" si="447"/>
        <v>17.28</v>
      </c>
      <c r="O714" s="7" t="str">
        <f t="shared" si="448"/>
        <v/>
      </c>
      <c r="P714" s="7" t="str">
        <f t="shared" si="449"/>
        <v/>
      </c>
    </row>
    <row r="715" spans="1:16">
      <c r="A715" t="s">
        <v>129</v>
      </c>
      <c r="B715" s="53"/>
      <c r="C715" s="53"/>
      <c r="D715" s="43"/>
      <c r="E715" s="43"/>
      <c r="F715" s="43"/>
      <c r="G715" s="44">
        <v>1</v>
      </c>
      <c r="H715" s="44">
        <v>4</v>
      </c>
      <c r="I715" s="44">
        <v>10</v>
      </c>
      <c r="J715" s="44">
        <f>D712+0.5</f>
        <v>4.32</v>
      </c>
      <c r="K715" s="7" t="str">
        <f t="shared" si="444"/>
        <v/>
      </c>
      <c r="L715" s="7" t="str">
        <f t="shared" si="445"/>
        <v/>
      </c>
      <c r="M715" s="7">
        <f t="shared" si="446"/>
        <v>17.28</v>
      </c>
      <c r="N715" s="7" t="str">
        <f t="shared" si="447"/>
        <v/>
      </c>
      <c r="O715" s="7" t="str">
        <f t="shared" si="448"/>
        <v/>
      </c>
      <c r="P715" s="7" t="str">
        <f t="shared" si="449"/>
        <v/>
      </c>
    </row>
    <row r="716" spans="1:16">
      <c r="A716" t="s">
        <v>76</v>
      </c>
      <c r="B716" s="53"/>
      <c r="C716" s="53"/>
      <c r="D716" s="43"/>
      <c r="E716" s="43"/>
      <c r="F716" s="43"/>
      <c r="G716" s="44">
        <v>1</v>
      </c>
      <c r="H716" s="44">
        <f>ROUNDUP((D712)/0.2,0)</f>
        <v>20</v>
      </c>
      <c r="I716" s="44">
        <v>6</v>
      </c>
      <c r="J716" s="44">
        <f>2*(E712+F712)+20.5*I716/1000</f>
        <v>1.423</v>
      </c>
      <c r="K716" s="7">
        <f t="shared" si="444"/>
        <v>28.46</v>
      </c>
      <c r="L716" s="7" t="str">
        <f t="shared" si="445"/>
        <v/>
      </c>
      <c r="M716" s="7" t="str">
        <f t="shared" si="446"/>
        <v/>
      </c>
      <c r="N716" s="7" t="str">
        <f t="shared" si="447"/>
        <v/>
      </c>
      <c r="O716" s="7" t="str">
        <f t="shared" si="448"/>
        <v/>
      </c>
      <c r="P716" s="7" t="str">
        <f>IF(I716=16,G716*H716*J716,"")</f>
        <v/>
      </c>
    </row>
    <row r="717" spans="1:16">
      <c r="A717" t="s">
        <v>77</v>
      </c>
      <c r="B717" s="53"/>
      <c r="C717" s="53"/>
      <c r="D717" s="43"/>
      <c r="E717" s="43"/>
      <c r="F717" s="43"/>
      <c r="G717" s="44">
        <v>1</v>
      </c>
      <c r="H717" s="44">
        <f>ROUNDUP((D712)/0.2,0)*2</f>
        <v>40</v>
      </c>
      <c r="I717" s="44">
        <v>6</v>
      </c>
      <c r="J717" s="44">
        <f>F712+22*(I717/1000)</f>
        <v>0.58200000000000007</v>
      </c>
      <c r="K717" s="7">
        <f t="shared" si="444"/>
        <v>23.28</v>
      </c>
      <c r="L717" s="7" t="str">
        <f t="shared" si="445"/>
        <v/>
      </c>
      <c r="M717" s="7" t="str">
        <f t="shared" si="446"/>
        <v/>
      </c>
      <c r="N717" s="7" t="str">
        <f t="shared" si="447"/>
        <v/>
      </c>
      <c r="O717" s="7" t="str">
        <f t="shared" si="448"/>
        <v/>
      </c>
      <c r="P717" s="7" t="str">
        <f>IF(I717=16,G717*H717*J717,"")</f>
        <v/>
      </c>
    </row>
    <row r="718" spans="1:16">
      <c r="A718" s="50" t="s">
        <v>135</v>
      </c>
      <c r="B718" s="50" t="s">
        <v>146</v>
      </c>
      <c r="C718" s="51" t="s">
        <v>112</v>
      </c>
      <c r="D718">
        <f>0.4+0.82+1.08+0.15</f>
        <v>2.4499999999999997</v>
      </c>
      <c r="E718">
        <v>0.2</v>
      </c>
      <c r="F718">
        <v>0.4</v>
      </c>
    </row>
    <row r="719" spans="1:16">
      <c r="A719" t="s">
        <v>130</v>
      </c>
      <c r="B719" s="53"/>
      <c r="C719" s="53"/>
      <c r="D719" s="43"/>
      <c r="E719" s="43"/>
      <c r="F719" s="43"/>
      <c r="G719" s="44">
        <v>1</v>
      </c>
      <c r="H719" s="44">
        <v>6</v>
      </c>
      <c r="I719" s="44">
        <v>14</v>
      </c>
      <c r="J719" s="44">
        <f>D718+0.5</f>
        <v>2.9499999999999997</v>
      </c>
      <c r="K719" s="7" t="str">
        <f t="shared" ref="K719:K723" si="450">IF(I719=6,G719*H719*J719,"")</f>
        <v/>
      </c>
      <c r="L719" s="7" t="str">
        <f t="shared" ref="L719:L723" si="451">IF(I719=8,G719*H719*J719,"")</f>
        <v/>
      </c>
      <c r="M719" s="7" t="str">
        <f t="shared" ref="M719:M723" si="452">IF(I719=10,G719*H719*J719,"")</f>
        <v/>
      </c>
      <c r="N719" s="7" t="str">
        <f t="shared" ref="N719:N723" si="453">IF(I719=12,G719*H719*J719,"")</f>
        <v/>
      </c>
      <c r="O719" s="7">
        <f t="shared" ref="O719:O723" si="454">IF(I719=14,G719*H719*J719,"")</f>
        <v>17.7</v>
      </c>
      <c r="P719" s="7" t="str">
        <f t="shared" ref="P719:P721" si="455">IF(I719=16,G719*H719*J719,"")</f>
        <v/>
      </c>
    </row>
    <row r="720" spans="1:16">
      <c r="A720" t="s">
        <v>134</v>
      </c>
      <c r="B720" s="53"/>
      <c r="C720" s="53"/>
      <c r="D720" s="43"/>
      <c r="E720" s="43"/>
      <c r="F720" s="43"/>
      <c r="G720" s="44">
        <v>1</v>
      </c>
      <c r="H720" s="44">
        <v>4</v>
      </c>
      <c r="I720" s="44">
        <v>12</v>
      </c>
      <c r="J720" s="44">
        <f>D718+0.5</f>
        <v>2.9499999999999997</v>
      </c>
      <c r="K720" s="7" t="str">
        <f t="shared" si="450"/>
        <v/>
      </c>
      <c r="L720" s="7" t="str">
        <f t="shared" si="451"/>
        <v/>
      </c>
      <c r="M720" s="7" t="str">
        <f t="shared" si="452"/>
        <v/>
      </c>
      <c r="N720" s="7">
        <f t="shared" si="453"/>
        <v>11.799999999999999</v>
      </c>
      <c r="O720" s="7" t="str">
        <f t="shared" si="454"/>
        <v/>
      </c>
      <c r="P720" s="7" t="str">
        <f t="shared" si="455"/>
        <v/>
      </c>
    </row>
    <row r="721" spans="1:16">
      <c r="A721" t="s">
        <v>129</v>
      </c>
      <c r="B721" s="53"/>
      <c r="C721" s="53"/>
      <c r="D721" s="43"/>
      <c r="E721" s="43"/>
      <c r="F721" s="43"/>
      <c r="G721" s="44">
        <v>1</v>
      </c>
      <c r="H721" s="44">
        <v>4</v>
      </c>
      <c r="I721" s="44">
        <v>10</v>
      </c>
      <c r="J721" s="44">
        <f>D718+0.5</f>
        <v>2.9499999999999997</v>
      </c>
      <c r="K721" s="7" t="str">
        <f t="shared" si="450"/>
        <v/>
      </c>
      <c r="L721" s="7" t="str">
        <f t="shared" si="451"/>
        <v/>
      </c>
      <c r="M721" s="7">
        <f t="shared" si="452"/>
        <v>11.799999999999999</v>
      </c>
      <c r="N721" s="7" t="str">
        <f t="shared" si="453"/>
        <v/>
      </c>
      <c r="O721" s="7" t="str">
        <f t="shared" si="454"/>
        <v/>
      </c>
      <c r="P721" s="7" t="str">
        <f t="shared" si="455"/>
        <v/>
      </c>
    </row>
    <row r="722" spans="1:16">
      <c r="A722" t="s">
        <v>76</v>
      </c>
      <c r="B722" s="53"/>
      <c r="C722" s="53"/>
      <c r="D722" s="43"/>
      <c r="E722" s="43"/>
      <c r="F722" s="43"/>
      <c r="G722" s="44">
        <v>1</v>
      </c>
      <c r="H722" s="44">
        <f>ROUNDUP((D718)/0.2,0)</f>
        <v>13</v>
      </c>
      <c r="I722" s="44">
        <v>6</v>
      </c>
      <c r="J722" s="44">
        <f>2*(E718+F718)+20.5*I722/1000</f>
        <v>1.3230000000000002</v>
      </c>
      <c r="K722" s="7">
        <f t="shared" si="450"/>
        <v>17.199000000000002</v>
      </c>
      <c r="L722" s="7" t="str">
        <f t="shared" si="451"/>
        <v/>
      </c>
      <c r="M722" s="7" t="str">
        <f t="shared" si="452"/>
        <v/>
      </c>
      <c r="N722" s="7" t="str">
        <f t="shared" si="453"/>
        <v/>
      </c>
      <c r="O722" s="7" t="str">
        <f t="shared" si="454"/>
        <v/>
      </c>
      <c r="P722" s="7" t="str">
        <f>IF(I722=16,G722*H722*J722,"")</f>
        <v/>
      </c>
    </row>
    <row r="723" spans="1:16">
      <c r="A723" t="s">
        <v>77</v>
      </c>
      <c r="B723" s="53"/>
      <c r="C723" s="53"/>
      <c r="D723" s="43"/>
      <c r="E723" s="43"/>
      <c r="F723" s="43"/>
      <c r="G723" s="44">
        <v>1</v>
      </c>
      <c r="H723" s="44">
        <f>ROUNDUP((D718)/0.2,0)</f>
        <v>13</v>
      </c>
      <c r="I723" s="44">
        <v>6</v>
      </c>
      <c r="J723" s="44">
        <f>F718+22*(I723/1000)</f>
        <v>0.53200000000000003</v>
      </c>
      <c r="K723" s="7">
        <f t="shared" si="450"/>
        <v>6.9160000000000004</v>
      </c>
      <c r="L723" s="7" t="str">
        <f t="shared" si="451"/>
        <v/>
      </c>
      <c r="M723" s="7" t="str">
        <f t="shared" si="452"/>
        <v/>
      </c>
      <c r="N723" s="7" t="str">
        <f t="shared" si="453"/>
        <v/>
      </c>
      <c r="O723" s="7" t="str">
        <f t="shared" si="454"/>
        <v/>
      </c>
      <c r="P723" s="7" t="str">
        <f>IF(I723=16,G723*H723*J723,"")</f>
        <v/>
      </c>
    </row>
    <row r="724" spans="1:16">
      <c r="A724" s="50" t="s">
        <v>132</v>
      </c>
      <c r="B724" s="50" t="s">
        <v>115</v>
      </c>
      <c r="C724" s="51" t="s">
        <v>112</v>
      </c>
      <c r="D724">
        <v>3.82</v>
      </c>
      <c r="E724">
        <v>0.2</v>
      </c>
      <c r="F724">
        <v>0.45</v>
      </c>
    </row>
    <row r="725" spans="1:16">
      <c r="A725" t="s">
        <v>130</v>
      </c>
      <c r="B725" s="53"/>
      <c r="C725" s="53"/>
      <c r="D725" s="43"/>
      <c r="E725" s="43"/>
      <c r="F725" s="43"/>
      <c r="G725" s="44">
        <v>1</v>
      </c>
      <c r="H725" s="44">
        <v>6</v>
      </c>
      <c r="I725" s="44">
        <v>14</v>
      </c>
      <c r="J725" s="44">
        <f>D724+0.5</f>
        <v>4.32</v>
      </c>
      <c r="K725" s="7" t="str">
        <f t="shared" ref="K725:K728" si="456">IF(I725=6,G725*H725*J725,"")</f>
        <v/>
      </c>
      <c r="L725" s="7" t="str">
        <f t="shared" ref="L725:L728" si="457">IF(I725=8,G725*H725*J725,"")</f>
        <v/>
      </c>
      <c r="M725" s="7" t="str">
        <f t="shared" ref="M725:M728" si="458">IF(I725=10,G725*H725*J725,"")</f>
        <v/>
      </c>
      <c r="N725" s="7" t="str">
        <f t="shared" ref="N725:N728" si="459">IF(I725=12,G725*H725*J725,"")</f>
        <v/>
      </c>
      <c r="O725" s="7">
        <f t="shared" ref="O725:O728" si="460">IF(I725=14,G725*H725*J725,"")</f>
        <v>25.92</v>
      </c>
      <c r="P725" s="7" t="str">
        <f t="shared" ref="P725:P727" si="461">IF(I725=16,G725*H725*J725,"")</f>
        <v/>
      </c>
    </row>
    <row r="726" spans="1:16">
      <c r="A726" t="s">
        <v>134</v>
      </c>
      <c r="B726" s="53"/>
      <c r="C726" s="53"/>
      <c r="D726" s="43"/>
      <c r="E726" s="43"/>
      <c r="F726" s="43"/>
      <c r="G726" s="44">
        <v>1</v>
      </c>
      <c r="H726" s="44">
        <v>4</v>
      </c>
      <c r="I726" s="44">
        <v>12</v>
      </c>
      <c r="J726" s="44">
        <f>D724+0.5</f>
        <v>4.32</v>
      </c>
      <c r="K726" s="7" t="str">
        <f t="shared" si="456"/>
        <v/>
      </c>
      <c r="L726" s="7" t="str">
        <f t="shared" si="457"/>
        <v/>
      </c>
      <c r="M726" s="7" t="str">
        <f t="shared" si="458"/>
        <v/>
      </c>
      <c r="N726" s="7">
        <f t="shared" si="459"/>
        <v>17.28</v>
      </c>
      <c r="O726" s="7" t="str">
        <f t="shared" si="460"/>
        <v/>
      </c>
      <c r="P726" s="7" t="str">
        <f t="shared" si="461"/>
        <v/>
      </c>
    </row>
    <row r="727" spans="1:16">
      <c r="A727" t="s">
        <v>129</v>
      </c>
      <c r="B727" s="53"/>
      <c r="C727" s="53"/>
      <c r="D727" s="43"/>
      <c r="E727" s="43"/>
      <c r="F727" s="43"/>
      <c r="G727" s="44">
        <v>1</v>
      </c>
      <c r="H727" s="44">
        <v>4</v>
      </c>
      <c r="I727" s="44">
        <v>10</v>
      </c>
      <c r="J727" s="44">
        <f>D724+0.5</f>
        <v>4.32</v>
      </c>
      <c r="K727" s="7" t="str">
        <f t="shared" si="456"/>
        <v/>
      </c>
      <c r="L727" s="7" t="str">
        <f t="shared" si="457"/>
        <v/>
      </c>
      <c r="M727" s="7">
        <f t="shared" si="458"/>
        <v>17.28</v>
      </c>
      <c r="N727" s="7" t="str">
        <f t="shared" si="459"/>
        <v/>
      </c>
      <c r="O727" s="7" t="str">
        <f t="shared" si="460"/>
        <v/>
      </c>
      <c r="P727" s="7" t="str">
        <f t="shared" si="461"/>
        <v/>
      </c>
    </row>
    <row r="728" spans="1:16">
      <c r="A728" t="s">
        <v>76</v>
      </c>
      <c r="B728" s="53"/>
      <c r="C728" s="53"/>
      <c r="D728" s="43"/>
      <c r="E728" s="43"/>
      <c r="F728" s="43"/>
      <c r="G728" s="44">
        <v>1</v>
      </c>
      <c r="H728" s="44">
        <f>ROUNDUP((D724)/0.2,0)</f>
        <v>20</v>
      </c>
      <c r="I728" s="44">
        <v>6</v>
      </c>
      <c r="J728" s="44">
        <f>2*(E724+F724)+20.5*I728/1000</f>
        <v>1.423</v>
      </c>
      <c r="K728" s="7">
        <f t="shared" si="456"/>
        <v>28.46</v>
      </c>
      <c r="L728" s="7" t="str">
        <f t="shared" si="457"/>
        <v/>
      </c>
      <c r="M728" s="7" t="str">
        <f t="shared" si="458"/>
        <v/>
      </c>
      <c r="N728" s="7" t="str">
        <f t="shared" si="459"/>
        <v/>
      </c>
      <c r="O728" s="7" t="str">
        <f t="shared" si="460"/>
        <v/>
      </c>
      <c r="P728" s="7" t="str">
        <f>IF(I728=16,G728*H728*J728,"")</f>
        <v/>
      </c>
    </row>
    <row r="729" spans="1:16">
      <c r="A729" s="50" t="s">
        <v>132</v>
      </c>
      <c r="B729" s="50" t="s">
        <v>133</v>
      </c>
      <c r="C729" s="51" t="s">
        <v>118</v>
      </c>
      <c r="D729">
        <v>3.82</v>
      </c>
      <c r="E729">
        <v>0.2</v>
      </c>
      <c r="F729">
        <v>0.45</v>
      </c>
    </row>
    <row r="730" spans="1:16">
      <c r="A730" t="s">
        <v>130</v>
      </c>
      <c r="B730" s="53"/>
      <c r="C730" s="53"/>
      <c r="D730" s="43"/>
      <c r="E730" s="43"/>
      <c r="F730" s="43"/>
      <c r="G730" s="44">
        <v>1</v>
      </c>
      <c r="H730" s="44">
        <v>6</v>
      </c>
      <c r="I730" s="44">
        <v>14</v>
      </c>
      <c r="J730" s="44">
        <f>D729+0.5</f>
        <v>4.32</v>
      </c>
      <c r="K730" s="7" t="str">
        <f t="shared" ref="K730:K734" si="462">IF(I730=6,G730*H730*J730,"")</f>
        <v/>
      </c>
      <c r="L730" s="7" t="str">
        <f t="shared" ref="L730:L734" si="463">IF(I730=8,G730*H730*J730,"")</f>
        <v/>
      </c>
      <c r="M730" s="7" t="str">
        <f t="shared" ref="M730:M734" si="464">IF(I730=10,G730*H730*J730,"")</f>
        <v/>
      </c>
      <c r="N730" s="7" t="str">
        <f t="shared" ref="N730:N734" si="465">IF(I730=12,G730*H730*J730,"")</f>
        <v/>
      </c>
      <c r="O730" s="7">
        <f t="shared" ref="O730:O734" si="466">IF(I730=14,G730*H730*J730,"")</f>
        <v>25.92</v>
      </c>
      <c r="P730" s="7" t="str">
        <f t="shared" ref="P730:P732" si="467">IF(I730=16,G730*H730*J730,"")</f>
        <v/>
      </c>
    </row>
    <row r="731" spans="1:16">
      <c r="A731" t="s">
        <v>134</v>
      </c>
      <c r="B731" s="53"/>
      <c r="C731" s="53"/>
      <c r="D731" s="43"/>
      <c r="E731" s="43"/>
      <c r="F731" s="43"/>
      <c r="G731" s="44">
        <v>1</v>
      </c>
      <c r="H731" s="44">
        <v>4</v>
      </c>
      <c r="I731" s="44">
        <v>12</v>
      </c>
      <c r="J731" s="44">
        <f>D729+0.5</f>
        <v>4.32</v>
      </c>
      <c r="K731" s="7" t="str">
        <f t="shared" si="462"/>
        <v/>
      </c>
      <c r="L731" s="7" t="str">
        <f t="shared" si="463"/>
        <v/>
      </c>
      <c r="M731" s="7" t="str">
        <f t="shared" si="464"/>
        <v/>
      </c>
      <c r="N731" s="7">
        <f t="shared" si="465"/>
        <v>17.28</v>
      </c>
      <c r="O731" s="7" t="str">
        <f t="shared" si="466"/>
        <v/>
      </c>
      <c r="P731" s="7" t="str">
        <f t="shared" si="467"/>
        <v/>
      </c>
    </row>
    <row r="732" spans="1:16">
      <c r="A732" t="s">
        <v>129</v>
      </c>
      <c r="B732" s="53"/>
      <c r="C732" s="53"/>
      <c r="D732" s="43"/>
      <c r="E732" s="43"/>
      <c r="F732" s="43"/>
      <c r="G732" s="44">
        <v>1</v>
      </c>
      <c r="H732" s="44">
        <v>4</v>
      </c>
      <c r="I732" s="44">
        <v>10</v>
      </c>
      <c r="J732" s="44">
        <f>D729+0.5</f>
        <v>4.32</v>
      </c>
      <c r="K732" s="7" t="str">
        <f t="shared" si="462"/>
        <v/>
      </c>
      <c r="L732" s="7" t="str">
        <f t="shared" si="463"/>
        <v/>
      </c>
      <c r="M732" s="7">
        <f t="shared" si="464"/>
        <v>17.28</v>
      </c>
      <c r="N732" s="7" t="str">
        <f t="shared" si="465"/>
        <v/>
      </c>
      <c r="O732" s="7" t="str">
        <f t="shared" si="466"/>
        <v/>
      </c>
      <c r="P732" s="7" t="str">
        <f t="shared" si="467"/>
        <v/>
      </c>
    </row>
    <row r="733" spans="1:16">
      <c r="A733" t="s">
        <v>76</v>
      </c>
      <c r="B733" s="53"/>
      <c r="C733" s="53"/>
      <c r="D733" s="43"/>
      <c r="E733" s="43"/>
      <c r="F733" s="43"/>
      <c r="G733" s="44">
        <v>1</v>
      </c>
      <c r="H733" s="44">
        <f>ROUNDUP((D729)/0.2,0)</f>
        <v>20</v>
      </c>
      <c r="I733" s="44">
        <v>6</v>
      </c>
      <c r="J733" s="44">
        <f>2*(E729+F729)+20.5*I733/1000</f>
        <v>1.423</v>
      </c>
      <c r="K733" s="7">
        <f t="shared" si="462"/>
        <v>28.46</v>
      </c>
      <c r="L733" s="7" t="str">
        <f t="shared" si="463"/>
        <v/>
      </c>
      <c r="M733" s="7" t="str">
        <f t="shared" si="464"/>
        <v/>
      </c>
      <c r="N733" s="7" t="str">
        <f t="shared" si="465"/>
        <v/>
      </c>
      <c r="O733" s="7" t="str">
        <f t="shared" si="466"/>
        <v/>
      </c>
      <c r="P733" s="7" t="str">
        <f>IF(I733=16,G733*H733*J733,"")</f>
        <v/>
      </c>
    </row>
    <row r="734" spans="1:16">
      <c r="A734" t="s">
        <v>77</v>
      </c>
      <c r="B734" s="53"/>
      <c r="C734" s="53"/>
      <c r="D734" s="43"/>
      <c r="E734" s="43"/>
      <c r="F734" s="43"/>
      <c r="G734" s="44">
        <v>1</v>
      </c>
      <c r="H734" s="44">
        <f>ROUNDUP((D729)/0.2,0)*2</f>
        <v>40</v>
      </c>
      <c r="I734" s="44">
        <v>6</v>
      </c>
      <c r="J734" s="44">
        <f>F729+22*(I734/1000)</f>
        <v>0.58200000000000007</v>
      </c>
      <c r="K734" s="7">
        <f t="shared" si="462"/>
        <v>23.28</v>
      </c>
      <c r="L734" s="7" t="str">
        <f t="shared" si="463"/>
        <v/>
      </c>
      <c r="M734" s="7" t="str">
        <f t="shared" si="464"/>
        <v/>
      </c>
      <c r="N734" s="7" t="str">
        <f t="shared" si="465"/>
        <v/>
      </c>
      <c r="O734" s="7" t="str">
        <f t="shared" si="466"/>
        <v/>
      </c>
      <c r="P734" s="7" t="str">
        <f>IF(I734=16,G734*H734*J734,"")</f>
        <v/>
      </c>
    </row>
    <row r="735" spans="1:16">
      <c r="A735" s="50" t="s">
        <v>135</v>
      </c>
      <c r="B735" s="50" t="s">
        <v>146</v>
      </c>
      <c r="C735" s="51" t="s">
        <v>118</v>
      </c>
      <c r="D735">
        <f>0.4+0.82+1.08+0.15</f>
        <v>2.4499999999999997</v>
      </c>
      <c r="E735">
        <v>0.2</v>
      </c>
      <c r="F735">
        <v>0.4</v>
      </c>
    </row>
    <row r="736" spans="1:16">
      <c r="A736" t="s">
        <v>130</v>
      </c>
      <c r="B736" s="53"/>
      <c r="C736" s="53"/>
      <c r="D736" s="43"/>
      <c r="E736" s="43"/>
      <c r="F736" s="43"/>
      <c r="G736" s="44">
        <v>1</v>
      </c>
      <c r="H736" s="44">
        <v>6</v>
      </c>
      <c r="I736" s="44">
        <v>14</v>
      </c>
      <c r="J736" s="44">
        <f>D735+0.5</f>
        <v>2.9499999999999997</v>
      </c>
      <c r="K736" s="7" t="str">
        <f t="shared" ref="K736:K740" si="468">IF(I736=6,G736*H736*J736,"")</f>
        <v/>
      </c>
      <c r="L736" s="7" t="str">
        <f t="shared" ref="L736:L740" si="469">IF(I736=8,G736*H736*J736,"")</f>
        <v/>
      </c>
      <c r="M736" s="7" t="str">
        <f t="shared" ref="M736:M740" si="470">IF(I736=10,G736*H736*J736,"")</f>
        <v/>
      </c>
      <c r="N736" s="7" t="str">
        <f t="shared" ref="N736:N740" si="471">IF(I736=12,G736*H736*J736,"")</f>
        <v/>
      </c>
      <c r="O736" s="7">
        <f t="shared" ref="O736:O740" si="472">IF(I736=14,G736*H736*J736,"")</f>
        <v>17.7</v>
      </c>
      <c r="P736" s="7" t="str">
        <f t="shared" ref="P736:P738" si="473">IF(I736=16,G736*H736*J736,"")</f>
        <v/>
      </c>
    </row>
    <row r="737" spans="1:16">
      <c r="A737" t="s">
        <v>134</v>
      </c>
      <c r="B737" s="53"/>
      <c r="C737" s="53"/>
      <c r="D737" s="43"/>
      <c r="E737" s="43"/>
      <c r="F737" s="43"/>
      <c r="G737" s="44">
        <v>1</v>
      </c>
      <c r="H737" s="44">
        <v>4</v>
      </c>
      <c r="I737" s="44">
        <v>12</v>
      </c>
      <c r="J737" s="44">
        <f>D735+0.5</f>
        <v>2.9499999999999997</v>
      </c>
      <c r="K737" s="7" t="str">
        <f t="shared" si="468"/>
        <v/>
      </c>
      <c r="L737" s="7" t="str">
        <f t="shared" si="469"/>
        <v/>
      </c>
      <c r="M737" s="7" t="str">
        <f t="shared" si="470"/>
        <v/>
      </c>
      <c r="N737" s="7">
        <f t="shared" si="471"/>
        <v>11.799999999999999</v>
      </c>
      <c r="O737" s="7" t="str">
        <f t="shared" si="472"/>
        <v/>
      </c>
      <c r="P737" s="7" t="str">
        <f t="shared" si="473"/>
        <v/>
      </c>
    </row>
    <row r="738" spans="1:16">
      <c r="A738" t="s">
        <v>129</v>
      </c>
      <c r="B738" s="53"/>
      <c r="C738" s="53"/>
      <c r="D738" s="43"/>
      <c r="E738" s="43"/>
      <c r="F738" s="43"/>
      <c r="G738" s="44">
        <v>1</v>
      </c>
      <c r="H738" s="44">
        <v>4</v>
      </c>
      <c r="I738" s="44">
        <v>10</v>
      </c>
      <c r="J738" s="44">
        <f>D735+0.5</f>
        <v>2.9499999999999997</v>
      </c>
      <c r="K738" s="7" t="str">
        <f t="shared" si="468"/>
        <v/>
      </c>
      <c r="L738" s="7" t="str">
        <f t="shared" si="469"/>
        <v/>
      </c>
      <c r="M738" s="7">
        <f t="shared" si="470"/>
        <v>11.799999999999999</v>
      </c>
      <c r="N738" s="7" t="str">
        <f t="shared" si="471"/>
        <v/>
      </c>
      <c r="O738" s="7" t="str">
        <f t="shared" si="472"/>
        <v/>
      </c>
      <c r="P738" s="7" t="str">
        <f t="shared" si="473"/>
        <v/>
      </c>
    </row>
    <row r="739" spans="1:16">
      <c r="A739" t="s">
        <v>76</v>
      </c>
      <c r="B739" s="53"/>
      <c r="C739" s="53"/>
      <c r="D739" s="43"/>
      <c r="E739" s="43"/>
      <c r="F739" s="43"/>
      <c r="G739" s="44">
        <v>1</v>
      </c>
      <c r="H739" s="44">
        <f>ROUNDUP((D735)/0.2,0)</f>
        <v>13</v>
      </c>
      <c r="I739" s="44">
        <v>6</v>
      </c>
      <c r="J739" s="44">
        <f>2*(E735+F735)+20.5*I739/1000</f>
        <v>1.3230000000000002</v>
      </c>
      <c r="K739" s="7">
        <f t="shared" si="468"/>
        <v>17.199000000000002</v>
      </c>
      <c r="L739" s="7" t="str">
        <f t="shared" si="469"/>
        <v/>
      </c>
      <c r="M739" s="7" t="str">
        <f t="shared" si="470"/>
        <v/>
      </c>
      <c r="N739" s="7" t="str">
        <f t="shared" si="471"/>
        <v/>
      </c>
      <c r="O739" s="7" t="str">
        <f t="shared" si="472"/>
        <v/>
      </c>
      <c r="P739" s="7" t="str">
        <f>IF(I739=16,G739*H739*J739,"")</f>
        <v/>
      </c>
    </row>
    <row r="740" spans="1:16">
      <c r="A740" t="s">
        <v>77</v>
      </c>
      <c r="B740" s="53"/>
      <c r="C740" s="53"/>
      <c r="D740" s="43"/>
      <c r="E740" s="43"/>
      <c r="F740" s="43"/>
      <c r="G740" s="44">
        <v>1</v>
      </c>
      <c r="H740" s="44">
        <f>ROUNDUP((D735)/0.2,0)</f>
        <v>13</v>
      </c>
      <c r="I740" s="44">
        <v>6</v>
      </c>
      <c r="J740" s="44">
        <f>F735+22*(I740/1000)</f>
        <v>0.53200000000000003</v>
      </c>
      <c r="K740" s="7">
        <f t="shared" si="468"/>
        <v>6.9160000000000004</v>
      </c>
      <c r="L740" s="7" t="str">
        <f t="shared" si="469"/>
        <v/>
      </c>
      <c r="M740" s="7" t="str">
        <f t="shared" si="470"/>
        <v/>
      </c>
      <c r="N740" s="7" t="str">
        <f t="shared" si="471"/>
        <v/>
      </c>
      <c r="O740" s="7" t="str">
        <f t="shared" si="472"/>
        <v/>
      </c>
      <c r="P740" s="7" t="str">
        <f>IF(I740=16,G740*H740*J740,"")</f>
        <v/>
      </c>
    </row>
    <row r="741" spans="1:16">
      <c r="A741" s="50" t="s">
        <v>132</v>
      </c>
      <c r="B741" s="50" t="s">
        <v>115</v>
      </c>
      <c r="C741" s="51" t="s">
        <v>118</v>
      </c>
      <c r="D741">
        <v>3.82</v>
      </c>
      <c r="E741">
        <v>0.2</v>
      </c>
      <c r="F741">
        <v>0.45</v>
      </c>
    </row>
    <row r="742" spans="1:16">
      <c r="A742" t="s">
        <v>130</v>
      </c>
      <c r="B742" s="53"/>
      <c r="C742" s="53"/>
      <c r="D742" s="43"/>
      <c r="E742" s="43"/>
      <c r="F742" s="43"/>
      <c r="G742" s="44">
        <v>1</v>
      </c>
      <c r="H742" s="44">
        <v>6</v>
      </c>
      <c r="I742" s="44">
        <v>14</v>
      </c>
      <c r="J742" s="44">
        <f>D741+0.5</f>
        <v>4.32</v>
      </c>
      <c r="K742" s="7" t="str">
        <f t="shared" ref="K742:K745" si="474">IF(I742=6,G742*H742*J742,"")</f>
        <v/>
      </c>
      <c r="L742" s="7" t="str">
        <f t="shared" ref="L742:L745" si="475">IF(I742=8,G742*H742*J742,"")</f>
        <v/>
      </c>
      <c r="M742" s="7" t="str">
        <f t="shared" ref="M742:M745" si="476">IF(I742=10,G742*H742*J742,"")</f>
        <v/>
      </c>
      <c r="N742" s="7" t="str">
        <f t="shared" ref="N742:N745" si="477">IF(I742=12,G742*H742*J742,"")</f>
        <v/>
      </c>
      <c r="O742" s="7">
        <f t="shared" ref="O742:O745" si="478">IF(I742=14,G742*H742*J742,"")</f>
        <v>25.92</v>
      </c>
      <c r="P742" s="7" t="str">
        <f t="shared" ref="P742:P744" si="479">IF(I742=16,G742*H742*J742,"")</f>
        <v/>
      </c>
    </row>
    <row r="743" spans="1:16">
      <c r="A743" t="s">
        <v>134</v>
      </c>
      <c r="B743" s="53"/>
      <c r="C743" s="53"/>
      <c r="D743" s="43"/>
      <c r="E743" s="43"/>
      <c r="F743" s="43"/>
      <c r="G743" s="44">
        <v>1</v>
      </c>
      <c r="H743" s="44">
        <v>4</v>
      </c>
      <c r="I743" s="44">
        <v>12</v>
      </c>
      <c r="J743" s="44">
        <f>D741+0.5</f>
        <v>4.32</v>
      </c>
      <c r="K743" s="7" t="str">
        <f t="shared" si="474"/>
        <v/>
      </c>
      <c r="L743" s="7" t="str">
        <f t="shared" si="475"/>
        <v/>
      </c>
      <c r="M743" s="7" t="str">
        <f t="shared" si="476"/>
        <v/>
      </c>
      <c r="N743" s="7">
        <f t="shared" si="477"/>
        <v>17.28</v>
      </c>
      <c r="O743" s="7" t="str">
        <f t="shared" si="478"/>
        <v/>
      </c>
      <c r="P743" s="7" t="str">
        <f t="shared" si="479"/>
        <v/>
      </c>
    </row>
    <row r="744" spans="1:16">
      <c r="A744" t="s">
        <v>129</v>
      </c>
      <c r="B744" s="53"/>
      <c r="C744" s="53"/>
      <c r="D744" s="43"/>
      <c r="E744" s="43"/>
      <c r="F744" s="43"/>
      <c r="G744" s="44">
        <v>1</v>
      </c>
      <c r="H744" s="44">
        <v>4</v>
      </c>
      <c r="I744" s="44">
        <v>10</v>
      </c>
      <c r="J744" s="44">
        <f>D741+0.5</f>
        <v>4.32</v>
      </c>
      <c r="K744" s="7" t="str">
        <f t="shared" si="474"/>
        <v/>
      </c>
      <c r="L744" s="7" t="str">
        <f t="shared" si="475"/>
        <v/>
      </c>
      <c r="M744" s="7">
        <f t="shared" si="476"/>
        <v>17.28</v>
      </c>
      <c r="N744" s="7" t="str">
        <f t="shared" si="477"/>
        <v/>
      </c>
      <c r="O744" s="7" t="str">
        <f t="shared" si="478"/>
        <v/>
      </c>
      <c r="P744" s="7" t="str">
        <f t="shared" si="479"/>
        <v/>
      </c>
    </row>
    <row r="745" spans="1:16">
      <c r="A745" t="s">
        <v>76</v>
      </c>
      <c r="B745" s="53"/>
      <c r="C745" s="53"/>
      <c r="D745" s="43"/>
      <c r="E745" s="43"/>
      <c r="F745" s="43"/>
      <c r="G745" s="44">
        <v>1</v>
      </c>
      <c r="H745" s="44">
        <f>ROUNDUP((D741)/0.2,0)</f>
        <v>20</v>
      </c>
      <c r="I745" s="44">
        <v>6</v>
      </c>
      <c r="J745" s="44">
        <f>2*(E741+F741)+20.5*I745/1000</f>
        <v>1.423</v>
      </c>
      <c r="K745" s="7">
        <f t="shared" si="474"/>
        <v>28.46</v>
      </c>
      <c r="L745" s="7" t="str">
        <f t="shared" si="475"/>
        <v/>
      </c>
      <c r="M745" s="7" t="str">
        <f t="shared" si="476"/>
        <v/>
      </c>
      <c r="N745" s="7" t="str">
        <f t="shared" si="477"/>
        <v/>
      </c>
      <c r="O745" s="7" t="str">
        <f t="shared" si="478"/>
        <v/>
      </c>
      <c r="P745" s="7" t="str">
        <f>IF(I745=16,G745*H745*J745,"")</f>
        <v/>
      </c>
    </row>
    <row r="746" spans="1:16">
      <c r="A746" s="50" t="s">
        <v>137</v>
      </c>
      <c r="B746" s="53" t="s">
        <v>8</v>
      </c>
      <c r="C746" s="23" t="s">
        <v>147</v>
      </c>
      <c r="D746" s="84">
        <f>2.48+7.25/2</f>
        <v>6.1050000000000004</v>
      </c>
      <c r="E746" s="84">
        <v>0.2</v>
      </c>
      <c r="F746" s="84">
        <v>0.2</v>
      </c>
      <c r="G746" s="44"/>
      <c r="H746" s="44"/>
      <c r="I746" s="44"/>
      <c r="J746" s="44"/>
    </row>
    <row r="747" spans="1:16">
      <c r="A747" t="s">
        <v>130</v>
      </c>
      <c r="B747" s="53"/>
      <c r="C747" s="53"/>
      <c r="D747" s="43"/>
      <c r="E747" s="43"/>
      <c r="F747" s="43"/>
      <c r="G747" s="44">
        <v>1</v>
      </c>
      <c r="H747" s="44">
        <v>4</v>
      </c>
      <c r="I747" s="44">
        <v>14</v>
      </c>
      <c r="J747" s="44">
        <f>D746+0.5</f>
        <v>6.6050000000000004</v>
      </c>
      <c r="K747" s="7" t="str">
        <f t="shared" ref="K747:K749" si="480">IF(I747=6,G747*H747*J747,"")</f>
        <v/>
      </c>
      <c r="L747" s="7" t="str">
        <f t="shared" ref="L747:L749" si="481">IF(I747=8,G747*H747*J747,"")</f>
        <v/>
      </c>
      <c r="M747" s="7" t="str">
        <f t="shared" ref="M747:M749" si="482">IF(I747=10,G747*H747*J747,"")</f>
        <v/>
      </c>
      <c r="N747" s="7" t="str">
        <f t="shared" ref="N747:N749" si="483">IF(I747=12,G747*H747*J747,"")</f>
        <v/>
      </c>
      <c r="O747" s="7">
        <f t="shared" ref="O747:O749" si="484">IF(I747=14,G747*H747*J747,"")</f>
        <v>26.42</v>
      </c>
      <c r="P747" s="7" t="str">
        <f t="shared" ref="P747:P748" si="485">IF(I747=16,G747*H747*J747,"")</f>
        <v/>
      </c>
    </row>
    <row r="748" spans="1:16">
      <c r="A748" t="s">
        <v>129</v>
      </c>
      <c r="B748" s="53"/>
      <c r="C748" s="53"/>
      <c r="D748" s="43"/>
      <c r="E748" s="43"/>
      <c r="F748" s="43"/>
      <c r="G748" s="44">
        <v>1</v>
      </c>
      <c r="H748" s="44">
        <v>2</v>
      </c>
      <c r="I748" s="44">
        <v>12</v>
      </c>
      <c r="J748" s="44">
        <f>D746+0.5</f>
        <v>6.6050000000000004</v>
      </c>
      <c r="K748" s="7" t="str">
        <f t="shared" si="480"/>
        <v/>
      </c>
      <c r="L748" s="7" t="str">
        <f t="shared" si="481"/>
        <v/>
      </c>
      <c r="M748" s="7" t="str">
        <f t="shared" si="482"/>
        <v/>
      </c>
      <c r="N748" s="7">
        <f t="shared" si="483"/>
        <v>13.21</v>
      </c>
      <c r="O748" s="7" t="str">
        <f t="shared" si="484"/>
        <v/>
      </c>
      <c r="P748" s="7" t="str">
        <f t="shared" si="485"/>
        <v/>
      </c>
    </row>
    <row r="749" spans="1:16">
      <c r="A749" t="s">
        <v>76</v>
      </c>
      <c r="B749" s="53"/>
      <c r="C749" s="53"/>
      <c r="D749" s="43"/>
      <c r="E749" s="43"/>
      <c r="F749" s="43"/>
      <c r="G749" s="44">
        <v>1</v>
      </c>
      <c r="H749" s="44">
        <f>ROUNDUP((D746)/0.2,0)</f>
        <v>31</v>
      </c>
      <c r="I749" s="44">
        <v>6</v>
      </c>
      <c r="J749" s="44">
        <f>2*(E746+F746)+20.5*I749/1000</f>
        <v>0.92300000000000004</v>
      </c>
      <c r="K749" s="7">
        <f t="shared" si="480"/>
        <v>28.613</v>
      </c>
      <c r="L749" s="7" t="str">
        <f t="shared" si="481"/>
        <v/>
      </c>
      <c r="M749" s="7" t="str">
        <f t="shared" si="482"/>
        <v/>
      </c>
      <c r="N749" s="7" t="str">
        <f t="shared" si="483"/>
        <v/>
      </c>
      <c r="O749" s="7" t="str">
        <f t="shared" si="484"/>
        <v/>
      </c>
      <c r="P749" s="7" t="str">
        <f>IF(I749=16,G749*H749*J749,"")</f>
        <v/>
      </c>
    </row>
    <row r="750" spans="1:16">
      <c r="A750" s="50" t="s">
        <v>137</v>
      </c>
      <c r="B750" s="53" t="s">
        <v>8</v>
      </c>
      <c r="C750" s="23" t="s">
        <v>144</v>
      </c>
      <c r="D750" s="84">
        <f>7.25/2+2.38</f>
        <v>6.0049999999999999</v>
      </c>
      <c r="E750" s="84">
        <v>0.2</v>
      </c>
      <c r="F750" s="84">
        <v>0.2</v>
      </c>
      <c r="G750" s="44"/>
      <c r="H750" s="44"/>
      <c r="I750" s="44"/>
      <c r="J750" s="44"/>
    </row>
    <row r="751" spans="1:16">
      <c r="A751" t="s">
        <v>130</v>
      </c>
      <c r="B751" s="53"/>
      <c r="C751" s="53"/>
      <c r="D751" s="43"/>
      <c r="E751" s="43"/>
      <c r="F751" s="43"/>
      <c r="G751" s="44">
        <v>1</v>
      </c>
      <c r="H751" s="44">
        <v>4</v>
      </c>
      <c r="I751" s="44">
        <v>14</v>
      </c>
      <c r="J751" s="44">
        <f>D750+0.5</f>
        <v>6.5049999999999999</v>
      </c>
      <c r="K751" s="7" t="str">
        <f t="shared" ref="K751:K753" si="486">IF(I751=6,G751*H751*J751,"")</f>
        <v/>
      </c>
      <c r="L751" s="7" t="str">
        <f t="shared" ref="L751:L753" si="487">IF(I751=8,G751*H751*J751,"")</f>
        <v/>
      </c>
      <c r="M751" s="7" t="str">
        <f t="shared" ref="M751:M753" si="488">IF(I751=10,G751*H751*J751,"")</f>
        <v/>
      </c>
      <c r="N751" s="7" t="str">
        <f t="shared" ref="N751:N753" si="489">IF(I751=12,G751*H751*J751,"")</f>
        <v/>
      </c>
      <c r="O751" s="7">
        <f t="shared" ref="O751:O753" si="490">IF(I751=14,G751*H751*J751,"")</f>
        <v>26.02</v>
      </c>
      <c r="P751" s="7" t="str">
        <f t="shared" ref="P751:P752" si="491">IF(I751=16,G751*H751*J751,"")</f>
        <v/>
      </c>
    </row>
    <row r="752" spans="1:16">
      <c r="A752" t="s">
        <v>129</v>
      </c>
      <c r="B752" s="53"/>
      <c r="C752" s="53"/>
      <c r="D752" s="43"/>
      <c r="E752" s="43"/>
      <c r="F752" s="43"/>
      <c r="G752" s="44">
        <v>1</v>
      </c>
      <c r="H752" s="44">
        <v>2</v>
      </c>
      <c r="I752" s="44">
        <v>12</v>
      </c>
      <c r="J752" s="44">
        <f>D750+0.5</f>
        <v>6.5049999999999999</v>
      </c>
      <c r="K752" s="7" t="str">
        <f t="shared" si="486"/>
        <v/>
      </c>
      <c r="L752" s="7" t="str">
        <f t="shared" si="487"/>
        <v/>
      </c>
      <c r="M752" s="7" t="str">
        <f t="shared" si="488"/>
        <v/>
      </c>
      <c r="N752" s="7">
        <f t="shared" si="489"/>
        <v>13.01</v>
      </c>
      <c r="O752" s="7" t="str">
        <f t="shared" si="490"/>
        <v/>
      </c>
      <c r="P752" s="7" t="str">
        <f t="shared" si="491"/>
        <v/>
      </c>
    </row>
    <row r="753" spans="1:16">
      <c r="A753" t="s">
        <v>76</v>
      </c>
      <c r="B753" s="53"/>
      <c r="C753" s="53"/>
      <c r="D753" s="43"/>
      <c r="E753" s="43"/>
      <c r="F753" s="43"/>
      <c r="G753" s="44">
        <v>1</v>
      </c>
      <c r="H753" s="44">
        <f>ROUNDUP((D750)/0.2,0)</f>
        <v>31</v>
      </c>
      <c r="I753" s="44">
        <v>6</v>
      </c>
      <c r="J753" s="44">
        <f>2*(E750+F750)+20.5*I753/1000</f>
        <v>0.92300000000000004</v>
      </c>
      <c r="K753" s="7">
        <f t="shared" si="486"/>
        <v>28.613</v>
      </c>
      <c r="L753" s="7" t="str">
        <f t="shared" si="487"/>
        <v/>
      </c>
      <c r="M753" s="7" t="str">
        <f t="shared" si="488"/>
        <v/>
      </c>
      <c r="N753" s="7" t="str">
        <f t="shared" si="489"/>
        <v/>
      </c>
      <c r="O753" s="7" t="str">
        <f t="shared" si="490"/>
        <v/>
      </c>
      <c r="P753" s="7" t="str">
        <f>IF(I753=16,G753*H753*J753,"")</f>
        <v/>
      </c>
    </row>
    <row r="754" spans="1:16">
      <c r="A754" s="50" t="s">
        <v>137</v>
      </c>
      <c r="B754" s="53" t="s">
        <v>7</v>
      </c>
      <c r="C754" s="23" t="s">
        <v>70</v>
      </c>
      <c r="D754" s="84">
        <v>4.78</v>
      </c>
      <c r="E754" s="84">
        <v>0.2</v>
      </c>
      <c r="F754" s="84">
        <v>0.2</v>
      </c>
      <c r="G754" s="44"/>
      <c r="H754" s="44"/>
      <c r="I754" s="44"/>
      <c r="J754" s="44"/>
    </row>
    <row r="755" spans="1:16">
      <c r="A755" t="s">
        <v>130</v>
      </c>
      <c r="B755" s="53"/>
      <c r="C755" s="53"/>
      <c r="D755" s="43"/>
      <c r="E755" s="43"/>
      <c r="F755" s="43"/>
      <c r="G755" s="44">
        <v>1</v>
      </c>
      <c r="H755" s="44">
        <v>4</v>
      </c>
      <c r="I755" s="44">
        <v>14</v>
      </c>
      <c r="J755" s="44">
        <f>D754+0.5</f>
        <v>5.28</v>
      </c>
      <c r="K755" s="7" t="str">
        <f t="shared" ref="K755:K757" si="492">IF(I755=6,G755*H755*J755,"")</f>
        <v/>
      </c>
      <c r="L755" s="7" t="str">
        <f t="shared" ref="L755:L757" si="493">IF(I755=8,G755*H755*J755,"")</f>
        <v/>
      </c>
      <c r="M755" s="7" t="str">
        <f t="shared" ref="M755:M757" si="494">IF(I755=10,G755*H755*J755,"")</f>
        <v/>
      </c>
      <c r="N755" s="7" t="str">
        <f t="shared" ref="N755:N757" si="495">IF(I755=12,G755*H755*J755,"")</f>
        <v/>
      </c>
      <c r="O755" s="7">
        <f t="shared" ref="O755:O757" si="496">IF(I755=14,G755*H755*J755,"")</f>
        <v>21.12</v>
      </c>
      <c r="P755" s="7" t="str">
        <f t="shared" ref="P755:P756" si="497">IF(I755=16,G755*H755*J755,"")</f>
        <v/>
      </c>
    </row>
    <row r="756" spans="1:16">
      <c r="A756" t="s">
        <v>129</v>
      </c>
      <c r="B756" s="53"/>
      <c r="C756" s="53"/>
      <c r="D756" s="43"/>
      <c r="E756" s="43"/>
      <c r="F756" s="43"/>
      <c r="G756" s="44">
        <v>1</v>
      </c>
      <c r="H756" s="44">
        <v>2</v>
      </c>
      <c r="I756" s="44">
        <v>12</v>
      </c>
      <c r="J756" s="44">
        <f>D754+0.5</f>
        <v>5.28</v>
      </c>
      <c r="K756" s="7" t="str">
        <f t="shared" si="492"/>
        <v/>
      </c>
      <c r="L756" s="7" t="str">
        <f t="shared" si="493"/>
        <v/>
      </c>
      <c r="M756" s="7" t="str">
        <f t="shared" si="494"/>
        <v/>
      </c>
      <c r="N756" s="7">
        <f t="shared" si="495"/>
        <v>10.56</v>
      </c>
      <c r="O756" s="7" t="str">
        <f t="shared" si="496"/>
        <v/>
      </c>
      <c r="P756" s="7" t="str">
        <f t="shared" si="497"/>
        <v/>
      </c>
    </row>
    <row r="757" spans="1:16">
      <c r="A757" t="s">
        <v>76</v>
      </c>
      <c r="B757" s="53"/>
      <c r="C757" s="53"/>
      <c r="D757" s="43"/>
      <c r="E757" s="43"/>
      <c r="F757" s="43"/>
      <c r="G757" s="44">
        <v>1</v>
      </c>
      <c r="H757" s="44">
        <f>ROUNDUP((D754)/0.2,0)</f>
        <v>24</v>
      </c>
      <c r="I757" s="44">
        <v>6</v>
      </c>
      <c r="J757" s="44">
        <f>2*(E754+F754)+20.5*I757/1000</f>
        <v>0.92300000000000004</v>
      </c>
      <c r="K757" s="7">
        <f t="shared" si="492"/>
        <v>22.152000000000001</v>
      </c>
      <c r="L757" s="7" t="str">
        <f t="shared" si="493"/>
        <v/>
      </c>
      <c r="M757" s="7" t="str">
        <f t="shared" si="494"/>
        <v/>
      </c>
      <c r="N757" s="7" t="str">
        <f t="shared" si="495"/>
        <v/>
      </c>
      <c r="O757" s="7" t="str">
        <f t="shared" si="496"/>
        <v/>
      </c>
      <c r="P757" s="7" t="str">
        <f>IF(I757=16,G757*H757*J757,"")</f>
        <v/>
      </c>
    </row>
    <row r="758" spans="1:16">
      <c r="A758" s="50" t="s">
        <v>137</v>
      </c>
      <c r="B758" s="53" t="s">
        <v>9</v>
      </c>
      <c r="C758" s="23" t="s">
        <v>70</v>
      </c>
      <c r="D758" s="84">
        <v>4.78</v>
      </c>
      <c r="E758" s="84">
        <v>0.2</v>
      </c>
      <c r="F758" s="84">
        <v>0.2</v>
      </c>
      <c r="G758" s="44"/>
      <c r="H758" s="44"/>
      <c r="I758" s="44"/>
      <c r="J758" s="44"/>
    </row>
    <row r="759" spans="1:16">
      <c r="A759" t="s">
        <v>130</v>
      </c>
      <c r="B759" s="53"/>
      <c r="C759" s="53"/>
      <c r="D759" s="43"/>
      <c r="E759" s="43"/>
      <c r="F759" s="43"/>
      <c r="G759" s="44">
        <v>1</v>
      </c>
      <c r="H759" s="44">
        <v>4</v>
      </c>
      <c r="I759" s="44">
        <v>14</v>
      </c>
      <c r="J759" s="44">
        <f>D758+0.5</f>
        <v>5.28</v>
      </c>
      <c r="K759" s="7" t="str">
        <f t="shared" ref="K759:K761" si="498">IF(I759=6,G759*H759*J759,"")</f>
        <v/>
      </c>
      <c r="L759" s="7" t="str">
        <f t="shared" ref="L759:L761" si="499">IF(I759=8,G759*H759*J759,"")</f>
        <v/>
      </c>
      <c r="M759" s="7" t="str">
        <f t="shared" ref="M759:M761" si="500">IF(I759=10,G759*H759*J759,"")</f>
        <v/>
      </c>
      <c r="N759" s="7" t="str">
        <f t="shared" ref="N759:N761" si="501">IF(I759=12,G759*H759*J759,"")</f>
        <v/>
      </c>
      <c r="O759" s="7">
        <f t="shared" ref="O759:O761" si="502">IF(I759=14,G759*H759*J759,"")</f>
        <v>21.12</v>
      </c>
      <c r="P759" s="7" t="str">
        <f t="shared" ref="P759:P760" si="503">IF(I759=16,G759*H759*J759,"")</f>
        <v/>
      </c>
    </row>
    <row r="760" spans="1:16">
      <c r="A760" t="s">
        <v>129</v>
      </c>
      <c r="B760" s="53"/>
      <c r="C760" s="53"/>
      <c r="D760" s="43"/>
      <c r="E760" s="43"/>
      <c r="F760" s="43"/>
      <c r="G760" s="44">
        <v>1</v>
      </c>
      <c r="H760" s="44">
        <v>2</v>
      </c>
      <c r="I760" s="44">
        <v>12</v>
      </c>
      <c r="J760" s="44">
        <f>D758+0.5</f>
        <v>5.28</v>
      </c>
      <c r="K760" s="7" t="str">
        <f t="shared" si="498"/>
        <v/>
      </c>
      <c r="L760" s="7" t="str">
        <f t="shared" si="499"/>
        <v/>
      </c>
      <c r="M760" s="7" t="str">
        <f t="shared" si="500"/>
        <v/>
      </c>
      <c r="N760" s="7">
        <f t="shared" si="501"/>
        <v>10.56</v>
      </c>
      <c r="O760" s="7" t="str">
        <f t="shared" si="502"/>
        <v/>
      </c>
      <c r="P760" s="7" t="str">
        <f t="shared" si="503"/>
        <v/>
      </c>
    </row>
    <row r="761" spans="1:16">
      <c r="A761" t="s">
        <v>76</v>
      </c>
      <c r="B761" s="53"/>
      <c r="C761" s="53"/>
      <c r="D761" s="43"/>
      <c r="E761" s="43"/>
      <c r="F761" s="43"/>
      <c r="G761" s="44">
        <v>1</v>
      </c>
      <c r="H761" s="44">
        <f>ROUNDUP((D758)/0.2,0)</f>
        <v>24</v>
      </c>
      <c r="I761" s="44">
        <v>6</v>
      </c>
      <c r="J761" s="44">
        <f>2*(E758+F758)+20.5*I761/1000</f>
        <v>0.92300000000000004</v>
      </c>
      <c r="K761" s="7">
        <f t="shared" si="498"/>
        <v>22.152000000000001</v>
      </c>
      <c r="L761" s="7" t="str">
        <f t="shared" si="499"/>
        <v/>
      </c>
      <c r="M761" s="7" t="str">
        <f t="shared" si="500"/>
        <v/>
      </c>
      <c r="N761" s="7" t="str">
        <f t="shared" si="501"/>
        <v/>
      </c>
      <c r="O761" s="7" t="str">
        <f t="shared" si="502"/>
        <v/>
      </c>
      <c r="P761" s="7" t="str">
        <f>IF(I761=16,G761*H761*J761,"")</f>
        <v/>
      </c>
    </row>
    <row r="762" spans="1:16">
      <c r="A762" s="50" t="s">
        <v>137</v>
      </c>
      <c r="B762" s="53" t="s">
        <v>7</v>
      </c>
      <c r="C762" s="23" t="s">
        <v>110</v>
      </c>
      <c r="D762" s="84">
        <v>2.65</v>
      </c>
      <c r="E762" s="84">
        <v>0.2</v>
      </c>
      <c r="F762" s="84">
        <v>0.2</v>
      </c>
      <c r="G762" s="44"/>
      <c r="H762" s="44"/>
      <c r="I762" s="44"/>
      <c r="J762" s="44"/>
    </row>
    <row r="763" spans="1:16">
      <c r="A763" t="s">
        <v>130</v>
      </c>
      <c r="B763" s="53"/>
      <c r="C763" s="53"/>
      <c r="D763" s="43"/>
      <c r="E763" s="43"/>
      <c r="F763" s="43"/>
      <c r="G763" s="44">
        <v>1</v>
      </c>
      <c r="H763" s="44">
        <v>4</v>
      </c>
      <c r="I763" s="44">
        <v>14</v>
      </c>
      <c r="J763" s="44">
        <f>D762+0.5</f>
        <v>3.15</v>
      </c>
      <c r="K763" s="7" t="str">
        <f t="shared" ref="K763:K765" si="504">IF(I763=6,G763*H763*J763,"")</f>
        <v/>
      </c>
      <c r="L763" s="7" t="str">
        <f t="shared" ref="L763:L765" si="505">IF(I763=8,G763*H763*J763,"")</f>
        <v/>
      </c>
      <c r="M763" s="7" t="str">
        <f t="shared" ref="M763:M765" si="506">IF(I763=10,G763*H763*J763,"")</f>
        <v/>
      </c>
      <c r="N763" s="7" t="str">
        <f t="shared" ref="N763:N765" si="507">IF(I763=12,G763*H763*J763,"")</f>
        <v/>
      </c>
      <c r="O763" s="7">
        <f t="shared" ref="O763:O765" si="508">IF(I763=14,G763*H763*J763,"")</f>
        <v>12.6</v>
      </c>
      <c r="P763" s="7" t="str">
        <f t="shared" ref="P763:P764" si="509">IF(I763=16,G763*H763*J763,"")</f>
        <v/>
      </c>
    </row>
    <row r="764" spans="1:16">
      <c r="A764" t="s">
        <v>129</v>
      </c>
      <c r="B764" s="53"/>
      <c r="C764" s="53"/>
      <c r="D764" s="43"/>
      <c r="E764" s="43"/>
      <c r="F764" s="43"/>
      <c r="G764" s="44">
        <v>1</v>
      </c>
      <c r="H764" s="44">
        <v>2</v>
      </c>
      <c r="I764" s="44">
        <v>12</v>
      </c>
      <c r="J764" s="44">
        <f>D762+0.5</f>
        <v>3.15</v>
      </c>
      <c r="K764" s="7" t="str">
        <f t="shared" si="504"/>
        <v/>
      </c>
      <c r="L764" s="7" t="str">
        <f t="shared" si="505"/>
        <v/>
      </c>
      <c r="M764" s="7" t="str">
        <f t="shared" si="506"/>
        <v/>
      </c>
      <c r="N764" s="7">
        <f t="shared" si="507"/>
        <v>6.3</v>
      </c>
      <c r="O764" s="7" t="str">
        <f t="shared" si="508"/>
        <v/>
      </c>
      <c r="P764" s="7" t="str">
        <f t="shared" si="509"/>
        <v/>
      </c>
    </row>
    <row r="765" spans="1:16">
      <c r="A765" t="s">
        <v>76</v>
      </c>
      <c r="B765" s="53"/>
      <c r="C765" s="53"/>
      <c r="D765" s="43"/>
      <c r="E765" s="43"/>
      <c r="F765" s="43"/>
      <c r="G765" s="44">
        <v>1</v>
      </c>
      <c r="H765" s="44">
        <f>ROUNDUP((D762)/0.2,0)</f>
        <v>14</v>
      </c>
      <c r="I765" s="44">
        <v>6</v>
      </c>
      <c r="J765" s="44">
        <f>2*(E762+F762)+20.5*I765/1000</f>
        <v>0.92300000000000004</v>
      </c>
      <c r="K765" s="7">
        <f t="shared" si="504"/>
        <v>12.922000000000001</v>
      </c>
      <c r="L765" s="7" t="str">
        <f t="shared" si="505"/>
        <v/>
      </c>
      <c r="M765" s="7" t="str">
        <f t="shared" si="506"/>
        <v/>
      </c>
      <c r="N765" s="7" t="str">
        <f t="shared" si="507"/>
        <v/>
      </c>
      <c r="O765" s="7" t="str">
        <f t="shared" si="508"/>
        <v/>
      </c>
      <c r="P765" s="7" t="str">
        <f>IF(I765=16,G765*H765*J765,"")</f>
        <v/>
      </c>
    </row>
    <row r="766" spans="1:16">
      <c r="A766" s="50" t="s">
        <v>137</v>
      </c>
      <c r="B766" s="53" t="s">
        <v>9</v>
      </c>
      <c r="C766" s="23" t="s">
        <v>110</v>
      </c>
      <c r="D766" s="84">
        <v>2.65</v>
      </c>
      <c r="E766" s="84">
        <v>0.2</v>
      </c>
      <c r="F766" s="84">
        <v>0.2</v>
      </c>
      <c r="G766" s="44"/>
      <c r="H766" s="44"/>
      <c r="I766" s="44"/>
      <c r="J766" s="44"/>
    </row>
    <row r="767" spans="1:16">
      <c r="A767" t="s">
        <v>130</v>
      </c>
      <c r="B767" s="53"/>
      <c r="C767" s="53"/>
      <c r="D767" s="43"/>
      <c r="E767" s="43"/>
      <c r="F767" s="43"/>
      <c r="G767" s="44">
        <v>1</v>
      </c>
      <c r="H767" s="44">
        <v>4</v>
      </c>
      <c r="I767" s="44">
        <v>14</v>
      </c>
      <c r="J767" s="44">
        <f>D766+0.5</f>
        <v>3.15</v>
      </c>
      <c r="K767" s="7" t="str">
        <f t="shared" ref="K767:K769" si="510">IF(I767=6,G767*H767*J767,"")</f>
        <v/>
      </c>
      <c r="L767" s="7" t="str">
        <f t="shared" ref="L767:L769" si="511">IF(I767=8,G767*H767*J767,"")</f>
        <v/>
      </c>
      <c r="M767" s="7" t="str">
        <f t="shared" ref="M767:M769" si="512">IF(I767=10,G767*H767*J767,"")</f>
        <v/>
      </c>
      <c r="N767" s="7" t="str">
        <f t="shared" ref="N767:N769" si="513">IF(I767=12,G767*H767*J767,"")</f>
        <v/>
      </c>
      <c r="O767" s="7">
        <f t="shared" ref="O767:O769" si="514">IF(I767=14,G767*H767*J767,"")</f>
        <v>12.6</v>
      </c>
      <c r="P767" s="7" t="str">
        <f t="shared" ref="P767:P768" si="515">IF(I767=16,G767*H767*J767,"")</f>
        <v/>
      </c>
    </row>
    <row r="768" spans="1:16">
      <c r="A768" t="s">
        <v>129</v>
      </c>
      <c r="B768" s="53"/>
      <c r="C768" s="53"/>
      <c r="D768" s="43"/>
      <c r="E768" s="43"/>
      <c r="F768" s="43"/>
      <c r="G768" s="44">
        <v>1</v>
      </c>
      <c r="H768" s="44">
        <v>2</v>
      </c>
      <c r="I768" s="44">
        <v>12</v>
      </c>
      <c r="J768" s="44">
        <f>D766+0.5</f>
        <v>3.15</v>
      </c>
      <c r="K768" s="7" t="str">
        <f t="shared" si="510"/>
        <v/>
      </c>
      <c r="L768" s="7" t="str">
        <f t="shared" si="511"/>
        <v/>
      </c>
      <c r="M768" s="7" t="str">
        <f t="shared" si="512"/>
        <v/>
      </c>
      <c r="N768" s="7">
        <f t="shared" si="513"/>
        <v>6.3</v>
      </c>
      <c r="O768" s="7" t="str">
        <f t="shared" si="514"/>
        <v/>
      </c>
      <c r="P768" s="7" t="str">
        <f t="shared" si="515"/>
        <v/>
      </c>
    </row>
    <row r="769" spans="1:19">
      <c r="A769" t="s">
        <v>76</v>
      </c>
      <c r="B769" s="53"/>
      <c r="C769" s="53"/>
      <c r="D769" s="43"/>
      <c r="E769" s="43"/>
      <c r="F769" s="43"/>
      <c r="G769" s="44">
        <v>1</v>
      </c>
      <c r="H769" s="44">
        <f>ROUNDUP((D766)/0.2,0)</f>
        <v>14</v>
      </c>
      <c r="I769" s="44">
        <v>6</v>
      </c>
      <c r="J769" s="44">
        <f>2*(E766+F766)+20.5*I769/1000</f>
        <v>0.92300000000000004</v>
      </c>
      <c r="K769" s="7">
        <f t="shared" si="510"/>
        <v>12.922000000000001</v>
      </c>
      <c r="L769" s="7" t="str">
        <f t="shared" si="511"/>
        <v/>
      </c>
      <c r="M769" s="7" t="str">
        <f t="shared" si="512"/>
        <v/>
      </c>
      <c r="N769" s="7" t="str">
        <f t="shared" si="513"/>
        <v/>
      </c>
      <c r="O769" s="7" t="str">
        <f t="shared" si="514"/>
        <v/>
      </c>
      <c r="P769" s="7" t="str">
        <f>IF(I769=16,G769*H769*J769,"")</f>
        <v/>
      </c>
    </row>
    <row r="770" spans="1:19">
      <c r="A770" s="50" t="s">
        <v>137</v>
      </c>
      <c r="B770" s="53" t="s">
        <v>7</v>
      </c>
      <c r="C770" s="23" t="s">
        <v>111</v>
      </c>
      <c r="D770" s="84">
        <v>4.5999999999999996</v>
      </c>
      <c r="E770" s="84">
        <v>0.2</v>
      </c>
      <c r="F770" s="84">
        <v>0.2</v>
      </c>
      <c r="G770" s="44"/>
      <c r="H770" s="44"/>
      <c r="I770" s="44"/>
      <c r="J770" s="44"/>
    </row>
    <row r="771" spans="1:19">
      <c r="A771" t="s">
        <v>130</v>
      </c>
      <c r="B771" s="53"/>
      <c r="C771" s="53"/>
      <c r="D771" s="43"/>
      <c r="E771" s="43"/>
      <c r="F771" s="43"/>
      <c r="G771" s="44">
        <v>1</v>
      </c>
      <c r="H771" s="44">
        <v>4</v>
      </c>
      <c r="I771" s="44">
        <v>14</v>
      </c>
      <c r="J771" s="44">
        <f>D770+0.5</f>
        <v>5.0999999999999996</v>
      </c>
      <c r="K771" s="7" t="str">
        <f t="shared" ref="K771:K773" si="516">IF(I771=6,G771*H771*J771,"")</f>
        <v/>
      </c>
      <c r="L771" s="7" t="str">
        <f t="shared" ref="L771:L773" si="517">IF(I771=8,G771*H771*J771,"")</f>
        <v/>
      </c>
      <c r="M771" s="7" t="str">
        <f t="shared" ref="M771:M773" si="518">IF(I771=10,G771*H771*J771,"")</f>
        <v/>
      </c>
      <c r="N771" s="7" t="str">
        <f t="shared" ref="N771:N773" si="519">IF(I771=12,G771*H771*J771,"")</f>
        <v/>
      </c>
      <c r="O771" s="7">
        <f t="shared" ref="O771:O773" si="520">IF(I771=14,G771*H771*J771,"")</f>
        <v>20.399999999999999</v>
      </c>
      <c r="P771" s="7" t="str">
        <f t="shared" ref="P771:P772" si="521">IF(I771=16,G771*H771*J771,"")</f>
        <v/>
      </c>
    </row>
    <row r="772" spans="1:19">
      <c r="A772" t="s">
        <v>129</v>
      </c>
      <c r="B772" s="53"/>
      <c r="C772" s="53"/>
      <c r="D772" s="43"/>
      <c r="E772" s="43"/>
      <c r="F772" s="43"/>
      <c r="G772" s="44">
        <v>1</v>
      </c>
      <c r="H772" s="44">
        <v>2</v>
      </c>
      <c r="I772" s="44">
        <v>12</v>
      </c>
      <c r="J772" s="44">
        <f>D770+0.5</f>
        <v>5.0999999999999996</v>
      </c>
      <c r="K772" s="7" t="str">
        <f t="shared" si="516"/>
        <v/>
      </c>
      <c r="L772" s="7" t="str">
        <f t="shared" si="517"/>
        <v/>
      </c>
      <c r="M772" s="7" t="str">
        <f t="shared" si="518"/>
        <v/>
      </c>
      <c r="N772" s="7">
        <f t="shared" si="519"/>
        <v>10.199999999999999</v>
      </c>
      <c r="O772" s="7" t="str">
        <f t="shared" si="520"/>
        <v/>
      </c>
      <c r="P772" s="7" t="str">
        <f t="shared" si="521"/>
        <v/>
      </c>
    </row>
    <row r="773" spans="1:19">
      <c r="A773" t="s">
        <v>76</v>
      </c>
      <c r="B773" s="53"/>
      <c r="C773" s="53"/>
      <c r="D773" s="43"/>
      <c r="E773" s="43"/>
      <c r="F773" s="43"/>
      <c r="G773" s="44">
        <v>1</v>
      </c>
      <c r="H773" s="44">
        <f>ROUNDUP((D770)/0.2,0)</f>
        <v>23</v>
      </c>
      <c r="I773" s="44">
        <v>6</v>
      </c>
      <c r="J773" s="44">
        <f>2*(E770+F770)+20.5*I773/1000</f>
        <v>0.92300000000000004</v>
      </c>
      <c r="K773" s="7">
        <f t="shared" si="516"/>
        <v>21.228999999999999</v>
      </c>
      <c r="L773" s="7" t="str">
        <f t="shared" si="517"/>
        <v/>
      </c>
      <c r="M773" s="7" t="str">
        <f t="shared" si="518"/>
        <v/>
      </c>
      <c r="N773" s="7" t="str">
        <f t="shared" si="519"/>
        <v/>
      </c>
      <c r="O773" s="7" t="str">
        <f t="shared" si="520"/>
        <v/>
      </c>
      <c r="P773" s="7" t="str">
        <f>IF(I773=16,G773*H773*J773,"")</f>
        <v/>
      </c>
    </row>
    <row r="774" spans="1:19">
      <c r="A774" s="50" t="s">
        <v>137</v>
      </c>
      <c r="B774" s="53" t="s">
        <v>9</v>
      </c>
      <c r="C774" s="23" t="s">
        <v>111</v>
      </c>
      <c r="D774" s="84">
        <v>4.5999999999999996</v>
      </c>
      <c r="E774" s="84">
        <v>0.2</v>
      </c>
      <c r="F774" s="84">
        <v>0.2</v>
      </c>
      <c r="G774" s="44"/>
      <c r="H774" s="44"/>
      <c r="I774" s="44"/>
      <c r="J774" s="44"/>
    </row>
    <row r="775" spans="1:19">
      <c r="A775" t="s">
        <v>130</v>
      </c>
      <c r="B775" s="53"/>
      <c r="C775" s="53"/>
      <c r="D775" s="43"/>
      <c r="E775" s="43"/>
      <c r="F775" s="43"/>
      <c r="G775" s="44">
        <v>1</v>
      </c>
      <c r="H775" s="44">
        <v>4</v>
      </c>
      <c r="I775" s="44">
        <v>14</v>
      </c>
      <c r="J775" s="44">
        <f>D774+0.5</f>
        <v>5.0999999999999996</v>
      </c>
      <c r="K775" s="7" t="str">
        <f t="shared" ref="K775:K777" si="522">IF(I775=6,G775*H775*J775,"")</f>
        <v/>
      </c>
      <c r="L775" s="7" t="str">
        <f t="shared" ref="L775:L777" si="523">IF(I775=8,G775*H775*J775,"")</f>
        <v/>
      </c>
      <c r="M775" s="7" t="str">
        <f t="shared" ref="M775:M777" si="524">IF(I775=10,G775*H775*J775,"")</f>
        <v/>
      </c>
      <c r="N775" s="7" t="str">
        <f t="shared" ref="N775:N777" si="525">IF(I775=12,G775*H775*J775,"")</f>
        <v/>
      </c>
      <c r="O775" s="7">
        <f t="shared" ref="O775:O777" si="526">IF(I775=14,G775*H775*J775,"")</f>
        <v>20.399999999999999</v>
      </c>
      <c r="P775" s="7" t="str">
        <f t="shared" ref="P775:P776" si="527">IF(I775=16,G775*H775*J775,"")</f>
        <v/>
      </c>
    </row>
    <row r="776" spans="1:19">
      <c r="A776" t="s">
        <v>129</v>
      </c>
      <c r="B776" s="53"/>
      <c r="C776" s="53"/>
      <c r="D776" s="43"/>
      <c r="E776" s="43"/>
      <c r="F776" s="43"/>
      <c r="G776" s="44">
        <v>1</v>
      </c>
      <c r="H776" s="44">
        <v>2</v>
      </c>
      <c r="I776" s="44">
        <v>12</v>
      </c>
      <c r="J776" s="44">
        <f>D774+0.5</f>
        <v>5.0999999999999996</v>
      </c>
      <c r="K776" s="7" t="str">
        <f t="shared" si="522"/>
        <v/>
      </c>
      <c r="L776" s="7" t="str">
        <f t="shared" si="523"/>
        <v/>
      </c>
      <c r="M776" s="7" t="str">
        <f t="shared" si="524"/>
        <v/>
      </c>
      <c r="N776" s="7">
        <f t="shared" si="525"/>
        <v>10.199999999999999</v>
      </c>
      <c r="O776" s="7" t="str">
        <f t="shared" si="526"/>
        <v/>
      </c>
      <c r="P776" s="7" t="str">
        <f t="shared" si="527"/>
        <v/>
      </c>
    </row>
    <row r="777" spans="1:19" ht="14.4" thickBot="1">
      <c r="A777" t="s">
        <v>76</v>
      </c>
      <c r="B777" s="53"/>
      <c r="C777" s="53"/>
      <c r="D777" s="43"/>
      <c r="E777" s="43"/>
      <c r="F777" s="43"/>
      <c r="G777" s="44">
        <v>1</v>
      </c>
      <c r="H777" s="44">
        <f>ROUNDUP((D774)/0.2,0)</f>
        <v>23</v>
      </c>
      <c r="I777" s="44">
        <v>6</v>
      </c>
      <c r="J777" s="44">
        <f>2*(E774+F774)+20.5*I777/1000</f>
        <v>0.92300000000000004</v>
      </c>
      <c r="K777" s="7">
        <f t="shared" si="522"/>
        <v>21.228999999999999</v>
      </c>
      <c r="L777" s="7" t="str">
        <f t="shared" si="523"/>
        <v/>
      </c>
      <c r="M777" s="7" t="str">
        <f t="shared" si="524"/>
        <v/>
      </c>
      <c r="N777" s="7" t="str">
        <f t="shared" si="525"/>
        <v/>
      </c>
      <c r="O777" s="7" t="str">
        <f t="shared" si="526"/>
        <v/>
      </c>
      <c r="P777" s="7" t="str">
        <f>IF(I777=16,G777*H777*J777,"")</f>
        <v/>
      </c>
    </row>
    <row r="778" spans="1:19" ht="16.2" thickTop="1">
      <c r="A778" s="174"/>
      <c r="B778" s="175"/>
      <c r="C778" s="175"/>
      <c r="D778" s="175"/>
      <c r="E778" s="175"/>
      <c r="F778" s="176"/>
      <c r="G778" s="34" t="s">
        <v>59</v>
      </c>
      <c r="H778" s="34"/>
      <c r="I778" s="34"/>
      <c r="J778" s="34"/>
      <c r="K778" s="28">
        <f>SUM(K5:K777)</f>
        <v>7291.6469999999863</v>
      </c>
      <c r="L778" s="28">
        <f t="shared" ref="L778:S778" si="528">SUM(L5:L777)</f>
        <v>6795.6240000000007</v>
      </c>
      <c r="M778" s="28">
        <f t="shared" si="528"/>
        <v>1563.7699999999998</v>
      </c>
      <c r="N778" s="28">
        <f t="shared" si="528"/>
        <v>2189.3080000000014</v>
      </c>
      <c r="O778" s="28">
        <f t="shared" si="528"/>
        <v>2022.0340000000001</v>
      </c>
      <c r="P778" s="28">
        <f>SUM(P5:P777)</f>
        <v>330.12</v>
      </c>
      <c r="Q778" s="28">
        <f t="shared" si="528"/>
        <v>0</v>
      </c>
      <c r="R778" s="28">
        <f t="shared" si="528"/>
        <v>0</v>
      </c>
      <c r="S778" s="28">
        <f t="shared" si="528"/>
        <v>0</v>
      </c>
    </row>
    <row r="779" spans="1:19" ht="15.6">
      <c r="A779" s="177"/>
      <c r="B779" s="178"/>
      <c r="C779" s="178"/>
      <c r="D779" s="178"/>
      <c r="E779" s="178"/>
      <c r="F779" s="179"/>
      <c r="G779" s="35" t="s">
        <v>60</v>
      </c>
      <c r="H779" s="35"/>
      <c r="I779" s="35"/>
      <c r="J779" s="35"/>
      <c r="K779" s="29">
        <f>6*6/162</f>
        <v>0.22222222222222221</v>
      </c>
      <c r="L779" s="33">
        <f>8*8/162</f>
        <v>0.39506172839506171</v>
      </c>
      <c r="M779" s="30">
        <f>10*10/162</f>
        <v>0.61728395061728392</v>
      </c>
      <c r="N779" s="30">
        <f>12*12/162</f>
        <v>0.88888888888888884</v>
      </c>
      <c r="O779" s="30">
        <f>14*14/162</f>
        <v>1.2098765432098766</v>
      </c>
      <c r="P779" s="30">
        <f>16*16/162</f>
        <v>1.5802469135802468</v>
      </c>
      <c r="Q779" s="30">
        <v>2.4660000000000002</v>
      </c>
      <c r="R779" s="30">
        <v>3.8540000000000001</v>
      </c>
      <c r="S779" s="31">
        <v>6.3150000000000004</v>
      </c>
    </row>
    <row r="780" spans="1:19" ht="15.6">
      <c r="A780" s="177"/>
      <c r="B780" s="178"/>
      <c r="C780" s="178"/>
      <c r="D780" s="178"/>
      <c r="E780" s="178"/>
      <c r="F780" s="179"/>
      <c r="G780" s="35" t="s">
        <v>61</v>
      </c>
      <c r="H780" s="35"/>
      <c r="I780" s="35"/>
      <c r="J780" s="35"/>
      <c r="K780" s="32">
        <f t="shared" ref="K780:S780" si="529">K779*K778</f>
        <v>1620.3659999999968</v>
      </c>
      <c r="L780" s="32">
        <f t="shared" si="529"/>
        <v>2684.6909629629631</v>
      </c>
      <c r="M780" s="32">
        <f t="shared" si="529"/>
        <v>965.29012345678996</v>
      </c>
      <c r="N780" s="32">
        <f t="shared" si="529"/>
        <v>1946.0515555555567</v>
      </c>
      <c r="O780" s="32">
        <f t="shared" si="529"/>
        <v>2446.4115061728398</v>
      </c>
      <c r="P780" s="32">
        <f t="shared" si="529"/>
        <v>521.67111111111114</v>
      </c>
      <c r="Q780" s="32">
        <f t="shared" si="529"/>
        <v>0</v>
      </c>
      <c r="R780" s="32">
        <f t="shared" si="529"/>
        <v>0</v>
      </c>
      <c r="S780" s="32">
        <f t="shared" si="529"/>
        <v>0</v>
      </c>
    </row>
    <row r="781" spans="1:19" ht="16.2" thickBot="1">
      <c r="A781" s="180"/>
      <c r="B781" s="181"/>
      <c r="C781" s="181"/>
      <c r="D781" s="181"/>
      <c r="E781" s="181"/>
      <c r="F781" s="182"/>
      <c r="G781" s="52" t="s">
        <v>62</v>
      </c>
      <c r="H781" s="35"/>
      <c r="I781" s="35"/>
      <c r="J781" s="35"/>
      <c r="K781" s="169">
        <f>SUM(K780:S780)</f>
        <v>10184.481259259257</v>
      </c>
      <c r="L781" s="170"/>
      <c r="M781" s="170"/>
      <c r="N781" s="170"/>
      <c r="O781" s="170"/>
      <c r="P781" s="170"/>
      <c r="Q781" s="170"/>
      <c r="R781" s="170"/>
      <c r="S781" s="171"/>
    </row>
    <row r="782" spans="1:19" ht="14.4" thickTop="1"/>
    <row r="785" spans="1:19" ht="51" customHeight="1">
      <c r="A785" s="167" t="s">
        <v>149</v>
      </c>
      <c r="B785" s="167"/>
      <c r="C785" s="167"/>
      <c r="D785" s="167"/>
      <c r="E785" s="167"/>
      <c r="F785" s="167"/>
      <c r="G785" s="167"/>
      <c r="H785" s="167"/>
      <c r="I785" s="167"/>
      <c r="J785" s="167"/>
      <c r="K785" s="167"/>
      <c r="L785" s="167"/>
      <c r="M785" s="167"/>
      <c r="N785" s="167"/>
      <c r="O785" s="167"/>
      <c r="P785" s="167"/>
      <c r="Q785" s="167"/>
      <c r="R785" s="167"/>
      <c r="S785" s="168"/>
    </row>
    <row r="786" spans="1:19">
      <c r="A786" s="154" t="s">
        <v>5</v>
      </c>
      <c r="B786" s="154"/>
      <c r="C786" s="154"/>
      <c r="D786" s="3"/>
      <c r="E786" s="3"/>
      <c r="F786" s="3"/>
    </row>
    <row r="787" spans="1:19">
      <c r="B787" s="2" t="s">
        <v>2</v>
      </c>
      <c r="C787" s="2" t="s">
        <v>3</v>
      </c>
      <c r="F787" s="55"/>
    </row>
    <row r="788" spans="1:19">
      <c r="A788" s="50" t="s">
        <v>106</v>
      </c>
      <c r="B788" s="53" t="s">
        <v>4</v>
      </c>
      <c r="C788" s="53">
        <v>1</v>
      </c>
      <c r="D788">
        <v>1</v>
      </c>
      <c r="E788">
        <v>1</v>
      </c>
      <c r="F788" s="54">
        <v>0.25</v>
      </c>
    </row>
    <row r="789" spans="1:19">
      <c r="A789" t="s">
        <v>66</v>
      </c>
      <c r="B789" s="53"/>
      <c r="C789" s="53"/>
      <c r="F789" s="54"/>
      <c r="G789" s="9">
        <v>1</v>
      </c>
      <c r="H789" s="9">
        <v>6</v>
      </c>
      <c r="I789" s="9">
        <v>12</v>
      </c>
      <c r="J789" s="9">
        <f>(E788-0.05)+34*I789/1000</f>
        <v>1.3579999999999999</v>
      </c>
      <c r="K789" s="7" t="str">
        <f>IF(I789=6,G789*H789*J789,"")</f>
        <v/>
      </c>
      <c r="L789" s="7" t="str">
        <f>IF(J789=8,G789*H789*J789,"")</f>
        <v/>
      </c>
      <c r="M789" s="7" t="str">
        <f>IF(I789=10,G789*H789*G789,"")</f>
        <v/>
      </c>
      <c r="N789" s="7">
        <f>IF(I789=12,G789*H789*J789,"")</f>
        <v>8.1479999999999997</v>
      </c>
      <c r="O789" s="7" t="str">
        <f>IF(I789=14,G789*H789*J789,"")</f>
        <v/>
      </c>
      <c r="P789" s="7" t="str">
        <f>IF(I789=16,G789*H789*J789,"")</f>
        <v/>
      </c>
      <c r="Q789" s="7" t="str">
        <f>IF(I789=20,G789*H789*J789,"")</f>
        <v/>
      </c>
      <c r="R789" s="7" t="str">
        <f>IF(I789=25,G789*H789*J789,"")</f>
        <v/>
      </c>
      <c r="S789" s="7" t="str">
        <f>IF(I789=32,G789*H789*J789,"")</f>
        <v/>
      </c>
    </row>
    <row r="790" spans="1:19">
      <c r="A790" t="s">
        <v>67</v>
      </c>
      <c r="B790" s="53"/>
      <c r="C790" s="53"/>
      <c r="F790" s="54"/>
      <c r="G790" s="9">
        <v>1</v>
      </c>
      <c r="H790" s="9">
        <v>6</v>
      </c>
      <c r="I790" s="9">
        <v>12</v>
      </c>
      <c r="J790" s="9">
        <f>(D788-0.05)+34*I790/1000</f>
        <v>1.3579999999999999</v>
      </c>
      <c r="K790" s="7" t="str">
        <f t="shared" ref="K790:K853" si="530">IF(I790=6,G790*H790*J790,"")</f>
        <v/>
      </c>
      <c r="L790" s="7" t="str">
        <f t="shared" ref="L790:L791" si="531">IF(J790=8,G790*H790*J790,"")</f>
        <v/>
      </c>
      <c r="M790" s="7" t="str">
        <f>IF(I790=10,G790*H790*J790,"")</f>
        <v/>
      </c>
      <c r="N790" s="7">
        <f>IF(I790=12,G790*H790*J790,"")</f>
        <v>8.1479999999999997</v>
      </c>
      <c r="O790" s="7" t="str">
        <f>IF(I790=14,G790*H790*J790,"")</f>
        <v/>
      </c>
      <c r="P790" s="7" t="str">
        <f>IF(I790=16,G790*H790*J790,"")</f>
        <v/>
      </c>
      <c r="Q790" s="7" t="str">
        <f>IF(I790=20,G790*H790*J790,"")</f>
        <v/>
      </c>
      <c r="R790" s="7" t="str">
        <f>IF(I790=25,G790*H790*J790,"")</f>
        <v/>
      </c>
      <c r="S790" s="7" t="str">
        <f>IF(I790=32,G790*H790*J790,"")</f>
        <v/>
      </c>
    </row>
    <row r="791" spans="1:19">
      <c r="A791" s="50" t="s">
        <v>105</v>
      </c>
      <c r="B791" s="53" t="s">
        <v>4</v>
      </c>
      <c r="C791" s="55">
        <v>2</v>
      </c>
      <c r="D791">
        <v>1.5</v>
      </c>
      <c r="E791">
        <v>1.5</v>
      </c>
      <c r="F791" s="54">
        <v>0.4</v>
      </c>
      <c r="K791" s="7" t="str">
        <f t="shared" si="530"/>
        <v/>
      </c>
      <c r="L791" s="7" t="str">
        <f t="shared" si="531"/>
        <v/>
      </c>
      <c r="M791" s="7" t="str">
        <f t="shared" ref="M791:M854" si="532">IF(I791=10,G791*H791*J791,"")</f>
        <v/>
      </c>
      <c r="N791" s="7" t="str">
        <f t="shared" ref="N791" si="533">IF(I791=12,G791*H791*J791,"")</f>
        <v/>
      </c>
      <c r="O791" s="7" t="str">
        <f t="shared" ref="O791" si="534">IF(I791=14,G791*H791*J791,"")</f>
        <v/>
      </c>
      <c r="P791" s="7" t="str">
        <f t="shared" ref="P791" si="535">IF(I791=16,G791*H791*J791,"")</f>
        <v/>
      </c>
      <c r="Q791" s="7" t="str">
        <f t="shared" ref="Q791" si="536">IF(I791=20,G791*H791*J791,"")</f>
        <v/>
      </c>
      <c r="R791" s="7" t="str">
        <f t="shared" ref="R791" si="537">IF(I791=25,G791*H791*J791,"")</f>
        <v/>
      </c>
      <c r="S791" s="7" t="str">
        <f t="shared" ref="S791" si="538">IF(I791=32,G791*H791*J791,"")</f>
        <v/>
      </c>
    </row>
    <row r="792" spans="1:19">
      <c r="A792" t="s">
        <v>66</v>
      </c>
      <c r="B792" s="53"/>
      <c r="C792" s="53"/>
      <c r="F792" s="54"/>
      <c r="G792" s="9">
        <v>1</v>
      </c>
      <c r="H792" s="9">
        <v>11</v>
      </c>
      <c r="I792" s="9">
        <v>12</v>
      </c>
      <c r="J792" s="9">
        <f>(E791-0.05)+34*I792/1000</f>
        <v>1.8579999999999999</v>
      </c>
      <c r="K792" s="7" t="str">
        <f t="shared" si="530"/>
        <v/>
      </c>
      <c r="L792" s="7" t="str">
        <f>IF(I792=8,G792*H792*J792,"")</f>
        <v/>
      </c>
      <c r="M792" s="7" t="str">
        <f t="shared" si="532"/>
        <v/>
      </c>
      <c r="N792" s="7">
        <f>IF(I792=12,G792*H792*J792,"")</f>
        <v>20.437999999999999</v>
      </c>
      <c r="O792" s="7" t="str">
        <f>IF(I792=14,G792*H792*J792,"")</f>
        <v/>
      </c>
      <c r="P792" s="7" t="str">
        <f>IF(I792=16,G792*H792*J792,"")</f>
        <v/>
      </c>
      <c r="Q792" s="7" t="str">
        <f>IF(I792=20,G792*H792*J792,"")</f>
        <v/>
      </c>
      <c r="R792" s="7" t="str">
        <f>IF(I792=25,G792*H792*J792,"")</f>
        <v/>
      </c>
      <c r="S792" s="7" t="str">
        <f>IF(I792=32,G792*H792*J792,"")</f>
        <v/>
      </c>
    </row>
    <row r="793" spans="1:19">
      <c r="A793" t="s">
        <v>67</v>
      </c>
      <c r="B793" s="53"/>
      <c r="C793" s="53"/>
      <c r="F793" s="54"/>
      <c r="G793" s="9">
        <v>1</v>
      </c>
      <c r="H793" s="9">
        <v>11</v>
      </c>
      <c r="I793" s="9">
        <v>12</v>
      </c>
      <c r="J793" s="9">
        <f>(D791-0.05)+34*I793/1000</f>
        <v>1.8579999999999999</v>
      </c>
      <c r="K793" s="7" t="str">
        <f t="shared" si="530"/>
        <v/>
      </c>
      <c r="L793" s="7" t="str">
        <f t="shared" ref="L793:L856" si="539">IF(I793=8,G793*H793*J793,"")</f>
        <v/>
      </c>
      <c r="M793" s="7" t="str">
        <f t="shared" si="532"/>
        <v/>
      </c>
      <c r="N793" s="7">
        <f>IF(I793=12,G793*H793*J793,"")</f>
        <v>20.437999999999999</v>
      </c>
      <c r="O793" s="7" t="str">
        <f>IF(I793=14,G793*H793*J793,"")</f>
        <v/>
      </c>
      <c r="P793" s="7" t="str">
        <f>IF(I793=16,G793*H793*J793,"")</f>
        <v/>
      </c>
      <c r="Q793" s="7" t="str">
        <f>IF(I793=20,G793*H793*J793,"")</f>
        <v/>
      </c>
      <c r="R793" s="7" t="str">
        <f>IF(I793=25,G793*H793*J793,"")</f>
        <v/>
      </c>
      <c r="S793" s="7" t="str">
        <f>IF(I793=32,G793*H793*J793,"")</f>
        <v/>
      </c>
    </row>
    <row r="794" spans="1:19">
      <c r="A794" s="50" t="s">
        <v>107</v>
      </c>
      <c r="B794" s="53" t="s">
        <v>4</v>
      </c>
      <c r="C794" s="53">
        <v>4</v>
      </c>
      <c r="D794">
        <v>1.5</v>
      </c>
      <c r="E794" s="24">
        <v>1.5</v>
      </c>
      <c r="F794" s="55">
        <v>0.4</v>
      </c>
      <c r="K794" s="7" t="str">
        <f t="shared" si="530"/>
        <v/>
      </c>
      <c r="L794" s="7" t="str">
        <f t="shared" si="539"/>
        <v/>
      </c>
      <c r="M794" s="7" t="str">
        <f t="shared" si="532"/>
        <v/>
      </c>
      <c r="N794" s="7" t="str">
        <f t="shared" ref="N794:N857" si="540">IF(I794=12,G794*H794*J794,"")</f>
        <v/>
      </c>
      <c r="O794" s="7" t="str">
        <f t="shared" ref="O794:O857" si="541">IF(I794=14,G794*H794*J794,"")</f>
        <v/>
      </c>
      <c r="P794" s="7" t="str">
        <f t="shared" ref="P794:P857" si="542">IF(I794=16,G794*H794*J794,"")</f>
        <v/>
      </c>
      <c r="Q794" s="7" t="str">
        <f t="shared" ref="Q794:Q857" si="543">IF(I794=20,G794*H794*J794,"")</f>
        <v/>
      </c>
      <c r="R794" s="7" t="str">
        <f t="shared" ref="R794:R843" si="544">IF(I794=25,G794*H794*J794,"")</f>
        <v/>
      </c>
      <c r="S794" s="7" t="str">
        <f t="shared" ref="S794:S857" si="545">IF(I794=32,G794*H794*J794,"")</f>
        <v/>
      </c>
    </row>
    <row r="795" spans="1:19">
      <c r="A795" t="s">
        <v>66</v>
      </c>
      <c r="B795" s="53"/>
      <c r="C795" s="53"/>
      <c r="F795" s="54"/>
      <c r="G795" s="9">
        <v>1</v>
      </c>
      <c r="H795" s="9">
        <v>11</v>
      </c>
      <c r="I795" s="9">
        <v>12</v>
      </c>
      <c r="J795" s="9">
        <f>(E794-0.05)+34*I795/1000</f>
        <v>1.8579999999999999</v>
      </c>
      <c r="K795" s="7" t="str">
        <f t="shared" si="530"/>
        <v/>
      </c>
      <c r="L795" s="7" t="str">
        <f t="shared" si="539"/>
        <v/>
      </c>
      <c r="M795" s="7" t="str">
        <f t="shared" si="532"/>
        <v/>
      </c>
      <c r="N795" s="7">
        <f t="shared" si="540"/>
        <v>20.437999999999999</v>
      </c>
      <c r="O795" s="7" t="str">
        <f t="shared" si="541"/>
        <v/>
      </c>
      <c r="P795" s="7" t="str">
        <f t="shared" si="542"/>
        <v/>
      </c>
      <c r="Q795" s="7" t="str">
        <f t="shared" si="543"/>
        <v/>
      </c>
      <c r="R795" s="7" t="str">
        <f t="shared" si="544"/>
        <v/>
      </c>
      <c r="S795" s="7" t="str">
        <f t="shared" si="545"/>
        <v/>
      </c>
    </row>
    <row r="796" spans="1:19">
      <c r="A796" t="s">
        <v>67</v>
      </c>
      <c r="B796" s="53"/>
      <c r="C796" s="53"/>
      <c r="F796" s="54"/>
      <c r="G796" s="9">
        <v>1</v>
      </c>
      <c r="H796" s="9">
        <v>11</v>
      </c>
      <c r="I796" s="9">
        <v>12</v>
      </c>
      <c r="J796" s="9">
        <f>(D794-0.05)+34*I796/1000</f>
        <v>1.8579999999999999</v>
      </c>
      <c r="K796" s="7" t="str">
        <f t="shared" si="530"/>
        <v/>
      </c>
      <c r="L796" s="7" t="str">
        <f t="shared" si="539"/>
        <v/>
      </c>
      <c r="M796" s="7" t="str">
        <f t="shared" si="532"/>
        <v/>
      </c>
      <c r="N796" s="7">
        <f t="shared" si="540"/>
        <v>20.437999999999999</v>
      </c>
      <c r="O796" s="7" t="str">
        <f t="shared" si="541"/>
        <v/>
      </c>
      <c r="P796" s="7" t="str">
        <f t="shared" si="542"/>
        <v/>
      </c>
      <c r="Q796" s="7" t="str">
        <f t="shared" si="543"/>
        <v/>
      </c>
      <c r="R796" s="7" t="str">
        <f t="shared" si="544"/>
        <v/>
      </c>
      <c r="S796" s="7" t="str">
        <f t="shared" si="545"/>
        <v/>
      </c>
    </row>
    <row r="797" spans="1:19">
      <c r="A797" s="50" t="s">
        <v>21</v>
      </c>
      <c r="B797" s="53" t="s">
        <v>4</v>
      </c>
      <c r="C797" s="55">
        <v>5</v>
      </c>
      <c r="D797">
        <v>1.1000000000000001</v>
      </c>
      <c r="E797">
        <v>1.1000000000000001</v>
      </c>
      <c r="F797" s="55">
        <v>0.25</v>
      </c>
      <c r="K797" s="7" t="str">
        <f t="shared" si="530"/>
        <v/>
      </c>
      <c r="L797" s="7" t="str">
        <f t="shared" si="539"/>
        <v/>
      </c>
      <c r="M797" s="7" t="str">
        <f t="shared" si="532"/>
        <v/>
      </c>
      <c r="N797" s="7" t="str">
        <f t="shared" si="540"/>
        <v/>
      </c>
      <c r="O797" s="7" t="str">
        <f t="shared" si="541"/>
        <v/>
      </c>
      <c r="P797" s="7" t="str">
        <f t="shared" si="542"/>
        <v/>
      </c>
      <c r="Q797" s="7" t="str">
        <f t="shared" si="543"/>
        <v/>
      </c>
      <c r="R797" s="7" t="str">
        <f t="shared" si="544"/>
        <v/>
      </c>
      <c r="S797" s="7" t="str">
        <f t="shared" si="545"/>
        <v/>
      </c>
    </row>
    <row r="798" spans="1:19">
      <c r="A798" t="s">
        <v>66</v>
      </c>
      <c r="B798" s="53"/>
      <c r="C798" s="53"/>
      <c r="F798" s="54"/>
      <c r="G798" s="9">
        <v>1</v>
      </c>
      <c r="H798" s="9">
        <v>7</v>
      </c>
      <c r="I798" s="9">
        <v>12</v>
      </c>
      <c r="J798" s="9">
        <f>(E797-0.05)+34*I798/1000</f>
        <v>1.458</v>
      </c>
      <c r="K798" s="7" t="str">
        <f t="shared" si="530"/>
        <v/>
      </c>
      <c r="L798" s="7" t="str">
        <f t="shared" si="539"/>
        <v/>
      </c>
      <c r="M798" s="7" t="str">
        <f t="shared" si="532"/>
        <v/>
      </c>
      <c r="N798" s="7">
        <f t="shared" si="540"/>
        <v>10.206</v>
      </c>
      <c r="O798" s="7" t="str">
        <f t="shared" si="541"/>
        <v/>
      </c>
      <c r="P798" s="7" t="str">
        <f t="shared" si="542"/>
        <v/>
      </c>
      <c r="Q798" s="7" t="str">
        <f t="shared" si="543"/>
        <v/>
      </c>
      <c r="R798" s="7" t="str">
        <f t="shared" si="544"/>
        <v/>
      </c>
      <c r="S798" s="7" t="str">
        <f t="shared" si="545"/>
        <v/>
      </c>
    </row>
    <row r="799" spans="1:19">
      <c r="A799" t="s">
        <v>67</v>
      </c>
      <c r="B799" s="53"/>
      <c r="C799" s="53"/>
      <c r="F799" s="54"/>
      <c r="G799" s="9">
        <v>1</v>
      </c>
      <c r="H799" s="9">
        <v>7</v>
      </c>
      <c r="I799" s="9">
        <v>12</v>
      </c>
      <c r="J799" s="9">
        <f>(D797-0.05)+34*I799/1000</f>
        <v>1.458</v>
      </c>
      <c r="K799" s="7" t="str">
        <f t="shared" si="530"/>
        <v/>
      </c>
      <c r="L799" s="7" t="str">
        <f t="shared" si="539"/>
        <v/>
      </c>
      <c r="M799" s="7" t="str">
        <f t="shared" si="532"/>
        <v/>
      </c>
      <c r="N799" s="7">
        <f t="shared" si="540"/>
        <v>10.206</v>
      </c>
      <c r="O799" s="7" t="str">
        <f t="shared" si="541"/>
        <v/>
      </c>
      <c r="P799" s="7" t="str">
        <f t="shared" si="542"/>
        <v/>
      </c>
      <c r="Q799" s="7" t="str">
        <f t="shared" si="543"/>
        <v/>
      </c>
      <c r="R799" s="7" t="str">
        <f t="shared" si="544"/>
        <v/>
      </c>
      <c r="S799" s="7" t="str">
        <f t="shared" si="545"/>
        <v/>
      </c>
    </row>
    <row r="800" spans="1:19">
      <c r="A800" t="s">
        <v>109</v>
      </c>
      <c r="B800" s="53" t="s">
        <v>4</v>
      </c>
      <c r="C800" s="55">
        <v>6</v>
      </c>
      <c r="D800">
        <v>1.2</v>
      </c>
      <c r="E800">
        <v>1.2</v>
      </c>
      <c r="F800" s="55">
        <v>0.3</v>
      </c>
      <c r="K800" s="7" t="str">
        <f t="shared" si="530"/>
        <v/>
      </c>
      <c r="L800" s="7" t="str">
        <f t="shared" si="539"/>
        <v/>
      </c>
      <c r="M800" s="7" t="str">
        <f t="shared" si="532"/>
        <v/>
      </c>
      <c r="N800" s="7" t="str">
        <f t="shared" si="540"/>
        <v/>
      </c>
      <c r="O800" s="7" t="str">
        <f t="shared" si="541"/>
        <v/>
      </c>
      <c r="P800" s="7" t="str">
        <f t="shared" si="542"/>
        <v/>
      </c>
      <c r="Q800" s="7" t="str">
        <f t="shared" si="543"/>
        <v/>
      </c>
      <c r="R800" s="7" t="str">
        <f t="shared" si="544"/>
        <v/>
      </c>
      <c r="S800" s="7" t="str">
        <f t="shared" si="545"/>
        <v/>
      </c>
    </row>
    <row r="801" spans="1:19">
      <c r="A801" t="s">
        <v>66</v>
      </c>
      <c r="B801" s="53"/>
      <c r="C801" s="53"/>
      <c r="F801" s="54"/>
      <c r="G801" s="9">
        <v>1</v>
      </c>
      <c r="H801" s="9">
        <v>8</v>
      </c>
      <c r="I801" s="9">
        <v>12</v>
      </c>
      <c r="J801" s="9">
        <f>(E800-0.05)+34*I801/1000</f>
        <v>1.5579999999999998</v>
      </c>
      <c r="K801" s="7" t="str">
        <f t="shared" si="530"/>
        <v/>
      </c>
      <c r="L801" s="7" t="str">
        <f t="shared" si="539"/>
        <v/>
      </c>
      <c r="M801" s="7" t="str">
        <f t="shared" si="532"/>
        <v/>
      </c>
      <c r="N801" s="7">
        <f t="shared" si="540"/>
        <v>12.463999999999999</v>
      </c>
      <c r="O801" s="7" t="str">
        <f t="shared" si="541"/>
        <v/>
      </c>
      <c r="P801" s="7" t="str">
        <f t="shared" si="542"/>
        <v/>
      </c>
      <c r="Q801" s="7" t="str">
        <f t="shared" si="543"/>
        <v/>
      </c>
      <c r="R801" s="7" t="str">
        <f t="shared" si="544"/>
        <v/>
      </c>
      <c r="S801" s="7" t="str">
        <f t="shared" si="545"/>
        <v/>
      </c>
    </row>
    <row r="802" spans="1:19">
      <c r="A802" t="s">
        <v>67</v>
      </c>
      <c r="B802" s="53"/>
      <c r="C802" s="53"/>
      <c r="F802" s="54"/>
      <c r="G802" s="9">
        <v>1</v>
      </c>
      <c r="H802" s="9">
        <v>8</v>
      </c>
      <c r="I802" s="9">
        <v>12</v>
      </c>
      <c r="J802" s="9">
        <f>(D800-0.05)+34*I802/1000</f>
        <v>1.5579999999999998</v>
      </c>
      <c r="K802" s="7" t="str">
        <f t="shared" si="530"/>
        <v/>
      </c>
      <c r="L802" s="7" t="str">
        <f t="shared" si="539"/>
        <v/>
      </c>
      <c r="M802" s="7" t="str">
        <f t="shared" si="532"/>
        <v/>
      </c>
      <c r="N802" s="7">
        <f t="shared" si="540"/>
        <v>12.463999999999999</v>
      </c>
      <c r="O802" s="7" t="str">
        <f t="shared" si="541"/>
        <v/>
      </c>
      <c r="P802" s="7" t="str">
        <f t="shared" si="542"/>
        <v/>
      </c>
      <c r="Q802" s="7" t="str">
        <f t="shared" si="543"/>
        <v/>
      </c>
      <c r="R802" s="7" t="str">
        <f t="shared" si="544"/>
        <v/>
      </c>
      <c r="S802" s="7" t="str">
        <f t="shared" si="545"/>
        <v/>
      </c>
    </row>
    <row r="803" spans="1:19">
      <c r="A803" s="50" t="s">
        <v>109</v>
      </c>
      <c r="B803" s="53" t="s">
        <v>4</v>
      </c>
      <c r="C803" s="53">
        <v>7</v>
      </c>
      <c r="D803" s="42">
        <v>1.2</v>
      </c>
      <c r="E803" s="42">
        <v>1.2</v>
      </c>
      <c r="F803" s="55">
        <v>0.3</v>
      </c>
      <c r="K803" s="7" t="str">
        <f t="shared" si="530"/>
        <v/>
      </c>
      <c r="L803" s="7" t="str">
        <f t="shared" si="539"/>
        <v/>
      </c>
      <c r="M803" s="7" t="str">
        <f t="shared" si="532"/>
        <v/>
      </c>
      <c r="N803" s="7" t="str">
        <f t="shared" si="540"/>
        <v/>
      </c>
      <c r="O803" s="7" t="str">
        <f t="shared" si="541"/>
        <v/>
      </c>
      <c r="P803" s="7" t="str">
        <f t="shared" si="542"/>
        <v/>
      </c>
      <c r="Q803" s="7" t="str">
        <f t="shared" si="543"/>
        <v/>
      </c>
      <c r="R803" s="7" t="str">
        <f t="shared" si="544"/>
        <v/>
      </c>
      <c r="S803" s="7" t="str">
        <f t="shared" si="545"/>
        <v/>
      </c>
    </row>
    <row r="804" spans="1:19">
      <c r="A804" t="s">
        <v>66</v>
      </c>
      <c r="B804" s="53"/>
      <c r="C804" s="53"/>
      <c r="F804" s="54"/>
      <c r="G804" s="9">
        <v>1</v>
      </c>
      <c r="H804" s="9">
        <v>8</v>
      </c>
      <c r="I804" s="9">
        <v>12</v>
      </c>
      <c r="J804" s="9">
        <f>(E803-0.05)+34*I804/1000</f>
        <v>1.5579999999999998</v>
      </c>
      <c r="K804" s="7" t="str">
        <f t="shared" si="530"/>
        <v/>
      </c>
      <c r="L804" s="7" t="str">
        <f t="shared" si="539"/>
        <v/>
      </c>
      <c r="M804" s="7" t="str">
        <f t="shared" si="532"/>
        <v/>
      </c>
      <c r="N804" s="7">
        <f t="shared" si="540"/>
        <v>12.463999999999999</v>
      </c>
      <c r="O804" s="7" t="str">
        <f t="shared" si="541"/>
        <v/>
      </c>
      <c r="P804" s="7" t="str">
        <f t="shared" si="542"/>
        <v/>
      </c>
      <c r="Q804" s="7" t="str">
        <f t="shared" si="543"/>
        <v/>
      </c>
      <c r="R804" s="7" t="str">
        <f t="shared" si="544"/>
        <v/>
      </c>
      <c r="S804" s="7" t="str">
        <f t="shared" si="545"/>
        <v/>
      </c>
    </row>
    <row r="805" spans="1:19">
      <c r="A805" t="s">
        <v>67</v>
      </c>
      <c r="B805" s="53"/>
      <c r="C805" s="53"/>
      <c r="F805" s="54"/>
      <c r="G805" s="9">
        <v>1</v>
      </c>
      <c r="H805" s="9">
        <v>8</v>
      </c>
      <c r="I805" s="9">
        <v>12</v>
      </c>
      <c r="J805" s="9">
        <f>(D803-0.05)+34*I805/1000</f>
        <v>1.5579999999999998</v>
      </c>
      <c r="K805" s="7" t="str">
        <f t="shared" si="530"/>
        <v/>
      </c>
      <c r="L805" s="7" t="str">
        <f t="shared" si="539"/>
        <v/>
      </c>
      <c r="M805" s="7" t="str">
        <f t="shared" si="532"/>
        <v/>
      </c>
      <c r="N805" s="7">
        <f t="shared" si="540"/>
        <v>12.463999999999999</v>
      </c>
      <c r="O805" s="7" t="str">
        <f t="shared" si="541"/>
        <v/>
      </c>
      <c r="P805" s="7" t="str">
        <f t="shared" si="542"/>
        <v/>
      </c>
      <c r="Q805" s="7" t="str">
        <f t="shared" si="543"/>
        <v/>
      </c>
      <c r="R805" s="7" t="str">
        <f t="shared" si="544"/>
        <v/>
      </c>
      <c r="S805" s="7" t="str">
        <f t="shared" si="545"/>
        <v/>
      </c>
    </row>
    <row r="806" spans="1:19">
      <c r="A806" s="50" t="s">
        <v>109</v>
      </c>
      <c r="B806" s="53" t="s">
        <v>4</v>
      </c>
      <c r="C806" s="53">
        <v>8</v>
      </c>
      <c r="D806">
        <v>1.2</v>
      </c>
      <c r="E806">
        <v>1.2</v>
      </c>
      <c r="F806" s="55">
        <v>0.3</v>
      </c>
      <c r="K806" s="7" t="str">
        <f t="shared" si="530"/>
        <v/>
      </c>
      <c r="L806" s="7" t="str">
        <f t="shared" si="539"/>
        <v/>
      </c>
      <c r="M806" s="7" t="str">
        <f t="shared" si="532"/>
        <v/>
      </c>
      <c r="N806" s="7" t="str">
        <f t="shared" si="540"/>
        <v/>
      </c>
      <c r="O806" s="7" t="str">
        <f t="shared" si="541"/>
        <v/>
      </c>
      <c r="P806" s="7" t="str">
        <f t="shared" si="542"/>
        <v/>
      </c>
      <c r="Q806" s="7" t="str">
        <f t="shared" si="543"/>
        <v/>
      </c>
      <c r="R806" s="7" t="str">
        <f t="shared" si="544"/>
        <v/>
      </c>
      <c r="S806" s="7" t="str">
        <f t="shared" si="545"/>
        <v/>
      </c>
    </row>
    <row r="807" spans="1:19">
      <c r="A807" t="s">
        <v>66</v>
      </c>
      <c r="B807" s="53"/>
      <c r="C807" s="53"/>
      <c r="F807" s="54"/>
      <c r="G807" s="9">
        <v>1</v>
      </c>
      <c r="H807" s="9">
        <v>8</v>
      </c>
      <c r="I807" s="9">
        <v>12</v>
      </c>
      <c r="J807" s="9">
        <f>(E806-0.05)+34*I807/1000</f>
        <v>1.5579999999999998</v>
      </c>
      <c r="K807" s="7" t="str">
        <f t="shared" si="530"/>
        <v/>
      </c>
      <c r="L807" s="7" t="str">
        <f t="shared" si="539"/>
        <v/>
      </c>
      <c r="M807" s="7" t="str">
        <f t="shared" si="532"/>
        <v/>
      </c>
      <c r="N807" s="7">
        <f t="shared" si="540"/>
        <v>12.463999999999999</v>
      </c>
      <c r="O807" s="7" t="str">
        <f t="shared" si="541"/>
        <v/>
      </c>
      <c r="P807" s="7" t="str">
        <f t="shared" si="542"/>
        <v/>
      </c>
      <c r="Q807" s="7" t="str">
        <f t="shared" si="543"/>
        <v/>
      </c>
      <c r="R807" s="7" t="str">
        <f t="shared" si="544"/>
        <v/>
      </c>
      <c r="S807" s="7" t="str">
        <f t="shared" si="545"/>
        <v/>
      </c>
    </row>
    <row r="808" spans="1:19">
      <c r="A808" t="s">
        <v>67</v>
      </c>
      <c r="B808" s="53"/>
      <c r="C808" s="53"/>
      <c r="F808" s="54"/>
      <c r="G808" s="9">
        <v>1</v>
      </c>
      <c r="H808" s="9">
        <v>8</v>
      </c>
      <c r="I808" s="9">
        <v>12</v>
      </c>
      <c r="J808" s="9">
        <f>(D806-0.05)+34*I808/1000</f>
        <v>1.5579999999999998</v>
      </c>
      <c r="K808" s="7" t="str">
        <f t="shared" si="530"/>
        <v/>
      </c>
      <c r="L808" s="7" t="str">
        <f t="shared" si="539"/>
        <v/>
      </c>
      <c r="M808" s="7" t="str">
        <f t="shared" si="532"/>
        <v/>
      </c>
      <c r="N808" s="7">
        <f t="shared" si="540"/>
        <v>12.463999999999999</v>
      </c>
      <c r="O808" s="7" t="str">
        <f t="shared" si="541"/>
        <v/>
      </c>
      <c r="P808" s="7" t="str">
        <f t="shared" si="542"/>
        <v/>
      </c>
      <c r="Q808" s="7" t="str">
        <f t="shared" si="543"/>
        <v/>
      </c>
      <c r="R808" s="7" t="str">
        <f t="shared" si="544"/>
        <v/>
      </c>
      <c r="S808" s="7" t="str">
        <f t="shared" si="545"/>
        <v/>
      </c>
    </row>
    <row r="809" spans="1:19">
      <c r="A809" s="50" t="s">
        <v>108</v>
      </c>
      <c r="B809" s="53" t="s">
        <v>6</v>
      </c>
      <c r="C809" s="53">
        <v>5</v>
      </c>
      <c r="D809" s="42">
        <v>1.5</v>
      </c>
      <c r="E809" s="42">
        <v>1.5</v>
      </c>
      <c r="F809" s="55">
        <v>0.4</v>
      </c>
      <c r="K809" s="7" t="str">
        <f t="shared" si="530"/>
        <v/>
      </c>
      <c r="L809" s="7" t="str">
        <f t="shared" si="539"/>
        <v/>
      </c>
      <c r="M809" s="7" t="str">
        <f t="shared" si="532"/>
        <v/>
      </c>
      <c r="N809" s="7" t="str">
        <f t="shared" si="540"/>
        <v/>
      </c>
      <c r="O809" s="7" t="str">
        <f t="shared" si="541"/>
        <v/>
      </c>
      <c r="P809" s="7" t="str">
        <f t="shared" si="542"/>
        <v/>
      </c>
      <c r="Q809" s="7" t="str">
        <f t="shared" si="543"/>
        <v/>
      </c>
      <c r="R809" s="7" t="str">
        <f t="shared" si="544"/>
        <v/>
      </c>
      <c r="S809" s="7" t="str">
        <f t="shared" si="545"/>
        <v/>
      </c>
    </row>
    <row r="810" spans="1:19">
      <c r="A810" t="s">
        <v>66</v>
      </c>
      <c r="B810" s="53"/>
      <c r="C810" s="53"/>
      <c r="F810" s="54"/>
      <c r="G810" s="9">
        <v>1</v>
      </c>
      <c r="H810" s="9">
        <v>11</v>
      </c>
      <c r="I810" s="9">
        <v>12</v>
      </c>
      <c r="J810" s="9">
        <f>(E809-0.05)+34*I810/1000</f>
        <v>1.8579999999999999</v>
      </c>
      <c r="K810" s="7" t="str">
        <f t="shared" si="530"/>
        <v/>
      </c>
      <c r="L810" s="7" t="str">
        <f t="shared" si="539"/>
        <v/>
      </c>
      <c r="M810" s="7" t="str">
        <f t="shared" si="532"/>
        <v/>
      </c>
      <c r="N810" s="7">
        <f t="shared" si="540"/>
        <v>20.437999999999999</v>
      </c>
      <c r="O810" s="7" t="str">
        <f t="shared" si="541"/>
        <v/>
      </c>
      <c r="P810" s="7" t="str">
        <f t="shared" si="542"/>
        <v/>
      </c>
      <c r="Q810" s="7" t="str">
        <f t="shared" si="543"/>
        <v/>
      </c>
      <c r="R810" s="7" t="str">
        <f t="shared" si="544"/>
        <v/>
      </c>
      <c r="S810" s="7" t="str">
        <f t="shared" si="545"/>
        <v/>
      </c>
    </row>
    <row r="811" spans="1:19">
      <c r="A811" t="s">
        <v>67</v>
      </c>
      <c r="B811" s="53"/>
      <c r="C811" s="53"/>
      <c r="F811" s="54"/>
      <c r="G811" s="9">
        <v>1</v>
      </c>
      <c r="H811" s="9">
        <v>11</v>
      </c>
      <c r="I811" s="9">
        <v>12</v>
      </c>
      <c r="J811" s="9">
        <f>(D809-0.05)+34*I811/1000</f>
        <v>1.8579999999999999</v>
      </c>
      <c r="K811" s="7" t="str">
        <f t="shared" si="530"/>
        <v/>
      </c>
      <c r="L811" s="7" t="str">
        <f t="shared" si="539"/>
        <v/>
      </c>
      <c r="M811" s="7" t="str">
        <f t="shared" si="532"/>
        <v/>
      </c>
      <c r="N811" s="7">
        <f t="shared" si="540"/>
        <v>20.437999999999999</v>
      </c>
      <c r="O811" s="7" t="str">
        <f t="shared" si="541"/>
        <v/>
      </c>
      <c r="P811" s="7" t="str">
        <f t="shared" si="542"/>
        <v/>
      </c>
      <c r="Q811" s="7" t="str">
        <f t="shared" si="543"/>
        <v/>
      </c>
      <c r="R811" s="7" t="str">
        <f t="shared" si="544"/>
        <v/>
      </c>
      <c r="S811" s="7" t="str">
        <f t="shared" si="545"/>
        <v/>
      </c>
    </row>
    <row r="812" spans="1:19">
      <c r="A812" s="50" t="s">
        <v>107</v>
      </c>
      <c r="B812" s="53" t="s">
        <v>7</v>
      </c>
      <c r="C812" s="53">
        <v>6</v>
      </c>
      <c r="D812" s="42">
        <v>1.5</v>
      </c>
      <c r="E812" s="42">
        <v>1.5</v>
      </c>
      <c r="F812" s="55">
        <v>0.4</v>
      </c>
      <c r="K812" s="7" t="str">
        <f t="shared" si="530"/>
        <v/>
      </c>
      <c r="L812" s="7" t="str">
        <f t="shared" si="539"/>
        <v/>
      </c>
      <c r="M812" s="7" t="str">
        <f t="shared" si="532"/>
        <v/>
      </c>
      <c r="N812" s="7" t="str">
        <f t="shared" si="540"/>
        <v/>
      </c>
      <c r="O812" s="7" t="str">
        <f t="shared" si="541"/>
        <v/>
      </c>
      <c r="P812" s="7" t="str">
        <f t="shared" si="542"/>
        <v/>
      </c>
      <c r="Q812" s="7" t="str">
        <f t="shared" si="543"/>
        <v/>
      </c>
      <c r="R812" s="7" t="str">
        <f t="shared" si="544"/>
        <v/>
      </c>
      <c r="S812" s="7" t="str">
        <f t="shared" si="545"/>
        <v/>
      </c>
    </row>
    <row r="813" spans="1:19">
      <c r="A813" t="s">
        <v>66</v>
      </c>
      <c r="B813" s="53"/>
      <c r="C813" s="53"/>
      <c r="F813" s="54"/>
      <c r="G813" s="9">
        <v>1</v>
      </c>
      <c r="H813" s="9">
        <v>11</v>
      </c>
      <c r="I813" s="9">
        <v>12</v>
      </c>
      <c r="J813" s="9">
        <f>(E812-0.05)+34*I813/1000</f>
        <v>1.8579999999999999</v>
      </c>
      <c r="K813" s="7" t="str">
        <f t="shared" si="530"/>
        <v/>
      </c>
      <c r="L813" s="7" t="str">
        <f t="shared" si="539"/>
        <v/>
      </c>
      <c r="M813" s="7" t="str">
        <f t="shared" si="532"/>
        <v/>
      </c>
      <c r="N813" s="7">
        <f t="shared" si="540"/>
        <v>20.437999999999999</v>
      </c>
      <c r="O813" s="7" t="str">
        <f t="shared" si="541"/>
        <v/>
      </c>
      <c r="P813" s="7" t="str">
        <f t="shared" si="542"/>
        <v/>
      </c>
      <c r="Q813" s="7" t="str">
        <f t="shared" si="543"/>
        <v/>
      </c>
      <c r="R813" s="7" t="str">
        <f t="shared" si="544"/>
        <v/>
      </c>
      <c r="S813" s="7" t="str">
        <f t="shared" si="545"/>
        <v/>
      </c>
    </row>
    <row r="814" spans="1:19">
      <c r="A814" t="s">
        <v>67</v>
      </c>
      <c r="B814" s="53"/>
      <c r="C814" s="53"/>
      <c r="F814" s="54"/>
      <c r="G814" s="9">
        <v>1</v>
      </c>
      <c r="H814" s="9">
        <v>11</v>
      </c>
      <c r="I814" s="9">
        <v>12</v>
      </c>
      <c r="J814" s="9">
        <f>(D812-0.05)+34*I814/1000</f>
        <v>1.8579999999999999</v>
      </c>
      <c r="K814" s="7" t="str">
        <f t="shared" si="530"/>
        <v/>
      </c>
      <c r="L814" s="7" t="str">
        <f t="shared" si="539"/>
        <v/>
      </c>
      <c r="M814" s="7" t="str">
        <f t="shared" si="532"/>
        <v/>
      </c>
      <c r="N814" s="7">
        <f t="shared" si="540"/>
        <v>20.437999999999999</v>
      </c>
      <c r="O814" s="7" t="str">
        <f t="shared" si="541"/>
        <v/>
      </c>
      <c r="P814" s="7" t="str">
        <f t="shared" si="542"/>
        <v/>
      </c>
      <c r="Q814" s="7" t="str">
        <f t="shared" si="543"/>
        <v/>
      </c>
      <c r="R814" s="7" t="str">
        <f t="shared" si="544"/>
        <v/>
      </c>
      <c r="S814" s="7" t="str">
        <f t="shared" si="545"/>
        <v/>
      </c>
    </row>
    <row r="815" spans="1:19">
      <c r="A815" s="50" t="s">
        <v>107</v>
      </c>
      <c r="B815" s="53" t="s">
        <v>7</v>
      </c>
      <c r="C815" s="53">
        <v>7</v>
      </c>
      <c r="D815" s="42">
        <v>1.5</v>
      </c>
      <c r="E815" s="42">
        <v>1.5</v>
      </c>
      <c r="F815" s="55">
        <v>0.4</v>
      </c>
      <c r="K815" s="7" t="str">
        <f t="shared" si="530"/>
        <v/>
      </c>
      <c r="L815" s="7" t="str">
        <f t="shared" si="539"/>
        <v/>
      </c>
      <c r="M815" s="7" t="str">
        <f t="shared" si="532"/>
        <v/>
      </c>
      <c r="N815" s="7" t="str">
        <f t="shared" si="540"/>
        <v/>
      </c>
      <c r="O815" s="7" t="str">
        <f t="shared" si="541"/>
        <v/>
      </c>
      <c r="P815" s="7" t="str">
        <f t="shared" si="542"/>
        <v/>
      </c>
      <c r="Q815" s="7" t="str">
        <f t="shared" si="543"/>
        <v/>
      </c>
      <c r="R815" s="7" t="str">
        <f t="shared" si="544"/>
        <v/>
      </c>
      <c r="S815" s="7" t="str">
        <f t="shared" si="545"/>
        <v/>
      </c>
    </row>
    <row r="816" spans="1:19">
      <c r="A816" t="s">
        <v>66</v>
      </c>
      <c r="B816" s="53"/>
      <c r="C816" s="53"/>
      <c r="F816" s="54"/>
      <c r="G816" s="9">
        <v>1</v>
      </c>
      <c r="H816" s="9">
        <v>11</v>
      </c>
      <c r="I816" s="9">
        <v>12</v>
      </c>
      <c r="J816" s="9">
        <f>(E815-0.05)+34*I816/1000</f>
        <v>1.8579999999999999</v>
      </c>
      <c r="K816" s="7" t="str">
        <f t="shared" si="530"/>
        <v/>
      </c>
      <c r="L816" s="7" t="str">
        <f t="shared" si="539"/>
        <v/>
      </c>
      <c r="M816" s="7" t="str">
        <f t="shared" si="532"/>
        <v/>
      </c>
      <c r="N816" s="7">
        <f t="shared" si="540"/>
        <v>20.437999999999999</v>
      </c>
      <c r="O816" s="7" t="str">
        <f t="shared" si="541"/>
        <v/>
      </c>
      <c r="P816" s="7" t="str">
        <f t="shared" si="542"/>
        <v/>
      </c>
      <c r="Q816" s="7" t="str">
        <f t="shared" si="543"/>
        <v/>
      </c>
      <c r="R816" s="7" t="str">
        <f t="shared" si="544"/>
        <v/>
      </c>
      <c r="S816" s="7" t="str">
        <f t="shared" si="545"/>
        <v/>
      </c>
    </row>
    <row r="817" spans="1:19">
      <c r="A817" t="s">
        <v>67</v>
      </c>
      <c r="B817" s="53"/>
      <c r="C817" s="53"/>
      <c r="F817" s="54"/>
      <c r="G817" s="9">
        <v>1</v>
      </c>
      <c r="H817" s="9">
        <v>11</v>
      </c>
      <c r="I817" s="9">
        <v>12</v>
      </c>
      <c r="J817" s="9">
        <f>(D815-0.05)+34*I817/1000</f>
        <v>1.8579999999999999</v>
      </c>
      <c r="K817" s="7" t="str">
        <f t="shared" si="530"/>
        <v/>
      </c>
      <c r="L817" s="7" t="str">
        <f t="shared" si="539"/>
        <v/>
      </c>
      <c r="M817" s="7" t="str">
        <f t="shared" si="532"/>
        <v/>
      </c>
      <c r="N817" s="7">
        <f t="shared" si="540"/>
        <v>20.437999999999999</v>
      </c>
      <c r="O817" s="7" t="str">
        <f t="shared" si="541"/>
        <v/>
      </c>
      <c r="P817" s="7" t="str">
        <f t="shared" si="542"/>
        <v/>
      </c>
      <c r="Q817" s="7" t="str">
        <f t="shared" si="543"/>
        <v/>
      </c>
      <c r="R817" s="7" t="str">
        <f t="shared" si="544"/>
        <v/>
      </c>
      <c r="S817" s="7" t="str">
        <f t="shared" si="545"/>
        <v/>
      </c>
    </row>
    <row r="818" spans="1:19">
      <c r="A818" s="50" t="s">
        <v>109</v>
      </c>
      <c r="B818" s="53" t="s">
        <v>7</v>
      </c>
      <c r="C818" s="53">
        <v>8</v>
      </c>
      <c r="D818" s="42">
        <v>1.2</v>
      </c>
      <c r="E818" s="42">
        <v>1.2</v>
      </c>
      <c r="F818" s="55">
        <v>0.3</v>
      </c>
      <c r="K818" s="7" t="str">
        <f t="shared" si="530"/>
        <v/>
      </c>
      <c r="L818" s="7" t="str">
        <f t="shared" si="539"/>
        <v/>
      </c>
      <c r="M818" s="7" t="str">
        <f t="shared" si="532"/>
        <v/>
      </c>
      <c r="N818" s="7" t="str">
        <f t="shared" si="540"/>
        <v/>
      </c>
      <c r="O818" s="7" t="str">
        <f t="shared" si="541"/>
        <v/>
      </c>
      <c r="P818" s="7" t="str">
        <f t="shared" si="542"/>
        <v/>
      </c>
      <c r="Q818" s="7" t="str">
        <f t="shared" si="543"/>
        <v/>
      </c>
      <c r="R818" s="7" t="str">
        <f t="shared" si="544"/>
        <v/>
      </c>
      <c r="S818" s="7" t="str">
        <f t="shared" si="545"/>
        <v/>
      </c>
    </row>
    <row r="819" spans="1:19">
      <c r="A819" t="s">
        <v>66</v>
      </c>
      <c r="B819" s="53"/>
      <c r="C819" s="53"/>
      <c r="F819" s="54"/>
      <c r="G819" s="9">
        <v>1</v>
      </c>
      <c r="H819" s="9">
        <v>8</v>
      </c>
      <c r="I819" s="9">
        <v>12</v>
      </c>
      <c r="J819" s="9">
        <f>(E818-0.05)+34*I819/1000</f>
        <v>1.5579999999999998</v>
      </c>
      <c r="K819" s="7" t="str">
        <f t="shared" si="530"/>
        <v/>
      </c>
      <c r="L819" s="7" t="str">
        <f t="shared" si="539"/>
        <v/>
      </c>
      <c r="M819" s="7" t="str">
        <f t="shared" si="532"/>
        <v/>
      </c>
      <c r="N819" s="7">
        <f t="shared" si="540"/>
        <v>12.463999999999999</v>
      </c>
      <c r="O819" s="7" t="str">
        <f t="shared" si="541"/>
        <v/>
      </c>
      <c r="P819" s="7" t="str">
        <f t="shared" si="542"/>
        <v/>
      </c>
      <c r="Q819" s="7" t="str">
        <f t="shared" si="543"/>
        <v/>
      </c>
      <c r="R819" s="7" t="str">
        <f t="shared" si="544"/>
        <v/>
      </c>
      <c r="S819" s="7" t="str">
        <f t="shared" si="545"/>
        <v/>
      </c>
    </row>
    <row r="820" spans="1:19">
      <c r="A820" t="s">
        <v>67</v>
      </c>
      <c r="B820" s="53"/>
      <c r="C820" s="53"/>
      <c r="F820" s="54"/>
      <c r="G820" s="9">
        <v>1</v>
      </c>
      <c r="H820" s="9">
        <v>8</v>
      </c>
      <c r="I820" s="9">
        <v>12</v>
      </c>
      <c r="J820" s="9">
        <f>(D818-0.05)+34*I820/1000</f>
        <v>1.5579999999999998</v>
      </c>
      <c r="K820" s="7" t="str">
        <f t="shared" si="530"/>
        <v/>
      </c>
      <c r="L820" s="7" t="str">
        <f t="shared" si="539"/>
        <v/>
      </c>
      <c r="M820" s="7" t="str">
        <f t="shared" si="532"/>
        <v/>
      </c>
      <c r="N820" s="7">
        <f t="shared" si="540"/>
        <v>12.463999999999999</v>
      </c>
      <c r="O820" s="7" t="str">
        <f t="shared" si="541"/>
        <v/>
      </c>
      <c r="P820" s="7" t="str">
        <f t="shared" si="542"/>
        <v/>
      </c>
      <c r="Q820" s="7" t="str">
        <f t="shared" si="543"/>
        <v/>
      </c>
      <c r="R820" s="7" t="str">
        <f t="shared" si="544"/>
        <v/>
      </c>
      <c r="S820" s="7" t="str">
        <f t="shared" si="545"/>
        <v/>
      </c>
    </row>
    <row r="821" spans="1:19">
      <c r="A821" s="50" t="s">
        <v>107</v>
      </c>
      <c r="B821" s="53" t="s">
        <v>8</v>
      </c>
      <c r="C821" s="53">
        <v>1</v>
      </c>
      <c r="D821">
        <v>1.5</v>
      </c>
      <c r="E821">
        <v>1.5</v>
      </c>
      <c r="F821" s="55">
        <v>0.4</v>
      </c>
      <c r="K821" s="7" t="str">
        <f t="shared" si="530"/>
        <v/>
      </c>
      <c r="L821" s="7" t="str">
        <f t="shared" si="539"/>
        <v/>
      </c>
      <c r="M821" s="7" t="str">
        <f t="shared" si="532"/>
        <v/>
      </c>
      <c r="N821" s="7" t="str">
        <f t="shared" si="540"/>
        <v/>
      </c>
      <c r="O821" s="7" t="str">
        <f t="shared" si="541"/>
        <v/>
      </c>
      <c r="P821" s="7" t="str">
        <f t="shared" si="542"/>
        <v/>
      </c>
      <c r="Q821" s="7" t="str">
        <f t="shared" si="543"/>
        <v/>
      </c>
      <c r="R821" s="7" t="str">
        <f t="shared" si="544"/>
        <v/>
      </c>
      <c r="S821" s="7" t="str">
        <f t="shared" si="545"/>
        <v/>
      </c>
    </row>
    <row r="822" spans="1:19">
      <c r="A822" t="s">
        <v>66</v>
      </c>
      <c r="B822" s="53"/>
      <c r="C822" s="53"/>
      <c r="F822" s="54"/>
      <c r="G822" s="9">
        <v>1</v>
      </c>
      <c r="H822" s="9">
        <v>11</v>
      </c>
      <c r="I822" s="9">
        <v>12</v>
      </c>
      <c r="J822" s="9">
        <f>(E821-0.05)+34*I822/1000</f>
        <v>1.8579999999999999</v>
      </c>
      <c r="K822" s="7" t="str">
        <f t="shared" si="530"/>
        <v/>
      </c>
      <c r="L822" s="7" t="str">
        <f t="shared" si="539"/>
        <v/>
      </c>
      <c r="M822" s="7" t="str">
        <f t="shared" si="532"/>
        <v/>
      </c>
      <c r="N822" s="7">
        <f t="shared" si="540"/>
        <v>20.437999999999999</v>
      </c>
      <c r="O822" s="7" t="str">
        <f t="shared" si="541"/>
        <v/>
      </c>
      <c r="P822" s="7" t="str">
        <f t="shared" si="542"/>
        <v/>
      </c>
      <c r="Q822" s="7" t="str">
        <f t="shared" si="543"/>
        <v/>
      </c>
      <c r="R822" s="7" t="str">
        <f t="shared" si="544"/>
        <v/>
      </c>
      <c r="S822" s="7" t="str">
        <f t="shared" si="545"/>
        <v/>
      </c>
    </row>
    <row r="823" spans="1:19">
      <c r="A823" t="s">
        <v>67</v>
      </c>
      <c r="B823" s="53"/>
      <c r="C823" s="53"/>
      <c r="F823" s="54"/>
      <c r="G823" s="9">
        <v>1</v>
      </c>
      <c r="H823" s="9">
        <v>11</v>
      </c>
      <c r="I823" s="9">
        <v>12</v>
      </c>
      <c r="J823" s="9">
        <f>(D821-0.05)+34*I823/1000</f>
        <v>1.8579999999999999</v>
      </c>
      <c r="K823" s="7" t="str">
        <f t="shared" si="530"/>
        <v/>
      </c>
      <c r="L823" s="7" t="str">
        <f t="shared" si="539"/>
        <v/>
      </c>
      <c r="M823" s="7" t="str">
        <f t="shared" si="532"/>
        <v/>
      </c>
      <c r="N823" s="7">
        <f t="shared" si="540"/>
        <v>20.437999999999999</v>
      </c>
      <c r="O823" s="7" t="str">
        <f t="shared" si="541"/>
        <v/>
      </c>
      <c r="P823" s="7" t="str">
        <f t="shared" si="542"/>
        <v/>
      </c>
      <c r="Q823" s="7" t="str">
        <f t="shared" si="543"/>
        <v/>
      </c>
      <c r="R823" s="7" t="str">
        <f t="shared" si="544"/>
        <v/>
      </c>
      <c r="S823" s="7" t="str">
        <f t="shared" si="545"/>
        <v/>
      </c>
    </row>
    <row r="824" spans="1:19">
      <c r="A824" s="50" t="s">
        <v>108</v>
      </c>
      <c r="B824" s="53" t="s">
        <v>9</v>
      </c>
      <c r="C824" s="53">
        <v>5</v>
      </c>
      <c r="D824" s="42">
        <v>1.5</v>
      </c>
      <c r="E824" s="42">
        <v>1.3</v>
      </c>
      <c r="F824" s="55">
        <v>0.4</v>
      </c>
      <c r="K824" s="7" t="str">
        <f t="shared" si="530"/>
        <v/>
      </c>
      <c r="L824" s="7" t="str">
        <f t="shared" si="539"/>
        <v/>
      </c>
      <c r="M824" s="7" t="str">
        <f t="shared" si="532"/>
        <v/>
      </c>
      <c r="N824" s="7" t="str">
        <f t="shared" si="540"/>
        <v/>
      </c>
      <c r="O824" s="7" t="str">
        <f t="shared" si="541"/>
        <v/>
      </c>
      <c r="P824" s="7" t="str">
        <f t="shared" si="542"/>
        <v/>
      </c>
      <c r="Q824" s="7" t="str">
        <f t="shared" si="543"/>
        <v/>
      </c>
      <c r="R824" s="7" t="str">
        <f t="shared" si="544"/>
        <v/>
      </c>
      <c r="S824" s="7" t="str">
        <f t="shared" si="545"/>
        <v/>
      </c>
    </row>
    <row r="825" spans="1:19">
      <c r="A825" t="s">
        <v>66</v>
      </c>
      <c r="B825" s="53"/>
      <c r="C825" s="53"/>
      <c r="F825" s="54"/>
      <c r="G825" s="9">
        <v>1</v>
      </c>
      <c r="H825" s="9">
        <v>11</v>
      </c>
      <c r="I825" s="9">
        <v>12</v>
      </c>
      <c r="J825" s="9">
        <f>(E824-0.05)+34*I825/1000</f>
        <v>1.6579999999999999</v>
      </c>
      <c r="K825" s="7" t="str">
        <f t="shared" si="530"/>
        <v/>
      </c>
      <c r="L825" s="7" t="str">
        <f t="shared" si="539"/>
        <v/>
      </c>
      <c r="M825" s="7" t="str">
        <f t="shared" si="532"/>
        <v/>
      </c>
      <c r="N825" s="7">
        <f t="shared" si="540"/>
        <v>18.238</v>
      </c>
      <c r="O825" s="7" t="str">
        <f t="shared" si="541"/>
        <v/>
      </c>
      <c r="P825" s="7" t="str">
        <f t="shared" si="542"/>
        <v/>
      </c>
      <c r="Q825" s="7" t="str">
        <f t="shared" si="543"/>
        <v/>
      </c>
      <c r="R825" s="7" t="str">
        <f t="shared" si="544"/>
        <v/>
      </c>
      <c r="S825" s="7" t="str">
        <f t="shared" si="545"/>
        <v/>
      </c>
    </row>
    <row r="826" spans="1:19">
      <c r="A826" t="s">
        <v>67</v>
      </c>
      <c r="B826" s="53"/>
      <c r="C826" s="53"/>
      <c r="F826" s="54"/>
      <c r="G826" s="9">
        <v>1</v>
      </c>
      <c r="H826" s="9">
        <v>11</v>
      </c>
      <c r="I826" s="9">
        <v>12</v>
      </c>
      <c r="J826" s="9">
        <f>(D824-0.05)+34*I826/1000</f>
        <v>1.8579999999999999</v>
      </c>
      <c r="K826" s="7" t="str">
        <f t="shared" si="530"/>
        <v/>
      </c>
      <c r="L826" s="7" t="str">
        <f t="shared" si="539"/>
        <v/>
      </c>
      <c r="M826" s="7" t="str">
        <f t="shared" si="532"/>
        <v/>
      </c>
      <c r="N826" s="7">
        <f t="shared" si="540"/>
        <v>20.437999999999999</v>
      </c>
      <c r="O826" s="7" t="str">
        <f t="shared" si="541"/>
        <v/>
      </c>
      <c r="P826" s="7" t="str">
        <f t="shared" si="542"/>
        <v/>
      </c>
      <c r="Q826" s="7" t="str">
        <f t="shared" si="543"/>
        <v/>
      </c>
      <c r="R826" s="7" t="str">
        <f t="shared" si="544"/>
        <v/>
      </c>
      <c r="S826" s="7" t="str">
        <f t="shared" si="545"/>
        <v/>
      </c>
    </row>
    <row r="827" spans="1:19">
      <c r="A827" s="50" t="s">
        <v>107</v>
      </c>
      <c r="B827" s="53" t="s">
        <v>9</v>
      </c>
      <c r="C827" s="53">
        <v>6</v>
      </c>
      <c r="D827" s="42">
        <v>1.5</v>
      </c>
      <c r="E827" s="42">
        <v>1.5</v>
      </c>
      <c r="F827" s="55">
        <v>0.4</v>
      </c>
      <c r="K827" s="7" t="str">
        <f t="shared" si="530"/>
        <v/>
      </c>
      <c r="L827" s="7" t="str">
        <f t="shared" si="539"/>
        <v/>
      </c>
      <c r="M827" s="7" t="str">
        <f t="shared" si="532"/>
        <v/>
      </c>
      <c r="N827" s="7" t="str">
        <f t="shared" si="540"/>
        <v/>
      </c>
      <c r="O827" s="7" t="str">
        <f t="shared" si="541"/>
        <v/>
      </c>
      <c r="P827" s="7" t="str">
        <f t="shared" si="542"/>
        <v/>
      </c>
      <c r="Q827" s="7" t="str">
        <f t="shared" si="543"/>
        <v/>
      </c>
      <c r="R827" s="7" t="str">
        <f t="shared" si="544"/>
        <v/>
      </c>
      <c r="S827" s="7" t="str">
        <f t="shared" si="545"/>
        <v/>
      </c>
    </row>
    <row r="828" spans="1:19">
      <c r="A828" t="s">
        <v>66</v>
      </c>
      <c r="B828" s="53"/>
      <c r="C828" s="53"/>
      <c r="F828" s="54"/>
      <c r="G828" s="9">
        <v>1</v>
      </c>
      <c r="H828" s="9">
        <v>11</v>
      </c>
      <c r="I828" s="9">
        <v>12</v>
      </c>
      <c r="J828" s="9">
        <f>(E827-0.05)+34*I828/1000</f>
        <v>1.8579999999999999</v>
      </c>
      <c r="K828" s="7" t="str">
        <f t="shared" si="530"/>
        <v/>
      </c>
      <c r="L828" s="7" t="str">
        <f t="shared" si="539"/>
        <v/>
      </c>
      <c r="M828" s="7" t="str">
        <f t="shared" si="532"/>
        <v/>
      </c>
      <c r="N828" s="7">
        <f t="shared" si="540"/>
        <v>20.437999999999999</v>
      </c>
      <c r="O828" s="7" t="str">
        <f t="shared" si="541"/>
        <v/>
      </c>
      <c r="P828" s="7" t="str">
        <f t="shared" si="542"/>
        <v/>
      </c>
      <c r="Q828" s="7" t="str">
        <f t="shared" si="543"/>
        <v/>
      </c>
      <c r="R828" s="7" t="str">
        <f t="shared" si="544"/>
        <v/>
      </c>
      <c r="S828" s="7" t="str">
        <f t="shared" si="545"/>
        <v/>
      </c>
    </row>
    <row r="829" spans="1:19">
      <c r="A829" t="s">
        <v>67</v>
      </c>
      <c r="B829" s="53"/>
      <c r="C829" s="53"/>
      <c r="F829" s="54"/>
      <c r="G829" s="9">
        <v>1</v>
      </c>
      <c r="H829" s="9">
        <v>11</v>
      </c>
      <c r="I829" s="9">
        <v>12</v>
      </c>
      <c r="J829" s="9">
        <f>(D827-0.05)+34*I829/1000</f>
        <v>1.8579999999999999</v>
      </c>
      <c r="K829" s="7" t="str">
        <f t="shared" si="530"/>
        <v/>
      </c>
      <c r="L829" s="7" t="str">
        <f t="shared" si="539"/>
        <v/>
      </c>
      <c r="M829" s="7" t="str">
        <f t="shared" si="532"/>
        <v/>
      </c>
      <c r="N829" s="7">
        <f t="shared" si="540"/>
        <v>20.437999999999999</v>
      </c>
      <c r="O829" s="7" t="str">
        <f t="shared" si="541"/>
        <v/>
      </c>
      <c r="P829" s="7" t="str">
        <f t="shared" si="542"/>
        <v/>
      </c>
      <c r="Q829" s="7" t="str">
        <f t="shared" si="543"/>
        <v/>
      </c>
      <c r="R829" s="7" t="str">
        <f t="shared" si="544"/>
        <v/>
      </c>
      <c r="S829" s="7" t="str">
        <f t="shared" si="545"/>
        <v/>
      </c>
    </row>
    <row r="830" spans="1:19">
      <c r="A830" s="50" t="s">
        <v>107</v>
      </c>
      <c r="B830" s="53" t="s">
        <v>9</v>
      </c>
      <c r="C830" s="53">
        <v>7</v>
      </c>
      <c r="D830" s="42">
        <v>1.5</v>
      </c>
      <c r="E830" s="42">
        <v>1.5</v>
      </c>
      <c r="F830" s="55">
        <v>0.4</v>
      </c>
      <c r="K830" s="7" t="str">
        <f t="shared" si="530"/>
        <v/>
      </c>
      <c r="L830" s="7" t="str">
        <f t="shared" si="539"/>
        <v/>
      </c>
      <c r="M830" s="7" t="str">
        <f t="shared" si="532"/>
        <v/>
      </c>
      <c r="N830" s="7" t="str">
        <f t="shared" si="540"/>
        <v/>
      </c>
      <c r="O830" s="7" t="str">
        <f t="shared" si="541"/>
        <v/>
      </c>
      <c r="P830" s="7" t="str">
        <f t="shared" si="542"/>
        <v/>
      </c>
      <c r="Q830" s="7" t="str">
        <f t="shared" si="543"/>
        <v/>
      </c>
      <c r="R830" s="7" t="str">
        <f t="shared" si="544"/>
        <v/>
      </c>
      <c r="S830" s="7" t="str">
        <f t="shared" si="545"/>
        <v/>
      </c>
    </row>
    <row r="831" spans="1:19">
      <c r="A831" t="s">
        <v>66</v>
      </c>
      <c r="B831" s="53"/>
      <c r="C831" s="53"/>
      <c r="F831" s="54"/>
      <c r="G831" s="9">
        <v>1</v>
      </c>
      <c r="H831" s="9">
        <v>11</v>
      </c>
      <c r="I831" s="9">
        <v>12</v>
      </c>
      <c r="J831" s="9">
        <f>(E830-0.05)+34*I831/1000</f>
        <v>1.8579999999999999</v>
      </c>
      <c r="K831" s="7" t="str">
        <f t="shared" si="530"/>
        <v/>
      </c>
      <c r="L831" s="7" t="str">
        <f t="shared" si="539"/>
        <v/>
      </c>
      <c r="M831" s="7" t="str">
        <f t="shared" si="532"/>
        <v/>
      </c>
      <c r="N831" s="7">
        <f t="shared" si="540"/>
        <v>20.437999999999999</v>
      </c>
      <c r="O831" s="7" t="str">
        <f t="shared" si="541"/>
        <v/>
      </c>
      <c r="P831" s="7" t="str">
        <f t="shared" si="542"/>
        <v/>
      </c>
      <c r="Q831" s="7" t="str">
        <f t="shared" si="543"/>
        <v/>
      </c>
      <c r="R831" s="7" t="str">
        <f t="shared" si="544"/>
        <v/>
      </c>
      <c r="S831" s="7" t="str">
        <f t="shared" si="545"/>
        <v/>
      </c>
    </row>
    <row r="832" spans="1:19">
      <c r="A832" t="s">
        <v>67</v>
      </c>
      <c r="B832" s="53"/>
      <c r="C832" s="53"/>
      <c r="F832" s="54"/>
      <c r="G832" s="9">
        <v>1</v>
      </c>
      <c r="H832" s="9">
        <v>11</v>
      </c>
      <c r="I832" s="9">
        <v>12</v>
      </c>
      <c r="J832" s="9">
        <f>(D830-0.05)+34*I832/1000</f>
        <v>1.8579999999999999</v>
      </c>
      <c r="K832" s="7" t="str">
        <f t="shared" si="530"/>
        <v/>
      </c>
      <c r="L832" s="7" t="str">
        <f t="shared" si="539"/>
        <v/>
      </c>
      <c r="M832" s="7" t="str">
        <f t="shared" si="532"/>
        <v/>
      </c>
      <c r="N832" s="7">
        <f t="shared" si="540"/>
        <v>20.437999999999999</v>
      </c>
      <c r="O832" s="7" t="str">
        <f t="shared" si="541"/>
        <v/>
      </c>
      <c r="P832" s="7" t="str">
        <f t="shared" si="542"/>
        <v/>
      </c>
      <c r="Q832" s="7" t="str">
        <f t="shared" si="543"/>
        <v/>
      </c>
      <c r="R832" s="7" t="str">
        <f t="shared" si="544"/>
        <v/>
      </c>
      <c r="S832" s="7" t="str">
        <f t="shared" si="545"/>
        <v/>
      </c>
    </row>
    <row r="833" spans="1:19">
      <c r="A833" s="50" t="s">
        <v>109</v>
      </c>
      <c r="B833" s="53" t="s">
        <v>9</v>
      </c>
      <c r="C833" s="53">
        <v>8</v>
      </c>
      <c r="D833" s="42">
        <v>1.2</v>
      </c>
      <c r="E833" s="42">
        <v>1.2</v>
      </c>
      <c r="F833" s="55">
        <v>0.3</v>
      </c>
      <c r="K833" s="7" t="str">
        <f t="shared" si="530"/>
        <v/>
      </c>
      <c r="L833" s="7" t="str">
        <f t="shared" si="539"/>
        <v/>
      </c>
      <c r="M833" s="7" t="str">
        <f t="shared" si="532"/>
        <v/>
      </c>
      <c r="N833" s="7" t="str">
        <f t="shared" si="540"/>
        <v/>
      </c>
      <c r="O833" s="7" t="str">
        <f t="shared" si="541"/>
        <v/>
      </c>
      <c r="P833" s="7" t="str">
        <f t="shared" si="542"/>
        <v/>
      </c>
      <c r="Q833" s="7" t="str">
        <f t="shared" si="543"/>
        <v/>
      </c>
      <c r="R833" s="7" t="str">
        <f t="shared" si="544"/>
        <v/>
      </c>
      <c r="S833" s="7" t="str">
        <f t="shared" si="545"/>
        <v/>
      </c>
    </row>
    <row r="834" spans="1:19">
      <c r="A834" t="s">
        <v>66</v>
      </c>
      <c r="B834" s="53"/>
      <c r="C834" s="53"/>
      <c r="F834" s="54"/>
      <c r="G834" s="9">
        <v>1</v>
      </c>
      <c r="H834" s="9">
        <v>8</v>
      </c>
      <c r="I834" s="9">
        <v>12</v>
      </c>
      <c r="J834" s="9">
        <f>(E833-0.05)+34*I834/1000</f>
        <v>1.5579999999999998</v>
      </c>
      <c r="K834" s="7" t="str">
        <f t="shared" si="530"/>
        <v/>
      </c>
      <c r="L834" s="7" t="str">
        <f t="shared" si="539"/>
        <v/>
      </c>
      <c r="M834" s="7" t="str">
        <f t="shared" si="532"/>
        <v/>
      </c>
      <c r="N834" s="7">
        <f t="shared" si="540"/>
        <v>12.463999999999999</v>
      </c>
      <c r="O834" s="7" t="str">
        <f t="shared" si="541"/>
        <v/>
      </c>
      <c r="P834" s="7" t="str">
        <f t="shared" si="542"/>
        <v/>
      </c>
      <c r="Q834" s="7" t="str">
        <f t="shared" si="543"/>
        <v/>
      </c>
      <c r="R834" s="7" t="str">
        <f t="shared" si="544"/>
        <v/>
      </c>
      <c r="S834" s="7" t="str">
        <f t="shared" si="545"/>
        <v/>
      </c>
    </row>
    <row r="835" spans="1:19">
      <c r="A835" t="s">
        <v>67</v>
      </c>
      <c r="B835" s="53"/>
      <c r="C835" s="53"/>
      <c r="F835" s="54"/>
      <c r="G835" s="9">
        <v>1</v>
      </c>
      <c r="H835" s="9">
        <v>8</v>
      </c>
      <c r="I835" s="9">
        <v>12</v>
      </c>
      <c r="J835" s="9">
        <f>(D833-0.05)+34*I835/1000</f>
        <v>1.5579999999999998</v>
      </c>
      <c r="K835" s="7" t="str">
        <f t="shared" si="530"/>
        <v/>
      </c>
      <c r="L835" s="7" t="str">
        <f t="shared" si="539"/>
        <v/>
      </c>
      <c r="M835" s="7" t="str">
        <f t="shared" si="532"/>
        <v/>
      </c>
      <c r="N835" s="7">
        <f t="shared" si="540"/>
        <v>12.463999999999999</v>
      </c>
      <c r="O835" s="7" t="str">
        <f t="shared" si="541"/>
        <v/>
      </c>
      <c r="P835" s="7" t="str">
        <f t="shared" si="542"/>
        <v/>
      </c>
      <c r="Q835" s="7" t="str">
        <f t="shared" si="543"/>
        <v/>
      </c>
      <c r="R835" s="7" t="str">
        <f t="shared" si="544"/>
        <v/>
      </c>
      <c r="S835" s="7" t="str">
        <f t="shared" si="545"/>
        <v/>
      </c>
    </row>
    <row r="836" spans="1:19">
      <c r="A836" s="50" t="s">
        <v>20</v>
      </c>
      <c r="B836" s="53" t="s">
        <v>11</v>
      </c>
      <c r="C836" s="53">
        <v>1</v>
      </c>
      <c r="D836">
        <v>1</v>
      </c>
      <c r="E836">
        <v>1</v>
      </c>
      <c r="F836" s="55">
        <v>0.25</v>
      </c>
      <c r="K836" s="7" t="str">
        <f t="shared" si="530"/>
        <v/>
      </c>
      <c r="L836" s="7" t="str">
        <f t="shared" si="539"/>
        <v/>
      </c>
      <c r="M836" s="7" t="str">
        <f t="shared" si="532"/>
        <v/>
      </c>
      <c r="N836" s="7" t="str">
        <f t="shared" si="540"/>
        <v/>
      </c>
      <c r="O836" s="7" t="str">
        <f t="shared" si="541"/>
        <v/>
      </c>
      <c r="P836" s="7" t="str">
        <f t="shared" si="542"/>
        <v/>
      </c>
      <c r="Q836" s="7" t="str">
        <f t="shared" si="543"/>
        <v/>
      </c>
      <c r="R836" s="7" t="str">
        <f t="shared" si="544"/>
        <v/>
      </c>
      <c r="S836" s="7" t="str">
        <f t="shared" si="545"/>
        <v/>
      </c>
    </row>
    <row r="837" spans="1:19">
      <c r="A837" t="s">
        <v>66</v>
      </c>
      <c r="B837" s="53"/>
      <c r="C837" s="53"/>
      <c r="F837" s="54"/>
      <c r="G837" s="9">
        <v>1</v>
      </c>
      <c r="H837" s="9">
        <v>6</v>
      </c>
      <c r="I837" s="9">
        <v>12</v>
      </c>
      <c r="J837" s="9">
        <f>(E836-0.05)+34*I837/1000</f>
        <v>1.3579999999999999</v>
      </c>
      <c r="K837" s="7" t="str">
        <f t="shared" si="530"/>
        <v/>
      </c>
      <c r="L837" s="7" t="str">
        <f t="shared" si="539"/>
        <v/>
      </c>
      <c r="M837" s="7" t="str">
        <f t="shared" si="532"/>
        <v/>
      </c>
      <c r="N837" s="7">
        <f t="shared" si="540"/>
        <v>8.1479999999999997</v>
      </c>
      <c r="O837" s="7" t="str">
        <f t="shared" si="541"/>
        <v/>
      </c>
      <c r="P837" s="7" t="str">
        <f t="shared" si="542"/>
        <v/>
      </c>
      <c r="Q837" s="7" t="str">
        <f t="shared" si="543"/>
        <v/>
      </c>
      <c r="R837" s="7" t="str">
        <f t="shared" si="544"/>
        <v/>
      </c>
      <c r="S837" s="7" t="str">
        <f t="shared" si="545"/>
        <v/>
      </c>
    </row>
    <row r="838" spans="1:19">
      <c r="A838" t="s">
        <v>67</v>
      </c>
      <c r="B838" s="53"/>
      <c r="C838" s="53"/>
      <c r="F838" s="54"/>
      <c r="G838" s="9">
        <v>1</v>
      </c>
      <c r="H838" s="9">
        <v>6</v>
      </c>
      <c r="I838" s="9">
        <v>12</v>
      </c>
      <c r="J838" s="9">
        <f>(D836-0.05)+34*I838/1000</f>
        <v>1.3579999999999999</v>
      </c>
      <c r="K838" s="7" t="str">
        <f t="shared" si="530"/>
        <v/>
      </c>
      <c r="L838" s="7" t="str">
        <f t="shared" si="539"/>
        <v/>
      </c>
      <c r="M838" s="7" t="str">
        <f t="shared" si="532"/>
        <v/>
      </c>
      <c r="N838" s="7">
        <f t="shared" si="540"/>
        <v>8.1479999999999997</v>
      </c>
      <c r="O838" s="7" t="str">
        <f t="shared" si="541"/>
        <v/>
      </c>
      <c r="P838" s="7" t="str">
        <f t="shared" si="542"/>
        <v/>
      </c>
      <c r="Q838" s="7" t="str">
        <f t="shared" si="543"/>
        <v/>
      </c>
      <c r="R838" s="7" t="str">
        <f t="shared" si="544"/>
        <v/>
      </c>
      <c r="S838" s="7" t="str">
        <f t="shared" si="545"/>
        <v/>
      </c>
    </row>
    <row r="839" spans="1:19">
      <c r="A839" s="50" t="s">
        <v>107</v>
      </c>
      <c r="B839" s="53" t="s">
        <v>11</v>
      </c>
      <c r="C839" s="53">
        <v>2</v>
      </c>
      <c r="D839">
        <v>1.5</v>
      </c>
      <c r="E839">
        <v>1.5</v>
      </c>
      <c r="F839" s="55">
        <v>0.25</v>
      </c>
      <c r="K839" s="7" t="str">
        <f t="shared" si="530"/>
        <v/>
      </c>
      <c r="L839" s="7" t="str">
        <f t="shared" si="539"/>
        <v/>
      </c>
      <c r="M839" s="7" t="str">
        <f t="shared" si="532"/>
        <v/>
      </c>
      <c r="N839" s="7" t="str">
        <f t="shared" si="540"/>
        <v/>
      </c>
      <c r="O839" s="7" t="str">
        <f t="shared" si="541"/>
        <v/>
      </c>
      <c r="P839" s="7" t="str">
        <f t="shared" si="542"/>
        <v/>
      </c>
      <c r="Q839" s="7" t="str">
        <f t="shared" si="543"/>
        <v/>
      </c>
      <c r="R839" s="7" t="str">
        <f t="shared" si="544"/>
        <v/>
      </c>
      <c r="S839" s="7" t="str">
        <f t="shared" si="545"/>
        <v/>
      </c>
    </row>
    <row r="840" spans="1:19">
      <c r="A840" t="s">
        <v>66</v>
      </c>
      <c r="B840" s="53"/>
      <c r="C840" s="53"/>
      <c r="F840" s="54"/>
      <c r="G840" s="9">
        <v>1</v>
      </c>
      <c r="H840" s="9">
        <v>11</v>
      </c>
      <c r="I840" s="9">
        <v>12</v>
      </c>
      <c r="J840" s="9">
        <f>(E839-0.05)+34*I840/1000</f>
        <v>1.8579999999999999</v>
      </c>
      <c r="K840" s="7" t="str">
        <f t="shared" si="530"/>
        <v/>
      </c>
      <c r="L840" s="7" t="str">
        <f t="shared" si="539"/>
        <v/>
      </c>
      <c r="M840" s="7" t="str">
        <f t="shared" si="532"/>
        <v/>
      </c>
      <c r="N840" s="7">
        <f t="shared" si="540"/>
        <v>20.437999999999999</v>
      </c>
      <c r="O840" s="7" t="str">
        <f t="shared" si="541"/>
        <v/>
      </c>
      <c r="P840" s="7" t="str">
        <f t="shared" si="542"/>
        <v/>
      </c>
      <c r="Q840" s="7" t="str">
        <f t="shared" si="543"/>
        <v/>
      </c>
      <c r="R840" s="7" t="str">
        <f t="shared" si="544"/>
        <v/>
      </c>
      <c r="S840" s="7" t="str">
        <f t="shared" si="545"/>
        <v/>
      </c>
    </row>
    <row r="841" spans="1:19">
      <c r="A841" t="s">
        <v>67</v>
      </c>
      <c r="B841" s="53"/>
      <c r="C841" s="53"/>
      <c r="F841" s="54"/>
      <c r="G841" s="9">
        <v>1</v>
      </c>
      <c r="H841" s="9">
        <v>11</v>
      </c>
      <c r="I841" s="9">
        <v>12</v>
      </c>
      <c r="J841" s="9">
        <f>(D839-0.05)+34*I841/1000</f>
        <v>1.8579999999999999</v>
      </c>
      <c r="K841" s="7" t="str">
        <f t="shared" si="530"/>
        <v/>
      </c>
      <c r="L841" s="7" t="str">
        <f t="shared" si="539"/>
        <v/>
      </c>
      <c r="M841" s="7" t="str">
        <f t="shared" si="532"/>
        <v/>
      </c>
      <c r="N841" s="7">
        <f t="shared" si="540"/>
        <v>20.437999999999999</v>
      </c>
      <c r="O841" s="7" t="str">
        <f t="shared" si="541"/>
        <v/>
      </c>
      <c r="P841" s="7" t="str">
        <f t="shared" si="542"/>
        <v/>
      </c>
      <c r="Q841" s="7" t="str">
        <f t="shared" si="543"/>
        <v/>
      </c>
      <c r="R841" s="7" t="str">
        <f t="shared" si="544"/>
        <v/>
      </c>
      <c r="S841" s="7" t="str">
        <f t="shared" si="545"/>
        <v/>
      </c>
    </row>
    <row r="842" spans="1:19">
      <c r="A842" s="50" t="s">
        <v>107</v>
      </c>
      <c r="B842" s="53" t="s">
        <v>11</v>
      </c>
      <c r="C842" s="53">
        <v>3</v>
      </c>
      <c r="D842">
        <v>1.5</v>
      </c>
      <c r="E842">
        <v>1.5</v>
      </c>
      <c r="F842" s="55">
        <v>0.4</v>
      </c>
      <c r="K842" s="7" t="str">
        <f t="shared" si="530"/>
        <v/>
      </c>
      <c r="L842" s="7" t="str">
        <f t="shared" si="539"/>
        <v/>
      </c>
      <c r="M842" s="7" t="str">
        <f t="shared" si="532"/>
        <v/>
      </c>
      <c r="N842" s="7" t="str">
        <f t="shared" si="540"/>
        <v/>
      </c>
      <c r="O842" s="7" t="str">
        <f t="shared" si="541"/>
        <v/>
      </c>
      <c r="P842" s="7" t="str">
        <f t="shared" si="542"/>
        <v/>
      </c>
      <c r="Q842" s="7" t="str">
        <f t="shared" si="543"/>
        <v/>
      </c>
      <c r="R842" s="7" t="str">
        <f t="shared" si="544"/>
        <v/>
      </c>
      <c r="S842" s="7" t="str">
        <f t="shared" si="545"/>
        <v/>
      </c>
    </row>
    <row r="843" spans="1:19">
      <c r="A843" t="s">
        <v>66</v>
      </c>
      <c r="B843" s="53"/>
      <c r="C843" s="53"/>
      <c r="F843" s="54"/>
      <c r="G843" s="9">
        <v>1</v>
      </c>
      <c r="H843" s="9">
        <v>11</v>
      </c>
      <c r="I843" s="9">
        <v>12</v>
      </c>
      <c r="J843" s="9">
        <f>(E842-0.05)+34*I843/1000</f>
        <v>1.8579999999999999</v>
      </c>
      <c r="K843" s="7" t="str">
        <f t="shared" si="530"/>
        <v/>
      </c>
      <c r="L843" s="7" t="str">
        <f t="shared" si="539"/>
        <v/>
      </c>
      <c r="M843" s="7" t="str">
        <f t="shared" si="532"/>
        <v/>
      </c>
      <c r="N843" s="7">
        <f t="shared" si="540"/>
        <v>20.437999999999999</v>
      </c>
      <c r="O843" s="7" t="str">
        <f t="shared" si="541"/>
        <v/>
      </c>
      <c r="P843" s="7" t="str">
        <f t="shared" si="542"/>
        <v/>
      </c>
      <c r="Q843" s="7" t="str">
        <f t="shared" si="543"/>
        <v/>
      </c>
      <c r="R843" s="7" t="str">
        <f t="shared" si="544"/>
        <v/>
      </c>
      <c r="S843" s="7" t="str">
        <f t="shared" si="545"/>
        <v/>
      </c>
    </row>
    <row r="844" spans="1:19">
      <c r="A844" t="s">
        <v>67</v>
      </c>
      <c r="B844" s="53"/>
      <c r="C844" s="53"/>
      <c r="F844" s="54"/>
      <c r="G844" s="9">
        <v>1</v>
      </c>
      <c r="H844" s="9">
        <v>11</v>
      </c>
      <c r="I844" s="9">
        <v>12</v>
      </c>
      <c r="J844" s="9">
        <f>(D842-0.05)+34*I844/1000</f>
        <v>1.8579999999999999</v>
      </c>
      <c r="K844" s="7" t="str">
        <f t="shared" si="530"/>
        <v/>
      </c>
      <c r="L844" s="7" t="str">
        <f t="shared" si="539"/>
        <v/>
      </c>
      <c r="M844" s="7" t="str">
        <f t="shared" si="532"/>
        <v/>
      </c>
      <c r="N844" s="7">
        <f t="shared" si="540"/>
        <v>20.437999999999999</v>
      </c>
      <c r="O844" s="7" t="str">
        <f t="shared" si="541"/>
        <v/>
      </c>
      <c r="P844" s="7" t="str">
        <f t="shared" si="542"/>
        <v/>
      </c>
      <c r="Q844" s="7" t="str">
        <f t="shared" si="543"/>
        <v/>
      </c>
      <c r="S844" s="7" t="str">
        <f t="shared" si="545"/>
        <v/>
      </c>
    </row>
    <row r="845" spans="1:19">
      <c r="A845" s="50" t="s">
        <v>108</v>
      </c>
      <c r="B845" s="53" t="s">
        <v>11</v>
      </c>
      <c r="C845" s="53">
        <v>5</v>
      </c>
      <c r="D845">
        <v>1.5</v>
      </c>
      <c r="E845">
        <v>1.5</v>
      </c>
      <c r="F845" s="55">
        <v>0.4</v>
      </c>
      <c r="K845" s="7" t="str">
        <f t="shared" si="530"/>
        <v/>
      </c>
      <c r="L845" s="7" t="str">
        <f t="shared" si="539"/>
        <v/>
      </c>
      <c r="M845" s="7" t="str">
        <f t="shared" si="532"/>
        <v/>
      </c>
      <c r="N845" s="7" t="str">
        <f t="shared" si="540"/>
        <v/>
      </c>
      <c r="O845" s="7" t="str">
        <f t="shared" si="541"/>
        <v/>
      </c>
      <c r="P845" s="7" t="str">
        <f t="shared" si="542"/>
        <v/>
      </c>
      <c r="Q845" s="7" t="str">
        <f t="shared" si="543"/>
        <v/>
      </c>
      <c r="S845" s="7" t="str">
        <f t="shared" si="545"/>
        <v/>
      </c>
    </row>
    <row r="846" spans="1:19">
      <c r="A846" t="s">
        <v>66</v>
      </c>
      <c r="B846" s="53"/>
      <c r="C846" s="53"/>
      <c r="F846" s="54"/>
      <c r="G846" s="9">
        <v>1</v>
      </c>
      <c r="H846" s="9">
        <v>11</v>
      </c>
      <c r="I846" s="9">
        <v>12</v>
      </c>
      <c r="J846" s="9">
        <f>(E845-0.05)+34*I846/1000</f>
        <v>1.8579999999999999</v>
      </c>
      <c r="K846" s="7" t="str">
        <f t="shared" si="530"/>
        <v/>
      </c>
      <c r="L846" s="7" t="str">
        <f t="shared" si="539"/>
        <v/>
      </c>
      <c r="M846" s="7" t="str">
        <f t="shared" si="532"/>
        <v/>
      </c>
      <c r="N846" s="7">
        <f t="shared" si="540"/>
        <v>20.437999999999999</v>
      </c>
      <c r="O846" s="7" t="str">
        <f t="shared" si="541"/>
        <v/>
      </c>
      <c r="P846" s="7" t="str">
        <f t="shared" si="542"/>
        <v/>
      </c>
      <c r="Q846" s="7" t="str">
        <f t="shared" si="543"/>
        <v/>
      </c>
      <c r="S846" s="7" t="str">
        <f t="shared" si="545"/>
        <v/>
      </c>
    </row>
    <row r="847" spans="1:19">
      <c r="A847" t="s">
        <v>67</v>
      </c>
      <c r="B847" s="53"/>
      <c r="C847" s="53"/>
      <c r="F847" s="54"/>
      <c r="G847" s="9">
        <v>1</v>
      </c>
      <c r="H847" s="9">
        <v>11</v>
      </c>
      <c r="I847" s="9">
        <v>12</v>
      </c>
      <c r="J847" s="9">
        <f>(D845-0.05)+34*I847/1000</f>
        <v>1.8579999999999999</v>
      </c>
      <c r="K847" s="7" t="str">
        <f t="shared" si="530"/>
        <v/>
      </c>
      <c r="L847" s="7" t="str">
        <f t="shared" si="539"/>
        <v/>
      </c>
      <c r="M847" s="7" t="str">
        <f t="shared" si="532"/>
        <v/>
      </c>
      <c r="N847" s="7">
        <f t="shared" si="540"/>
        <v>20.437999999999999</v>
      </c>
      <c r="O847" s="7" t="str">
        <f t="shared" si="541"/>
        <v/>
      </c>
      <c r="P847" s="7" t="str">
        <f t="shared" si="542"/>
        <v/>
      </c>
      <c r="Q847" s="7" t="str">
        <f t="shared" si="543"/>
        <v/>
      </c>
      <c r="S847" s="7" t="str">
        <f t="shared" si="545"/>
        <v/>
      </c>
    </row>
    <row r="848" spans="1:19">
      <c r="A848" s="50" t="s">
        <v>109</v>
      </c>
      <c r="B848" s="53" t="s">
        <v>11</v>
      </c>
      <c r="C848" s="53">
        <v>6</v>
      </c>
      <c r="D848">
        <v>1.2</v>
      </c>
      <c r="E848">
        <v>1.2</v>
      </c>
      <c r="F848" s="55">
        <v>0.3</v>
      </c>
      <c r="K848" s="7" t="str">
        <f t="shared" si="530"/>
        <v/>
      </c>
      <c r="L848" s="7" t="str">
        <f t="shared" si="539"/>
        <v/>
      </c>
      <c r="M848" s="7" t="str">
        <f t="shared" si="532"/>
        <v/>
      </c>
      <c r="N848" s="7" t="str">
        <f t="shared" si="540"/>
        <v/>
      </c>
      <c r="O848" s="7" t="str">
        <f t="shared" si="541"/>
        <v/>
      </c>
      <c r="P848" s="7" t="str">
        <f t="shared" si="542"/>
        <v/>
      </c>
      <c r="Q848" s="7" t="str">
        <f t="shared" si="543"/>
        <v/>
      </c>
      <c r="S848" s="7" t="str">
        <f t="shared" si="545"/>
        <v/>
      </c>
    </row>
    <row r="849" spans="1:20">
      <c r="A849" t="s">
        <v>66</v>
      </c>
      <c r="B849" s="53"/>
      <c r="C849" s="53"/>
      <c r="F849" s="54"/>
      <c r="G849" s="9">
        <v>1</v>
      </c>
      <c r="H849" s="9">
        <v>6</v>
      </c>
      <c r="I849" s="9">
        <v>12</v>
      </c>
      <c r="J849" s="9">
        <f>(E848-0.05)+34*I849/1000</f>
        <v>1.5579999999999998</v>
      </c>
      <c r="K849" s="7" t="str">
        <f t="shared" si="530"/>
        <v/>
      </c>
      <c r="L849" s="7" t="str">
        <f t="shared" si="539"/>
        <v/>
      </c>
      <c r="M849" s="7" t="str">
        <f t="shared" si="532"/>
        <v/>
      </c>
      <c r="N849" s="7">
        <f t="shared" si="540"/>
        <v>9.347999999999999</v>
      </c>
      <c r="O849" s="7" t="str">
        <f t="shared" si="541"/>
        <v/>
      </c>
      <c r="P849" s="7" t="str">
        <f t="shared" si="542"/>
        <v/>
      </c>
      <c r="Q849" s="7" t="str">
        <f t="shared" si="543"/>
        <v/>
      </c>
      <c r="S849" s="7" t="str">
        <f t="shared" si="545"/>
        <v/>
      </c>
    </row>
    <row r="850" spans="1:20">
      <c r="A850" t="s">
        <v>67</v>
      </c>
      <c r="B850" s="53"/>
      <c r="C850" s="53"/>
      <c r="F850" s="54"/>
      <c r="G850" s="9">
        <v>1</v>
      </c>
      <c r="H850" s="9">
        <v>6</v>
      </c>
      <c r="I850" s="9">
        <v>12</v>
      </c>
      <c r="J850" s="9">
        <f>(D848-0.05)+34*I850/1000</f>
        <v>1.5579999999999998</v>
      </c>
      <c r="K850" s="7" t="str">
        <f t="shared" si="530"/>
        <v/>
      </c>
      <c r="L850" s="7" t="str">
        <f t="shared" si="539"/>
        <v/>
      </c>
      <c r="M850" s="7" t="str">
        <f t="shared" si="532"/>
        <v/>
      </c>
      <c r="N850" s="7">
        <f t="shared" si="540"/>
        <v>9.347999999999999</v>
      </c>
      <c r="O850" s="7" t="str">
        <f t="shared" si="541"/>
        <v/>
      </c>
      <c r="P850" s="7" t="str">
        <f t="shared" si="542"/>
        <v/>
      </c>
      <c r="Q850" s="7" t="str">
        <f t="shared" si="543"/>
        <v/>
      </c>
      <c r="S850" s="7" t="str">
        <f t="shared" si="545"/>
        <v/>
      </c>
    </row>
    <row r="851" spans="1:20">
      <c r="A851" s="50" t="s">
        <v>109</v>
      </c>
      <c r="B851" s="53" t="s">
        <v>11</v>
      </c>
      <c r="C851" s="53">
        <v>7</v>
      </c>
      <c r="D851">
        <v>1.2</v>
      </c>
      <c r="E851">
        <v>1.2</v>
      </c>
      <c r="F851" s="55">
        <v>0.3</v>
      </c>
      <c r="K851" s="7" t="str">
        <f t="shared" si="530"/>
        <v/>
      </c>
      <c r="L851" s="7" t="str">
        <f t="shared" si="539"/>
        <v/>
      </c>
      <c r="M851" s="7" t="str">
        <f t="shared" si="532"/>
        <v/>
      </c>
      <c r="N851" s="7" t="str">
        <f t="shared" si="540"/>
        <v/>
      </c>
      <c r="O851" s="7" t="str">
        <f t="shared" si="541"/>
        <v/>
      </c>
      <c r="P851" s="7" t="str">
        <f t="shared" si="542"/>
        <v/>
      </c>
      <c r="Q851" s="7" t="str">
        <f t="shared" si="543"/>
        <v/>
      </c>
      <c r="S851" s="7" t="str">
        <f t="shared" si="545"/>
        <v/>
      </c>
    </row>
    <row r="852" spans="1:20">
      <c r="A852" t="s">
        <v>66</v>
      </c>
      <c r="B852" s="53"/>
      <c r="C852" s="53"/>
      <c r="F852" s="54"/>
      <c r="G852" s="9">
        <v>1</v>
      </c>
      <c r="H852" s="9">
        <v>6</v>
      </c>
      <c r="I852" s="9">
        <v>12</v>
      </c>
      <c r="J852" s="9">
        <f>(E851-0.05)+34*I852/1000</f>
        <v>1.5579999999999998</v>
      </c>
      <c r="K852" s="7" t="str">
        <f t="shared" si="530"/>
        <v/>
      </c>
      <c r="L852" s="7" t="str">
        <f t="shared" si="539"/>
        <v/>
      </c>
      <c r="M852" s="7" t="str">
        <f t="shared" si="532"/>
        <v/>
      </c>
      <c r="N852" s="7">
        <f t="shared" si="540"/>
        <v>9.347999999999999</v>
      </c>
      <c r="O852" s="7" t="str">
        <f t="shared" si="541"/>
        <v/>
      </c>
      <c r="P852" s="7" t="str">
        <f t="shared" si="542"/>
        <v/>
      </c>
      <c r="Q852" s="7" t="str">
        <f t="shared" si="543"/>
        <v/>
      </c>
      <c r="S852" s="7" t="str">
        <f t="shared" si="545"/>
        <v/>
      </c>
    </row>
    <row r="853" spans="1:20">
      <c r="A853" t="s">
        <v>67</v>
      </c>
      <c r="B853" s="53"/>
      <c r="C853" s="53"/>
      <c r="F853" s="54"/>
      <c r="G853" s="9">
        <v>1</v>
      </c>
      <c r="H853" s="9">
        <v>6</v>
      </c>
      <c r="I853" s="9">
        <v>12</v>
      </c>
      <c r="J853" s="9">
        <f>(D851-0.05)+34*I853/1000</f>
        <v>1.5579999999999998</v>
      </c>
      <c r="K853" s="7" t="str">
        <f t="shared" si="530"/>
        <v/>
      </c>
      <c r="L853" s="7" t="str">
        <f t="shared" si="539"/>
        <v/>
      </c>
      <c r="M853" s="7" t="str">
        <f t="shared" si="532"/>
        <v/>
      </c>
      <c r="N853" s="7">
        <f t="shared" si="540"/>
        <v>9.347999999999999</v>
      </c>
      <c r="O853" s="7" t="str">
        <f t="shared" si="541"/>
        <v/>
      </c>
      <c r="P853" s="7" t="str">
        <f t="shared" si="542"/>
        <v/>
      </c>
      <c r="Q853" s="7" t="str">
        <f t="shared" si="543"/>
        <v/>
      </c>
      <c r="S853" s="7" t="str">
        <f t="shared" si="545"/>
        <v/>
      </c>
    </row>
    <row r="854" spans="1:20">
      <c r="A854" s="50" t="s">
        <v>109</v>
      </c>
      <c r="B854" s="53" t="s">
        <v>11</v>
      </c>
      <c r="C854" s="53">
        <v>7</v>
      </c>
      <c r="D854">
        <v>1.2</v>
      </c>
      <c r="E854">
        <v>1.2</v>
      </c>
      <c r="F854" s="55">
        <v>0.3</v>
      </c>
      <c r="K854" s="7" t="str">
        <f t="shared" ref="K854:K860" si="546">IF(I854=6,G854*H854*J854,"")</f>
        <v/>
      </c>
      <c r="L854" s="7" t="str">
        <f t="shared" si="539"/>
        <v/>
      </c>
      <c r="M854" s="7" t="str">
        <f t="shared" si="532"/>
        <v/>
      </c>
      <c r="N854" s="7" t="str">
        <f t="shared" si="540"/>
        <v/>
      </c>
      <c r="O854" s="7" t="str">
        <f t="shared" si="541"/>
        <v/>
      </c>
      <c r="P854" s="7" t="str">
        <f t="shared" si="542"/>
        <v/>
      </c>
      <c r="Q854" s="7" t="str">
        <f t="shared" si="543"/>
        <v/>
      </c>
      <c r="S854" s="7" t="str">
        <f t="shared" si="545"/>
        <v/>
      </c>
    </row>
    <row r="855" spans="1:20">
      <c r="A855" t="s">
        <v>66</v>
      </c>
      <c r="B855" s="53"/>
      <c r="C855" s="53"/>
      <c r="F855" s="54"/>
      <c r="G855" s="9">
        <v>1</v>
      </c>
      <c r="H855" s="9">
        <v>6</v>
      </c>
      <c r="I855" s="9">
        <v>12</v>
      </c>
      <c r="J855" s="9">
        <f>(E854-0.05)+34*I855/1000</f>
        <v>1.5579999999999998</v>
      </c>
      <c r="K855" s="7" t="str">
        <f t="shared" si="546"/>
        <v/>
      </c>
      <c r="L855" s="7" t="str">
        <f t="shared" si="539"/>
        <v/>
      </c>
      <c r="M855" s="7" t="str">
        <f t="shared" ref="M855:M918" si="547">IF(I855=10,G855*H855*J855,"")</f>
        <v/>
      </c>
      <c r="N855" s="7">
        <f t="shared" si="540"/>
        <v>9.347999999999999</v>
      </c>
      <c r="O855" s="7" t="str">
        <f t="shared" si="541"/>
        <v/>
      </c>
      <c r="P855" s="7" t="str">
        <f t="shared" si="542"/>
        <v/>
      </c>
      <c r="Q855" s="7" t="str">
        <f t="shared" si="543"/>
        <v/>
      </c>
      <c r="S855" s="7" t="str">
        <f t="shared" si="545"/>
        <v/>
      </c>
    </row>
    <row r="856" spans="1:20">
      <c r="A856" t="s">
        <v>67</v>
      </c>
      <c r="B856" s="53"/>
      <c r="C856" s="53"/>
      <c r="F856" s="54"/>
      <c r="G856" s="9">
        <v>1</v>
      </c>
      <c r="H856" s="9">
        <v>6</v>
      </c>
      <c r="I856" s="9">
        <v>12</v>
      </c>
      <c r="J856" s="9">
        <f>(D854-0.05)+34*I856/1000</f>
        <v>1.5579999999999998</v>
      </c>
      <c r="K856" s="7" t="str">
        <f t="shared" si="546"/>
        <v/>
      </c>
      <c r="L856" s="7" t="str">
        <f t="shared" si="539"/>
        <v/>
      </c>
      <c r="M856" s="7" t="str">
        <f t="shared" si="547"/>
        <v/>
      </c>
      <c r="N856" s="7">
        <f t="shared" si="540"/>
        <v>9.347999999999999</v>
      </c>
      <c r="O856" s="7" t="str">
        <f t="shared" si="541"/>
        <v/>
      </c>
      <c r="P856" s="7" t="str">
        <f t="shared" si="542"/>
        <v/>
      </c>
      <c r="Q856" s="7" t="str">
        <f t="shared" si="543"/>
        <v/>
      </c>
      <c r="S856" s="7" t="str">
        <f t="shared" si="545"/>
        <v/>
      </c>
    </row>
    <row r="857" spans="1:20">
      <c r="A857" s="154" t="s">
        <v>68</v>
      </c>
      <c r="B857" s="154"/>
      <c r="C857" s="154"/>
      <c r="D857" s="3"/>
      <c r="E857" s="3"/>
      <c r="F857" s="3"/>
      <c r="K857" s="7" t="str">
        <f t="shared" si="546"/>
        <v/>
      </c>
      <c r="L857" s="7" t="str">
        <f t="shared" ref="L857:L928" si="548">IF(I857=8,G857*H857*J857,"")</f>
        <v/>
      </c>
      <c r="M857" s="7" t="str">
        <f t="shared" si="547"/>
        <v/>
      </c>
      <c r="N857" s="7" t="str">
        <f t="shared" si="540"/>
        <v/>
      </c>
      <c r="O857" s="7" t="str">
        <f t="shared" si="541"/>
        <v/>
      </c>
      <c r="P857" s="7" t="str">
        <f t="shared" si="542"/>
        <v/>
      </c>
      <c r="Q857" s="7" t="str">
        <f t="shared" si="543"/>
        <v/>
      </c>
      <c r="S857" s="7" t="str">
        <f t="shared" si="545"/>
        <v/>
      </c>
      <c r="T857" t="s">
        <v>88</v>
      </c>
    </row>
    <row r="858" spans="1:20" s="45" customFormat="1">
      <c r="A858"/>
      <c r="B858" s="2" t="s">
        <v>2</v>
      </c>
      <c r="C858" s="2" t="s">
        <v>3</v>
      </c>
      <c r="D858" s="2" t="s">
        <v>12</v>
      </c>
      <c r="E858" s="43"/>
      <c r="F858" s="43"/>
      <c r="G858" s="44"/>
      <c r="H858" s="44"/>
      <c r="I858" s="44"/>
      <c r="J858" s="44"/>
      <c r="K858" s="7" t="str">
        <f t="shared" si="546"/>
        <v/>
      </c>
      <c r="L858" s="7" t="str">
        <f t="shared" si="548"/>
        <v/>
      </c>
      <c r="M858" s="7" t="str">
        <f t="shared" si="547"/>
        <v/>
      </c>
      <c r="N858" s="7" t="str">
        <f t="shared" ref="N858:N860" si="549">IF(I858=12,G858*H858*J858,"")</f>
        <v/>
      </c>
      <c r="O858" s="7" t="str">
        <f t="shared" ref="O858:O860" si="550">IF(I858=14,G858*H858*J858,"")</f>
        <v/>
      </c>
      <c r="P858" s="7" t="str">
        <f t="shared" ref="P858:P860" si="551">IF(I858=16,G858*H858*J858,"")</f>
        <v/>
      </c>
      <c r="Q858" s="7" t="str">
        <f t="shared" ref="Q858:Q860" si="552">IF(I858=20,G858*H858*J858,"")</f>
        <v/>
      </c>
      <c r="R858" s="7"/>
      <c r="S858" s="7" t="str">
        <f t="shared" ref="S858:S860" si="553">IF(I858=32,G858*H858*J858,"")</f>
        <v/>
      </c>
      <c r="T858" s="45">
        <v>1.8</v>
      </c>
    </row>
    <row r="859" spans="1:20" s="45" customFormat="1">
      <c r="A859"/>
      <c r="B859" s="53" t="s">
        <v>4</v>
      </c>
      <c r="C859" s="53">
        <v>1</v>
      </c>
      <c r="D859" s="43" t="s">
        <v>43</v>
      </c>
      <c r="E859" s="43">
        <v>0.3</v>
      </c>
      <c r="F859" s="43">
        <v>0.3</v>
      </c>
      <c r="G859" s="44"/>
      <c r="H859" s="44"/>
      <c r="I859" s="44"/>
      <c r="J859" s="44"/>
      <c r="K859" s="7" t="str">
        <f t="shared" si="546"/>
        <v/>
      </c>
      <c r="L859" s="7" t="str">
        <f t="shared" si="548"/>
        <v/>
      </c>
      <c r="M859" s="7" t="str">
        <f t="shared" si="547"/>
        <v/>
      </c>
      <c r="N859" s="7" t="str">
        <f t="shared" si="549"/>
        <v/>
      </c>
      <c r="O859" s="7" t="str">
        <f t="shared" si="550"/>
        <v/>
      </c>
      <c r="P859" s="7" t="str">
        <f t="shared" si="551"/>
        <v/>
      </c>
      <c r="Q859" s="7" t="str">
        <f t="shared" si="552"/>
        <v/>
      </c>
      <c r="R859" s="7"/>
      <c r="S859" s="7" t="str">
        <f t="shared" si="553"/>
        <v/>
      </c>
    </row>
    <row r="860" spans="1:20" s="45" customFormat="1">
      <c r="A860" t="s">
        <v>86</v>
      </c>
      <c r="B860" s="53"/>
      <c r="C860" s="53"/>
      <c r="D860" s="43"/>
      <c r="E860" s="43"/>
      <c r="F860" s="43"/>
      <c r="G860" s="44">
        <v>1</v>
      </c>
      <c r="H860" s="44">
        <v>4</v>
      </c>
      <c r="I860" s="44">
        <v>14</v>
      </c>
      <c r="J860" s="44">
        <f>$T$76+18*I860/1000</f>
        <v>2.052</v>
      </c>
      <c r="K860" s="7" t="str">
        <f t="shared" si="546"/>
        <v/>
      </c>
      <c r="L860" s="7" t="str">
        <f t="shared" si="548"/>
        <v/>
      </c>
      <c r="M860" s="7" t="str">
        <f t="shared" si="547"/>
        <v/>
      </c>
      <c r="N860" s="7" t="str">
        <f t="shared" si="549"/>
        <v/>
      </c>
      <c r="O860" s="7">
        <f t="shared" si="550"/>
        <v>8.2080000000000002</v>
      </c>
      <c r="P860" s="7" t="str">
        <f t="shared" si="551"/>
        <v/>
      </c>
      <c r="Q860" s="7" t="str">
        <f t="shared" si="552"/>
        <v/>
      </c>
      <c r="R860" s="7"/>
      <c r="S860" s="7" t="str">
        <f t="shared" si="553"/>
        <v/>
      </c>
    </row>
    <row r="861" spans="1:20" s="45" customFormat="1">
      <c r="A861" t="s">
        <v>86</v>
      </c>
      <c r="B861" s="53"/>
      <c r="C861" s="53"/>
      <c r="D861" s="43"/>
      <c r="E861" s="43"/>
      <c r="F861" s="43"/>
      <c r="G861" s="44">
        <v>1</v>
      </c>
      <c r="H861" s="44">
        <v>2</v>
      </c>
      <c r="I861" s="44">
        <v>14</v>
      </c>
      <c r="J861" s="44">
        <f>$T$76+18*I861/1000</f>
        <v>2.052</v>
      </c>
      <c r="K861" s="7"/>
      <c r="L861" s="7" t="str">
        <f t="shared" si="548"/>
        <v/>
      </c>
      <c r="M861" s="7" t="str">
        <f t="shared" si="547"/>
        <v/>
      </c>
      <c r="N861" s="7"/>
      <c r="O861" s="7"/>
      <c r="P861" s="7"/>
      <c r="Q861" s="7"/>
      <c r="R861" s="7"/>
      <c r="S861" s="7"/>
    </row>
    <row r="862" spans="1:20" s="45" customFormat="1">
      <c r="A862" t="s">
        <v>76</v>
      </c>
      <c r="B862" s="53"/>
      <c r="C862" s="53"/>
      <c r="D862" s="43"/>
      <c r="E862" s="43"/>
      <c r="F862" s="43"/>
      <c r="G862" s="44">
        <v>1</v>
      </c>
      <c r="H862" s="44">
        <f>ROUNDUP(($T$76-0.25)/0.15,0)</f>
        <v>11</v>
      </c>
      <c r="I862" s="44">
        <v>6</v>
      </c>
      <c r="J862" s="44">
        <f>2*(E859+F859)+20.5*I862/1000</f>
        <v>1.323</v>
      </c>
      <c r="K862" s="7">
        <f t="shared" ref="K862:K865" si="554">IF(I862=6,G862*H862*J862,"")</f>
        <v>14.552999999999999</v>
      </c>
      <c r="L862" s="7" t="str">
        <f t="shared" si="548"/>
        <v/>
      </c>
      <c r="M862" s="7" t="str">
        <f t="shared" si="547"/>
        <v/>
      </c>
      <c r="N862" s="7" t="str">
        <f t="shared" ref="N862:N865" si="555">IF(I862=12,G862*H862*J862,"")</f>
        <v/>
      </c>
      <c r="O862" s="7" t="str">
        <f t="shared" ref="O862:O865" si="556">IF(I862=14,G862*H862*J862,"")</f>
        <v/>
      </c>
      <c r="P862" s="7" t="str">
        <f t="shared" ref="P862:P865" si="557">IF(I862=16,G862*H862*J862,"")</f>
        <v/>
      </c>
      <c r="Q862" s="7" t="str">
        <f t="shared" ref="Q862:Q865" si="558">IF(I862=20,G862*H862*J862,"")</f>
        <v/>
      </c>
      <c r="R862" s="7"/>
      <c r="S862" s="7" t="str">
        <f t="shared" ref="S862:S865" si="559">IF(I862=32,G862*H862*J862,"")</f>
        <v/>
      </c>
    </row>
    <row r="863" spans="1:20" s="45" customFormat="1">
      <c r="A863" t="s">
        <v>77</v>
      </c>
      <c r="B863" s="53"/>
      <c r="C863" s="53"/>
      <c r="D863" s="43"/>
      <c r="E863" s="43"/>
      <c r="F863" s="43"/>
      <c r="G863" s="44">
        <v>1</v>
      </c>
      <c r="H863" s="44">
        <f>ROUNDUP(($T$76-0.25)/0.15,0)</f>
        <v>11</v>
      </c>
      <c r="I863" s="44">
        <v>6</v>
      </c>
      <c r="J863" s="44">
        <f>E859+22*I863/1000</f>
        <v>0.432</v>
      </c>
      <c r="K863" s="7">
        <f t="shared" si="554"/>
        <v>4.7519999999999998</v>
      </c>
      <c r="L863" s="7" t="str">
        <f t="shared" si="548"/>
        <v/>
      </c>
      <c r="M863" s="7" t="str">
        <f t="shared" si="547"/>
        <v/>
      </c>
      <c r="N863" s="7" t="str">
        <f t="shared" si="555"/>
        <v/>
      </c>
      <c r="O863" s="7" t="str">
        <f t="shared" si="556"/>
        <v/>
      </c>
      <c r="P863" s="7" t="str">
        <f t="shared" si="557"/>
        <v/>
      </c>
      <c r="Q863" s="7" t="str">
        <f t="shared" si="558"/>
        <v/>
      </c>
      <c r="R863" s="7"/>
      <c r="S863" s="7" t="str">
        <f t="shared" si="559"/>
        <v/>
      </c>
    </row>
    <row r="864" spans="1:20" s="45" customFormat="1">
      <c r="A864"/>
      <c r="B864" s="53" t="s">
        <v>4</v>
      </c>
      <c r="C864" s="55">
        <v>2</v>
      </c>
      <c r="D864" s="43" t="s">
        <v>42</v>
      </c>
      <c r="E864" s="43">
        <v>0.4</v>
      </c>
      <c r="F864" s="43">
        <v>0.4</v>
      </c>
      <c r="G864" s="44"/>
      <c r="H864" s="44"/>
      <c r="I864" s="44"/>
      <c r="J864" s="44"/>
      <c r="K864" s="7" t="str">
        <f t="shared" si="554"/>
        <v/>
      </c>
      <c r="L864" s="7" t="str">
        <f t="shared" si="548"/>
        <v/>
      </c>
      <c r="M864" s="7" t="str">
        <f t="shared" si="547"/>
        <v/>
      </c>
      <c r="N864" s="7" t="str">
        <f t="shared" si="555"/>
        <v/>
      </c>
      <c r="O864" s="7" t="str">
        <f t="shared" si="556"/>
        <v/>
      </c>
      <c r="P864" s="7" t="str">
        <f t="shared" si="557"/>
        <v/>
      </c>
      <c r="Q864" s="7" t="str">
        <f t="shared" si="558"/>
        <v/>
      </c>
      <c r="R864" s="7"/>
      <c r="S864" s="7" t="str">
        <f t="shared" si="559"/>
        <v/>
      </c>
    </row>
    <row r="865" spans="1:19" s="45" customFormat="1">
      <c r="A865" t="s">
        <v>86</v>
      </c>
      <c r="B865" s="53"/>
      <c r="C865" s="53"/>
      <c r="D865" s="43"/>
      <c r="E865" s="43"/>
      <c r="F865" s="43"/>
      <c r="G865" s="44">
        <v>1</v>
      </c>
      <c r="H865" s="44">
        <v>4</v>
      </c>
      <c r="I865" s="44">
        <v>14</v>
      </c>
      <c r="J865" s="44">
        <f>$T$76+18*I865/1000</f>
        <v>2.052</v>
      </c>
      <c r="K865" s="7" t="str">
        <f t="shared" si="554"/>
        <v/>
      </c>
      <c r="L865" s="7" t="str">
        <f t="shared" si="548"/>
        <v/>
      </c>
      <c r="M865" s="7" t="str">
        <f t="shared" si="547"/>
        <v/>
      </c>
      <c r="N865" s="7" t="str">
        <f t="shared" si="555"/>
        <v/>
      </c>
      <c r="O865" s="7">
        <f t="shared" si="556"/>
        <v>8.2080000000000002</v>
      </c>
      <c r="P865" s="7" t="str">
        <f t="shared" si="557"/>
        <v/>
      </c>
      <c r="Q865" s="7" t="str">
        <f t="shared" si="558"/>
        <v/>
      </c>
      <c r="R865" s="7"/>
      <c r="S865" s="7" t="str">
        <f t="shared" si="559"/>
        <v/>
      </c>
    </row>
    <row r="866" spans="1:19" s="45" customFormat="1">
      <c r="A866" t="s">
        <v>86</v>
      </c>
      <c r="B866" s="53"/>
      <c r="C866" s="53"/>
      <c r="D866" s="43"/>
      <c r="E866" s="43"/>
      <c r="F866" s="43"/>
      <c r="G866" s="44">
        <v>1</v>
      </c>
      <c r="H866" s="44">
        <v>2</v>
      </c>
      <c r="I866" s="44">
        <v>14</v>
      </c>
      <c r="J866" s="44">
        <f>$T$76+18*I866/1000</f>
        <v>2.052</v>
      </c>
      <c r="K866" s="7"/>
      <c r="L866" s="7" t="str">
        <f t="shared" si="548"/>
        <v/>
      </c>
      <c r="M866" s="7" t="str">
        <f t="shared" si="547"/>
        <v/>
      </c>
      <c r="N866" s="7"/>
      <c r="O866" s="7"/>
      <c r="P866" s="7"/>
      <c r="Q866" s="7"/>
      <c r="R866" s="7"/>
      <c r="S866" s="7"/>
    </row>
    <row r="867" spans="1:19" s="45" customFormat="1">
      <c r="A867" t="s">
        <v>76</v>
      </c>
      <c r="B867" s="53"/>
      <c r="C867" s="53"/>
      <c r="D867" s="43"/>
      <c r="E867" s="43"/>
      <c r="F867" s="43"/>
      <c r="G867" s="44">
        <v>1</v>
      </c>
      <c r="H867" s="44">
        <f>ROUNDUP(($T$76-0.25)/0.15,0)</f>
        <v>11</v>
      </c>
      <c r="I867" s="44">
        <v>6</v>
      </c>
      <c r="J867" s="44">
        <f>2*(E864+F864)+20.5*I867/1000</f>
        <v>1.7230000000000001</v>
      </c>
      <c r="K867" s="7"/>
      <c r="L867" s="7" t="str">
        <f t="shared" si="548"/>
        <v/>
      </c>
      <c r="M867" s="7" t="str">
        <f t="shared" si="547"/>
        <v/>
      </c>
      <c r="N867" s="7"/>
      <c r="O867" s="7"/>
      <c r="P867" s="7" t="str">
        <f t="shared" ref="P867:P870" si="560">IF(I867=16,G867*H867*J867,"")</f>
        <v/>
      </c>
      <c r="Q867" s="7"/>
      <c r="R867" s="7"/>
      <c r="S867" s="7"/>
    </row>
    <row r="868" spans="1:19" s="45" customFormat="1">
      <c r="A868" t="s">
        <v>77</v>
      </c>
      <c r="B868" s="53"/>
      <c r="C868" s="53"/>
      <c r="D868" s="43"/>
      <c r="E868" s="43"/>
      <c r="F868" s="43"/>
      <c r="G868" s="44">
        <v>1</v>
      </c>
      <c r="H868" s="44">
        <f>ROUNDUP(($T$76-0.25)/0.15,0)</f>
        <v>11</v>
      </c>
      <c r="I868" s="44">
        <v>6</v>
      </c>
      <c r="J868" s="44">
        <f>E864+22*I868/1000</f>
        <v>0.53200000000000003</v>
      </c>
      <c r="K868" s="7">
        <f t="shared" ref="K868:K869" si="561">IF(I868=6,G868*H868*J868,"")</f>
        <v>5.8520000000000003</v>
      </c>
      <c r="L868" s="7" t="str">
        <f t="shared" si="548"/>
        <v/>
      </c>
      <c r="M868" s="7" t="str">
        <f t="shared" si="547"/>
        <v/>
      </c>
      <c r="N868" s="7" t="str">
        <f t="shared" ref="N868:N869" si="562">IF(I868=12,G868*H868*J868,"")</f>
        <v/>
      </c>
      <c r="O868" s="7" t="str">
        <f t="shared" ref="O868:O869" si="563">IF(I868=14,G868*H868*J868,"")</f>
        <v/>
      </c>
      <c r="P868" s="7" t="str">
        <f t="shared" si="560"/>
        <v/>
      </c>
      <c r="Q868" s="7" t="str">
        <f t="shared" ref="Q868:Q869" si="564">IF(I868=20,G868*H868*J868,"")</f>
        <v/>
      </c>
      <c r="R868" s="7"/>
      <c r="S868" s="7" t="str">
        <f t="shared" ref="S868:S869" si="565">IF(I868=32,G868*H868*J868,"")</f>
        <v/>
      </c>
    </row>
    <row r="869" spans="1:19" s="45" customFormat="1">
      <c r="A869"/>
      <c r="B869" s="53" t="s">
        <v>4</v>
      </c>
      <c r="C869" s="55">
        <v>4</v>
      </c>
      <c r="D869" s="43" t="s">
        <v>42</v>
      </c>
      <c r="E869" s="43">
        <v>0.4</v>
      </c>
      <c r="F869" s="43">
        <v>0.4</v>
      </c>
      <c r="G869" s="44"/>
      <c r="H869" s="44"/>
      <c r="I869" s="44"/>
      <c r="J869" s="44"/>
      <c r="K869" s="7" t="str">
        <f t="shared" si="561"/>
        <v/>
      </c>
      <c r="L869" s="7" t="str">
        <f t="shared" si="548"/>
        <v/>
      </c>
      <c r="M869" s="7" t="str">
        <f t="shared" si="547"/>
        <v/>
      </c>
      <c r="N869" s="7" t="str">
        <f t="shared" si="562"/>
        <v/>
      </c>
      <c r="O869" s="7" t="str">
        <f t="shared" si="563"/>
        <v/>
      </c>
      <c r="P869" s="7" t="str">
        <f t="shared" si="560"/>
        <v/>
      </c>
      <c r="Q869" s="7" t="str">
        <f t="shared" si="564"/>
        <v/>
      </c>
      <c r="R869" s="7"/>
      <c r="S869" s="7" t="str">
        <f t="shared" si="565"/>
        <v/>
      </c>
    </row>
    <row r="870" spans="1:19" s="45" customFormat="1">
      <c r="A870" t="s">
        <v>86</v>
      </c>
      <c r="B870" s="53"/>
      <c r="C870" s="55"/>
      <c r="D870" s="43"/>
      <c r="E870" s="43"/>
      <c r="F870" s="43"/>
      <c r="G870" s="44">
        <v>1</v>
      </c>
      <c r="H870" s="44">
        <v>4</v>
      </c>
      <c r="I870" s="44">
        <v>14</v>
      </c>
      <c r="J870" s="44">
        <f>$T$76+18*I870/1000</f>
        <v>2.052</v>
      </c>
      <c r="K870" s="7"/>
      <c r="L870" s="7" t="str">
        <f t="shared" si="548"/>
        <v/>
      </c>
      <c r="M870" s="7" t="str">
        <f t="shared" si="547"/>
        <v/>
      </c>
      <c r="N870" s="7"/>
      <c r="O870" s="7"/>
      <c r="P870" s="7" t="str">
        <f t="shared" si="560"/>
        <v/>
      </c>
      <c r="Q870" s="7"/>
      <c r="R870" s="7"/>
      <c r="S870" s="7"/>
    </row>
    <row r="871" spans="1:19" s="45" customFormat="1">
      <c r="A871" t="s">
        <v>86</v>
      </c>
      <c r="B871" s="53"/>
      <c r="C871" s="55"/>
      <c r="D871" s="43"/>
      <c r="E871" s="43"/>
      <c r="F871" s="43"/>
      <c r="G871" s="44">
        <v>1</v>
      </c>
      <c r="H871" s="44">
        <v>2</v>
      </c>
      <c r="I871" s="44">
        <v>14</v>
      </c>
      <c r="J871" s="44">
        <f>$T$76+18*I871/1000</f>
        <v>2.052</v>
      </c>
      <c r="K871" s="7"/>
      <c r="L871" s="7" t="str">
        <f t="shared" si="548"/>
        <v/>
      </c>
      <c r="M871" s="7" t="str">
        <f t="shared" si="547"/>
        <v/>
      </c>
      <c r="N871" s="7"/>
      <c r="O871" s="7"/>
      <c r="P871" s="7"/>
      <c r="Q871" s="7"/>
      <c r="R871" s="7"/>
      <c r="S871" s="7"/>
    </row>
    <row r="872" spans="1:19" s="45" customFormat="1">
      <c r="A872" t="s">
        <v>76</v>
      </c>
      <c r="B872" s="53"/>
      <c r="C872" s="53"/>
      <c r="D872" s="43"/>
      <c r="E872" s="43"/>
      <c r="F872" s="43"/>
      <c r="G872" s="44">
        <v>1</v>
      </c>
      <c r="H872" s="44">
        <f>ROUNDUP(($T$76-0.25)/0.15,0)</f>
        <v>11</v>
      </c>
      <c r="I872" s="44">
        <v>6</v>
      </c>
      <c r="J872" s="44">
        <f>2*(E869+F869)+20.5*I872/1000</f>
        <v>1.7230000000000001</v>
      </c>
      <c r="K872" s="7">
        <f t="shared" ref="K872:K880" si="566">IF(I872=6,G872*H872*J872,"")</f>
        <v>18.952999999999999</v>
      </c>
      <c r="L872" s="7" t="str">
        <f t="shared" si="548"/>
        <v/>
      </c>
      <c r="M872" s="7" t="str">
        <f t="shared" si="547"/>
        <v/>
      </c>
      <c r="N872" s="7" t="str">
        <f t="shared" ref="N872:N875" si="567">IF(I872=12,G872*H872*J872,"")</f>
        <v/>
      </c>
      <c r="O872" s="7" t="str">
        <f t="shared" ref="O872:O958" si="568">IF(I872=14,G872*H872*J872,"")</f>
        <v/>
      </c>
      <c r="P872" s="7" t="str">
        <f t="shared" ref="P872:P875" si="569">IF(I872=16,G872*H872*J872,"")</f>
        <v/>
      </c>
      <c r="Q872" s="7" t="str">
        <f t="shared" ref="Q872:Q875" si="570">IF(I872=20,G872*H872*J872,"")</f>
        <v/>
      </c>
      <c r="R872" s="7"/>
      <c r="S872" s="7" t="str">
        <f t="shared" ref="S872:S875" si="571">IF(I872=32,G872*H872*J872,"")</f>
        <v/>
      </c>
    </row>
    <row r="873" spans="1:19" s="45" customFormat="1">
      <c r="A873" t="s">
        <v>77</v>
      </c>
      <c r="B873" s="53"/>
      <c r="C873" s="53"/>
      <c r="D873" s="43"/>
      <c r="E873" s="43"/>
      <c r="F873" s="43"/>
      <c r="G873" s="44">
        <v>1</v>
      </c>
      <c r="H873" s="44">
        <f>ROUNDUP(($T$76-0.25)/0.15,0)</f>
        <v>11</v>
      </c>
      <c r="I873" s="44">
        <v>6</v>
      </c>
      <c r="J873" s="44">
        <f>E869+22*I873/1000</f>
        <v>0.53200000000000003</v>
      </c>
      <c r="K873" s="7">
        <f t="shared" si="566"/>
        <v>5.8520000000000003</v>
      </c>
      <c r="L873" s="7" t="str">
        <f t="shared" si="548"/>
        <v/>
      </c>
      <c r="M873" s="7" t="str">
        <f t="shared" si="547"/>
        <v/>
      </c>
      <c r="N873" s="7" t="str">
        <f t="shared" si="567"/>
        <v/>
      </c>
      <c r="O873" s="7" t="str">
        <f t="shared" si="568"/>
        <v/>
      </c>
      <c r="P873" s="7" t="str">
        <f t="shared" si="569"/>
        <v/>
      </c>
      <c r="Q873" s="7" t="str">
        <f t="shared" si="570"/>
        <v/>
      </c>
      <c r="R873" s="7"/>
      <c r="S873" s="7" t="str">
        <f t="shared" si="571"/>
        <v/>
      </c>
    </row>
    <row r="874" spans="1:19" s="45" customFormat="1">
      <c r="A874"/>
      <c r="B874" s="53" t="s">
        <v>4</v>
      </c>
      <c r="C874" s="53">
        <v>5</v>
      </c>
      <c r="D874" s="43" t="s">
        <v>43</v>
      </c>
      <c r="E874" s="43">
        <v>0.3</v>
      </c>
      <c r="F874" s="43">
        <v>0.3</v>
      </c>
      <c r="G874" s="44"/>
      <c r="H874" s="44"/>
      <c r="I874" s="44"/>
      <c r="J874" s="44"/>
      <c r="K874" s="7" t="str">
        <f t="shared" si="566"/>
        <v/>
      </c>
      <c r="L874" s="7" t="str">
        <f t="shared" si="548"/>
        <v/>
      </c>
      <c r="M874" s="7" t="str">
        <f t="shared" si="547"/>
        <v/>
      </c>
      <c r="N874" s="7" t="str">
        <f t="shared" si="567"/>
        <v/>
      </c>
      <c r="O874" s="7" t="str">
        <f t="shared" si="568"/>
        <v/>
      </c>
      <c r="P874" s="7" t="str">
        <f t="shared" si="569"/>
        <v/>
      </c>
      <c r="Q874" s="7" t="str">
        <f t="shared" si="570"/>
        <v/>
      </c>
      <c r="R874" s="7"/>
      <c r="S874" s="7" t="str">
        <f t="shared" si="571"/>
        <v/>
      </c>
    </row>
    <row r="875" spans="1:19" s="45" customFormat="1">
      <c r="A875" t="s">
        <v>86</v>
      </c>
      <c r="B875" s="53"/>
      <c r="C875" s="53"/>
      <c r="D875" s="43"/>
      <c r="E875" s="43"/>
      <c r="F875" s="43"/>
      <c r="G875" s="44">
        <v>1</v>
      </c>
      <c r="H875" s="44">
        <v>4</v>
      </c>
      <c r="I875" s="44">
        <v>14</v>
      </c>
      <c r="J875" s="44">
        <f>$T$76+18*I875/1000</f>
        <v>2.052</v>
      </c>
      <c r="K875" s="7" t="str">
        <f t="shared" si="566"/>
        <v/>
      </c>
      <c r="L875" s="7" t="str">
        <f t="shared" si="548"/>
        <v/>
      </c>
      <c r="M875" s="7" t="str">
        <f t="shared" si="547"/>
        <v/>
      </c>
      <c r="N875" s="7" t="str">
        <f t="shared" si="567"/>
        <v/>
      </c>
      <c r="O875" s="7">
        <f t="shared" si="568"/>
        <v>8.2080000000000002</v>
      </c>
      <c r="P875" s="7" t="str">
        <f t="shared" si="569"/>
        <v/>
      </c>
      <c r="Q875" s="7" t="str">
        <f t="shared" si="570"/>
        <v/>
      </c>
      <c r="R875" s="7"/>
      <c r="S875" s="7" t="str">
        <f t="shared" si="571"/>
        <v/>
      </c>
    </row>
    <row r="876" spans="1:19" s="45" customFormat="1">
      <c r="A876" t="s">
        <v>86</v>
      </c>
      <c r="B876" s="53"/>
      <c r="C876" s="53"/>
      <c r="D876" s="43"/>
      <c r="E876" s="43"/>
      <c r="F876" s="43"/>
      <c r="G876" s="44">
        <v>1</v>
      </c>
      <c r="H876" s="44">
        <v>2</v>
      </c>
      <c r="I876" s="44">
        <v>14</v>
      </c>
      <c r="J876" s="44">
        <f>$T$76+18*I876/1000</f>
        <v>2.052</v>
      </c>
      <c r="K876" s="7" t="str">
        <f t="shared" si="566"/>
        <v/>
      </c>
      <c r="L876" s="7" t="str">
        <f t="shared" si="548"/>
        <v/>
      </c>
      <c r="M876" s="7" t="str">
        <f t="shared" si="547"/>
        <v/>
      </c>
      <c r="N876" s="7"/>
      <c r="O876" s="7">
        <f t="shared" si="568"/>
        <v>4.1040000000000001</v>
      </c>
      <c r="P876" s="7"/>
      <c r="Q876" s="7"/>
      <c r="R876" s="7"/>
      <c r="S876" s="7"/>
    </row>
    <row r="877" spans="1:19" s="45" customFormat="1">
      <c r="A877" t="s">
        <v>76</v>
      </c>
      <c r="B877" s="53"/>
      <c r="C877" s="53"/>
      <c r="D877" s="43"/>
      <c r="E877" s="43"/>
      <c r="F877" s="43"/>
      <c r="G877" s="44">
        <v>1</v>
      </c>
      <c r="H877" s="44">
        <f>ROUNDUP(($T$76-0.25)/0.15,0)</f>
        <v>11</v>
      </c>
      <c r="I877" s="44">
        <v>6</v>
      </c>
      <c r="J877" s="44">
        <f>2*(E874+F874)+20.5*I877/1000</f>
        <v>1.323</v>
      </c>
      <c r="K877" s="7">
        <f t="shared" si="566"/>
        <v>14.552999999999999</v>
      </c>
      <c r="L877" s="7" t="str">
        <f t="shared" si="548"/>
        <v/>
      </c>
      <c r="M877" s="7" t="str">
        <f t="shared" si="547"/>
        <v/>
      </c>
      <c r="N877" s="7"/>
      <c r="O877" s="7" t="str">
        <f t="shared" si="568"/>
        <v/>
      </c>
      <c r="P877" s="7" t="str">
        <f t="shared" ref="P877:P880" si="572">IF(I877=16,G877*H877*J877,"")</f>
        <v/>
      </c>
      <c r="Q877" s="7"/>
      <c r="R877" s="7"/>
      <c r="S877" s="7"/>
    </row>
    <row r="878" spans="1:19" s="45" customFormat="1">
      <c r="A878" t="s">
        <v>77</v>
      </c>
      <c r="B878" s="53"/>
      <c r="C878" s="53"/>
      <c r="D878" s="43"/>
      <c r="E878" s="43"/>
      <c r="F878" s="43"/>
      <c r="G878" s="44">
        <v>1</v>
      </c>
      <c r="H878" s="44">
        <f>ROUNDUP(($T$76-0.25)/0.15,0)</f>
        <v>11</v>
      </c>
      <c r="I878" s="44">
        <v>6</v>
      </c>
      <c r="J878" s="44">
        <f>E874+22*I878/1000</f>
        <v>0.432</v>
      </c>
      <c r="K878" s="7">
        <f t="shared" si="566"/>
        <v>4.7519999999999998</v>
      </c>
      <c r="L878" s="7" t="str">
        <f t="shared" si="548"/>
        <v/>
      </c>
      <c r="M878" s="7" t="str">
        <f t="shared" si="547"/>
        <v/>
      </c>
      <c r="N878" s="7" t="str">
        <f t="shared" ref="N878:N879" si="573">IF(I878=12,G878*H878*J878,"")</f>
        <v/>
      </c>
      <c r="O878" s="7" t="str">
        <f t="shared" si="568"/>
        <v/>
      </c>
      <c r="P878" s="7" t="str">
        <f t="shared" si="572"/>
        <v/>
      </c>
      <c r="Q878" s="7" t="str">
        <f t="shared" ref="Q878:Q879" si="574">IF(I878=20,G878*H878*J878,"")</f>
        <v/>
      </c>
      <c r="R878" s="7"/>
      <c r="S878" s="7" t="str">
        <f t="shared" ref="S878:S879" si="575">IF(I878=32,G878*H878*J878,"")</f>
        <v/>
      </c>
    </row>
    <row r="879" spans="1:19" s="45" customFormat="1">
      <c r="A879"/>
      <c r="B879" s="53" t="s">
        <v>4</v>
      </c>
      <c r="C879" s="55">
        <v>6</v>
      </c>
      <c r="D879" s="43" t="s">
        <v>24</v>
      </c>
      <c r="E879" s="43">
        <v>0.25</v>
      </c>
      <c r="F879" s="43">
        <v>0.35</v>
      </c>
      <c r="G879" s="44"/>
      <c r="H879" s="44"/>
      <c r="I879" s="44"/>
      <c r="J879" s="44"/>
      <c r="K879" s="7" t="str">
        <f t="shared" si="566"/>
        <v/>
      </c>
      <c r="L879" s="7" t="str">
        <f t="shared" si="548"/>
        <v/>
      </c>
      <c r="M879" s="7" t="str">
        <f t="shared" si="547"/>
        <v/>
      </c>
      <c r="N879" s="7" t="str">
        <f t="shared" si="573"/>
        <v/>
      </c>
      <c r="O879" s="7" t="str">
        <f t="shared" si="568"/>
        <v/>
      </c>
      <c r="P879" s="7" t="str">
        <f t="shared" si="572"/>
        <v/>
      </c>
      <c r="Q879" s="7" t="str">
        <f t="shared" si="574"/>
        <v/>
      </c>
      <c r="R879" s="7"/>
      <c r="S879" s="7" t="str">
        <f t="shared" si="575"/>
        <v/>
      </c>
    </row>
    <row r="880" spans="1:19" s="45" customFormat="1">
      <c r="A880" t="s">
        <v>86</v>
      </c>
      <c r="B880" s="53"/>
      <c r="C880" s="55"/>
      <c r="D880" s="43"/>
      <c r="E880" s="43"/>
      <c r="F880" s="43"/>
      <c r="G880" s="44">
        <v>1</v>
      </c>
      <c r="H880" s="44">
        <v>4</v>
      </c>
      <c r="I880" s="44">
        <v>14</v>
      </c>
      <c r="J880" s="44">
        <f>$T$76+18*I880/1000</f>
        <v>2.052</v>
      </c>
      <c r="K880" s="7" t="str">
        <f t="shared" si="566"/>
        <v/>
      </c>
      <c r="L880" s="7" t="str">
        <f t="shared" si="548"/>
        <v/>
      </c>
      <c r="M880" s="7" t="str">
        <f t="shared" si="547"/>
        <v/>
      </c>
      <c r="N880" s="7"/>
      <c r="O880" s="7">
        <f t="shared" si="568"/>
        <v>8.2080000000000002</v>
      </c>
      <c r="P880" s="7" t="str">
        <f t="shared" si="572"/>
        <v/>
      </c>
      <c r="Q880" s="7"/>
      <c r="R880" s="7"/>
      <c r="S880" s="7"/>
    </row>
    <row r="881" spans="1:19" s="45" customFormat="1">
      <c r="A881" t="s">
        <v>86</v>
      </c>
      <c r="B881" s="53"/>
      <c r="C881" s="55"/>
      <c r="D881" s="43"/>
      <c r="E881" s="43"/>
      <c r="F881" s="43"/>
      <c r="G881" s="44">
        <v>1</v>
      </c>
      <c r="H881" s="44">
        <v>2</v>
      </c>
      <c r="I881" s="44">
        <v>14</v>
      </c>
      <c r="J881" s="44">
        <f>$T$76+18*I881/1000</f>
        <v>2.052</v>
      </c>
      <c r="K881" s="7"/>
      <c r="L881" s="7" t="str">
        <f t="shared" si="548"/>
        <v/>
      </c>
      <c r="M881" s="7" t="str">
        <f t="shared" si="547"/>
        <v/>
      </c>
      <c r="N881" s="7"/>
      <c r="O881" s="7">
        <f t="shared" si="568"/>
        <v>4.1040000000000001</v>
      </c>
      <c r="P881" s="7"/>
      <c r="Q881" s="7"/>
      <c r="R881" s="7"/>
      <c r="S881" s="7"/>
    </row>
    <row r="882" spans="1:19" s="45" customFormat="1">
      <c r="A882" t="s">
        <v>76</v>
      </c>
      <c r="B882" s="53"/>
      <c r="C882" s="53"/>
      <c r="D882" s="43"/>
      <c r="E882" s="43"/>
      <c r="F882" s="43"/>
      <c r="G882" s="44">
        <v>1</v>
      </c>
      <c r="H882" s="44">
        <f>ROUNDUP(($T$76-0.25)/0.15,0)</f>
        <v>11</v>
      </c>
      <c r="I882" s="44">
        <v>6</v>
      </c>
      <c r="J882" s="44">
        <f>2*(E879+F879)+20.5*I882/1000</f>
        <v>1.323</v>
      </c>
      <c r="K882" s="7">
        <f t="shared" ref="K882:K884" si="576">IF(I882=6,G882*H882*J882,"")</f>
        <v>14.552999999999999</v>
      </c>
      <c r="L882" s="7" t="str">
        <f t="shared" si="548"/>
        <v/>
      </c>
      <c r="M882" s="7" t="str">
        <f t="shared" si="547"/>
        <v/>
      </c>
      <c r="N882" s="7" t="str">
        <f t="shared" ref="N882:N884" si="577">IF(I882=12,G882*H882*J882,"")</f>
        <v/>
      </c>
      <c r="O882" s="7" t="str">
        <f t="shared" si="568"/>
        <v/>
      </c>
      <c r="P882" s="7" t="str">
        <f t="shared" ref="P882:P899" si="578">IF(I882=16,G882*H882*J882,"")</f>
        <v/>
      </c>
      <c r="Q882" s="7" t="str">
        <f t="shared" ref="Q882:Q884" si="579">IF(I882=20,G882*H882*J882,"")</f>
        <v/>
      </c>
      <c r="R882" s="7"/>
      <c r="S882" s="7" t="str">
        <f t="shared" ref="S882:S884" si="580">IF(I882=32,G882*H882*J882,"")</f>
        <v/>
      </c>
    </row>
    <row r="883" spans="1:19" s="45" customFormat="1">
      <c r="A883" t="s">
        <v>77</v>
      </c>
      <c r="B883" s="53"/>
      <c r="C883" s="53"/>
      <c r="D883" s="43"/>
      <c r="E883" s="43"/>
      <c r="F883" s="43"/>
      <c r="G883" s="44">
        <v>1</v>
      </c>
      <c r="H883" s="44">
        <f>ROUNDUP(($T$76-0.25)/0.15,0)</f>
        <v>11</v>
      </c>
      <c r="I883" s="44">
        <v>6</v>
      </c>
      <c r="J883" s="44">
        <f>E879+22*I883/1000</f>
        <v>0.38200000000000001</v>
      </c>
      <c r="K883" s="7">
        <f t="shared" si="576"/>
        <v>4.202</v>
      </c>
      <c r="L883" s="7" t="str">
        <f t="shared" si="548"/>
        <v/>
      </c>
      <c r="M883" s="7" t="str">
        <f t="shared" si="547"/>
        <v/>
      </c>
      <c r="N883" s="7" t="str">
        <f t="shared" si="577"/>
        <v/>
      </c>
      <c r="O883" s="7" t="str">
        <f t="shared" si="568"/>
        <v/>
      </c>
      <c r="P883" s="7" t="str">
        <f t="shared" si="578"/>
        <v/>
      </c>
      <c r="Q883" s="7" t="str">
        <f t="shared" si="579"/>
        <v/>
      </c>
      <c r="R883" s="7"/>
      <c r="S883" s="7" t="str">
        <f t="shared" si="580"/>
        <v/>
      </c>
    </row>
    <row r="884" spans="1:19" s="45" customFormat="1">
      <c r="A884"/>
      <c r="B884" s="53" t="s">
        <v>4</v>
      </c>
      <c r="C884" s="55">
        <v>7</v>
      </c>
      <c r="D884" s="43" t="s">
        <v>24</v>
      </c>
      <c r="E884" s="43">
        <v>0.25</v>
      </c>
      <c r="F884" s="43">
        <v>0.35</v>
      </c>
      <c r="G884" s="44"/>
      <c r="H884" s="44"/>
      <c r="I884" s="44"/>
      <c r="J884" s="44"/>
      <c r="K884" s="7" t="str">
        <f t="shared" si="576"/>
        <v/>
      </c>
      <c r="L884" s="7" t="str">
        <f t="shared" si="548"/>
        <v/>
      </c>
      <c r="M884" s="7" t="str">
        <f t="shared" si="547"/>
        <v/>
      </c>
      <c r="N884" s="7" t="str">
        <f t="shared" si="577"/>
        <v/>
      </c>
      <c r="O884" s="7" t="str">
        <f t="shared" si="568"/>
        <v/>
      </c>
      <c r="P884" s="7" t="str">
        <f t="shared" si="578"/>
        <v/>
      </c>
      <c r="Q884" s="7" t="str">
        <f t="shared" si="579"/>
        <v/>
      </c>
      <c r="R884" s="7"/>
      <c r="S884" s="7" t="str">
        <f t="shared" si="580"/>
        <v/>
      </c>
    </row>
    <row r="885" spans="1:19" s="45" customFormat="1">
      <c r="A885" t="s">
        <v>86</v>
      </c>
      <c r="B885" s="53"/>
      <c r="C885" s="55"/>
      <c r="D885" s="43"/>
      <c r="E885" s="43"/>
      <c r="F885" s="43"/>
      <c r="G885" s="44">
        <v>1</v>
      </c>
      <c r="H885" s="44">
        <v>4</v>
      </c>
      <c r="I885" s="44">
        <v>14</v>
      </c>
      <c r="J885" s="44">
        <f>$T$76+18*I885/1000</f>
        <v>2.052</v>
      </c>
      <c r="K885" s="7"/>
      <c r="L885" s="7" t="str">
        <f t="shared" si="548"/>
        <v/>
      </c>
      <c r="M885" s="7" t="str">
        <f t="shared" si="547"/>
        <v/>
      </c>
      <c r="N885" s="7"/>
      <c r="O885" s="7">
        <f t="shared" si="568"/>
        <v>8.2080000000000002</v>
      </c>
      <c r="P885" s="7" t="str">
        <f t="shared" si="578"/>
        <v/>
      </c>
      <c r="Q885" s="7"/>
      <c r="R885" s="7"/>
      <c r="S885" s="7"/>
    </row>
    <row r="886" spans="1:19" s="45" customFormat="1">
      <c r="A886" t="s">
        <v>86</v>
      </c>
      <c r="B886" s="53"/>
      <c r="C886" s="55"/>
      <c r="D886" s="43"/>
      <c r="E886" s="43"/>
      <c r="F886" s="43"/>
      <c r="G886" s="44">
        <v>1</v>
      </c>
      <c r="H886" s="44">
        <v>2</v>
      </c>
      <c r="I886" s="44">
        <v>14</v>
      </c>
      <c r="J886" s="44">
        <f>$T$76+18*I886/1000</f>
        <v>2.052</v>
      </c>
      <c r="K886" s="7"/>
      <c r="L886" s="7" t="str">
        <f t="shared" si="548"/>
        <v/>
      </c>
      <c r="M886" s="7" t="str">
        <f t="shared" si="547"/>
        <v/>
      </c>
      <c r="N886" s="7"/>
      <c r="O886" s="7">
        <f t="shared" si="568"/>
        <v>4.1040000000000001</v>
      </c>
      <c r="P886" s="7" t="str">
        <f t="shared" si="578"/>
        <v/>
      </c>
      <c r="Q886" s="7"/>
      <c r="R886" s="7"/>
      <c r="S886" s="7"/>
    </row>
    <row r="887" spans="1:19" s="45" customFormat="1">
      <c r="A887" t="s">
        <v>76</v>
      </c>
      <c r="B887" s="53"/>
      <c r="C887" s="53"/>
      <c r="D887" s="43"/>
      <c r="E887" s="43"/>
      <c r="F887" s="43"/>
      <c r="G887" s="44">
        <v>1</v>
      </c>
      <c r="H887" s="44">
        <f>ROUNDUP(($T$76-0.25)/0.15,0)</f>
        <v>11</v>
      </c>
      <c r="I887" s="44">
        <v>6</v>
      </c>
      <c r="J887" s="44">
        <f>2*(E884+F884)+20.5*I887/1000</f>
        <v>1.323</v>
      </c>
      <c r="K887" s="7">
        <f t="shared" ref="K887:K889" si="581">IF(I887=6,G887*H887*J887,"")</f>
        <v>14.552999999999999</v>
      </c>
      <c r="L887" s="7" t="str">
        <f t="shared" si="548"/>
        <v/>
      </c>
      <c r="M887" s="7" t="str">
        <f t="shared" si="547"/>
        <v/>
      </c>
      <c r="N887" s="7" t="str">
        <f t="shared" ref="N887:N889" si="582">IF(I887=12,G887*H887*J887,"")</f>
        <v/>
      </c>
      <c r="O887" s="7" t="str">
        <f t="shared" si="568"/>
        <v/>
      </c>
      <c r="P887" s="7" t="str">
        <f t="shared" si="578"/>
        <v/>
      </c>
      <c r="Q887" s="7" t="str">
        <f t="shared" ref="Q887:Q889" si="583">IF(I887=20,G887*H887*J887,"")</f>
        <v/>
      </c>
      <c r="R887" s="7"/>
      <c r="S887" s="7" t="str">
        <f t="shared" ref="S887:S889" si="584">IF(I887=32,G887*H887*J887,"")</f>
        <v/>
      </c>
    </row>
    <row r="888" spans="1:19" s="45" customFormat="1">
      <c r="A888" t="s">
        <v>77</v>
      </c>
      <c r="B888" s="53"/>
      <c r="C888" s="53"/>
      <c r="D888" s="43"/>
      <c r="E888" s="43"/>
      <c r="F888" s="43"/>
      <c r="G888" s="44">
        <v>1</v>
      </c>
      <c r="H888" s="44">
        <f>ROUNDUP(($T$76-0.25)/0.15,0)</f>
        <v>11</v>
      </c>
      <c r="I888" s="44">
        <v>6</v>
      </c>
      <c r="J888" s="44">
        <f>E884+22*I888/1000</f>
        <v>0.38200000000000001</v>
      </c>
      <c r="K888" s="7">
        <f t="shared" si="581"/>
        <v>4.202</v>
      </c>
      <c r="L888" s="7" t="str">
        <f t="shared" si="548"/>
        <v/>
      </c>
      <c r="M888" s="7" t="str">
        <f t="shared" si="547"/>
        <v/>
      </c>
      <c r="N888" s="7" t="str">
        <f t="shared" si="582"/>
        <v/>
      </c>
      <c r="O888" s="7" t="str">
        <f t="shared" si="568"/>
        <v/>
      </c>
      <c r="P888" s="7" t="str">
        <f t="shared" si="578"/>
        <v/>
      </c>
      <c r="Q888" s="7" t="str">
        <f t="shared" si="583"/>
        <v/>
      </c>
      <c r="R888" s="7"/>
      <c r="S888" s="7" t="str">
        <f t="shared" si="584"/>
        <v/>
      </c>
    </row>
    <row r="889" spans="1:19" s="45" customFormat="1">
      <c r="A889"/>
      <c r="B889" s="53" t="s">
        <v>4</v>
      </c>
      <c r="C889" s="55">
        <v>8</v>
      </c>
      <c r="D889" s="43" t="s">
        <v>24</v>
      </c>
      <c r="E889" s="43">
        <v>0.25</v>
      </c>
      <c r="F889" s="43">
        <v>0.35</v>
      </c>
      <c r="G889" s="44"/>
      <c r="H889" s="44"/>
      <c r="I889" s="44"/>
      <c r="J889" s="44"/>
      <c r="K889" s="7" t="str">
        <f t="shared" si="581"/>
        <v/>
      </c>
      <c r="L889" s="7" t="str">
        <f t="shared" si="548"/>
        <v/>
      </c>
      <c r="M889" s="7" t="str">
        <f t="shared" si="547"/>
        <v/>
      </c>
      <c r="N889" s="7" t="str">
        <f t="shared" si="582"/>
        <v/>
      </c>
      <c r="O889" s="7" t="str">
        <f t="shared" si="568"/>
        <v/>
      </c>
      <c r="P889" s="7" t="str">
        <f t="shared" si="578"/>
        <v/>
      </c>
      <c r="Q889" s="7" t="str">
        <f t="shared" si="583"/>
        <v/>
      </c>
      <c r="R889" s="7"/>
      <c r="S889" s="7" t="str">
        <f t="shared" si="584"/>
        <v/>
      </c>
    </row>
    <row r="890" spans="1:19" s="45" customFormat="1">
      <c r="A890" t="s">
        <v>86</v>
      </c>
      <c r="B890" s="53"/>
      <c r="C890" s="55"/>
      <c r="D890" s="43"/>
      <c r="E890" s="43"/>
      <c r="F890" s="43"/>
      <c r="G890" s="44">
        <v>1</v>
      </c>
      <c r="H890" s="44">
        <v>4</v>
      </c>
      <c r="I890" s="44">
        <v>14</v>
      </c>
      <c r="J890" s="44">
        <f>$T$76+18*I890/1000</f>
        <v>2.052</v>
      </c>
      <c r="K890" s="7"/>
      <c r="L890" s="7" t="str">
        <f t="shared" si="548"/>
        <v/>
      </c>
      <c r="M890" s="7" t="str">
        <f t="shared" si="547"/>
        <v/>
      </c>
      <c r="N890" s="7"/>
      <c r="O890" s="7">
        <f t="shared" si="568"/>
        <v>8.2080000000000002</v>
      </c>
      <c r="P890" s="7" t="str">
        <f t="shared" si="578"/>
        <v/>
      </c>
      <c r="Q890" s="7"/>
      <c r="R890" s="7"/>
      <c r="S890" s="7"/>
    </row>
    <row r="891" spans="1:19" s="45" customFormat="1">
      <c r="A891" t="s">
        <v>86</v>
      </c>
      <c r="B891" s="53"/>
      <c r="C891" s="55"/>
      <c r="D891" s="43"/>
      <c r="E891" s="43"/>
      <c r="F891" s="43"/>
      <c r="G891" s="44">
        <v>1</v>
      </c>
      <c r="H891" s="44">
        <v>2</v>
      </c>
      <c r="I891" s="44">
        <v>14</v>
      </c>
      <c r="J891" s="44">
        <f>$T$76+18*I891/1000</f>
        <v>2.052</v>
      </c>
      <c r="K891" s="7"/>
      <c r="L891" s="7" t="str">
        <f t="shared" si="548"/>
        <v/>
      </c>
      <c r="M891" s="7" t="str">
        <f t="shared" si="547"/>
        <v/>
      </c>
      <c r="N891" s="7"/>
      <c r="O891" s="7">
        <f t="shared" si="568"/>
        <v>4.1040000000000001</v>
      </c>
      <c r="P891" s="7" t="str">
        <f t="shared" si="578"/>
        <v/>
      </c>
      <c r="Q891" s="7"/>
      <c r="R891" s="7"/>
      <c r="S891" s="7"/>
    </row>
    <row r="892" spans="1:19" s="45" customFormat="1">
      <c r="A892" t="s">
        <v>76</v>
      </c>
      <c r="B892" s="53"/>
      <c r="C892" s="53"/>
      <c r="D892" s="43"/>
      <c r="E892" s="43"/>
      <c r="F892" s="43"/>
      <c r="G892" s="44">
        <v>1</v>
      </c>
      <c r="H892" s="44">
        <f>ROUNDUP(($T$76-0.25)/0.15,0)</f>
        <v>11</v>
      </c>
      <c r="I892" s="44">
        <v>6</v>
      </c>
      <c r="J892" s="44">
        <f>2*(E889+F889)+20.5*I892/1000</f>
        <v>1.323</v>
      </c>
      <c r="K892" s="7">
        <f t="shared" ref="K892:K894" si="585">IF(I892=6,G892*H892*J892,"")</f>
        <v>14.552999999999999</v>
      </c>
      <c r="L892" s="7" t="str">
        <f t="shared" si="548"/>
        <v/>
      </c>
      <c r="M892" s="7" t="str">
        <f t="shared" si="547"/>
        <v/>
      </c>
      <c r="N892" s="7" t="str">
        <f t="shared" ref="N892:N894" si="586">IF(I892=12,G892*H892*J892,"")</f>
        <v/>
      </c>
      <c r="O892" s="7" t="str">
        <f t="shared" si="568"/>
        <v/>
      </c>
      <c r="P892" s="7" t="str">
        <f t="shared" si="578"/>
        <v/>
      </c>
      <c r="Q892" s="7" t="str">
        <f t="shared" ref="Q892:Q894" si="587">IF(I892=20,G892*H892*J892,"")</f>
        <v/>
      </c>
      <c r="R892" s="7"/>
      <c r="S892" s="7" t="str">
        <f t="shared" ref="S892:S894" si="588">IF(I892=32,G892*H892*J892,"")</f>
        <v/>
      </c>
    </row>
    <row r="893" spans="1:19" s="45" customFormat="1">
      <c r="A893" t="s">
        <v>77</v>
      </c>
      <c r="B893" s="53"/>
      <c r="C893" s="53"/>
      <c r="D893" s="43"/>
      <c r="E893" s="43"/>
      <c r="F893" s="43"/>
      <c r="G893" s="44">
        <v>1</v>
      </c>
      <c r="H893" s="44">
        <f>ROUNDUP(($T$76-0.25)/0.15,0)</f>
        <v>11</v>
      </c>
      <c r="I893" s="44">
        <v>6</v>
      </c>
      <c r="J893" s="44">
        <f>E889+22*I893/1000</f>
        <v>0.38200000000000001</v>
      </c>
      <c r="K893" s="7">
        <f t="shared" si="585"/>
        <v>4.202</v>
      </c>
      <c r="L893" s="7" t="str">
        <f t="shared" si="548"/>
        <v/>
      </c>
      <c r="M893" s="7" t="str">
        <f t="shared" si="547"/>
        <v/>
      </c>
      <c r="N893" s="7" t="str">
        <f t="shared" si="586"/>
        <v/>
      </c>
      <c r="O893" s="7" t="str">
        <f t="shared" si="568"/>
        <v/>
      </c>
      <c r="P893" s="7" t="str">
        <f t="shared" si="578"/>
        <v/>
      </c>
      <c r="Q893" s="7" t="str">
        <f t="shared" si="587"/>
        <v/>
      </c>
      <c r="R893" s="7"/>
      <c r="S893" s="7" t="str">
        <f t="shared" si="588"/>
        <v/>
      </c>
    </row>
    <row r="894" spans="1:19" s="45" customFormat="1">
      <c r="A894"/>
      <c r="B894" s="53" t="s">
        <v>6</v>
      </c>
      <c r="C894" s="53">
        <v>5</v>
      </c>
      <c r="D894" s="43" t="s">
        <v>44</v>
      </c>
      <c r="E894" s="43">
        <v>0.35</v>
      </c>
      <c r="F894" s="43">
        <v>0.35</v>
      </c>
      <c r="G894" s="44"/>
      <c r="H894" s="44"/>
      <c r="I894" s="44"/>
      <c r="J894" s="44"/>
      <c r="K894" s="7" t="str">
        <f t="shared" si="585"/>
        <v/>
      </c>
      <c r="L894" s="7" t="str">
        <f t="shared" si="548"/>
        <v/>
      </c>
      <c r="M894" s="7" t="str">
        <f t="shared" si="547"/>
        <v/>
      </c>
      <c r="N894" s="7" t="str">
        <f t="shared" si="586"/>
        <v/>
      </c>
      <c r="O894" s="7" t="str">
        <f t="shared" si="568"/>
        <v/>
      </c>
      <c r="P894" s="7" t="str">
        <f t="shared" si="578"/>
        <v/>
      </c>
      <c r="Q894" s="7" t="str">
        <f t="shared" si="587"/>
        <v/>
      </c>
      <c r="R894" s="7"/>
      <c r="S894" s="7" t="str">
        <f t="shared" si="588"/>
        <v/>
      </c>
    </row>
    <row r="895" spans="1:19" s="45" customFormat="1">
      <c r="A895" t="s">
        <v>86</v>
      </c>
      <c r="B895" s="53"/>
      <c r="C895" s="53"/>
      <c r="D895" s="43"/>
      <c r="E895" s="43"/>
      <c r="F895" s="43"/>
      <c r="G895" s="44">
        <v>1</v>
      </c>
      <c r="H895" s="44">
        <v>6</v>
      </c>
      <c r="I895" s="44">
        <v>14</v>
      </c>
      <c r="J895" s="44">
        <f>$T$76+18*I895/1000</f>
        <v>2.052</v>
      </c>
      <c r="K895" s="7"/>
      <c r="L895" s="7" t="str">
        <f t="shared" si="548"/>
        <v/>
      </c>
      <c r="M895" s="7" t="str">
        <f t="shared" si="547"/>
        <v/>
      </c>
      <c r="N895" s="7"/>
      <c r="O895" s="7">
        <f t="shared" si="568"/>
        <v>12.312000000000001</v>
      </c>
      <c r="P895" s="7" t="str">
        <f t="shared" si="578"/>
        <v/>
      </c>
      <c r="Q895" s="7"/>
      <c r="R895" s="7"/>
      <c r="S895" s="7"/>
    </row>
    <row r="896" spans="1:19" s="45" customFormat="1">
      <c r="A896" t="s">
        <v>76</v>
      </c>
      <c r="B896" s="53"/>
      <c r="C896" s="53"/>
      <c r="D896" s="43"/>
      <c r="E896" s="43"/>
      <c r="F896" s="43"/>
      <c r="G896" s="44">
        <v>1</v>
      </c>
      <c r="H896" s="44">
        <f>ROUNDUP(($T$76-0.25)/0.15,0)</f>
        <v>11</v>
      </c>
      <c r="I896" s="44">
        <v>6</v>
      </c>
      <c r="J896" s="44">
        <f>2*(E894+F894)+20.5*I896/1000</f>
        <v>1.5229999999999999</v>
      </c>
      <c r="K896" s="7">
        <f t="shared" ref="K896:K898" si="589">IF(I896=6,G896*H896*J896,"")</f>
        <v>16.753</v>
      </c>
      <c r="L896" s="7" t="str">
        <f t="shared" si="548"/>
        <v/>
      </c>
      <c r="M896" s="7" t="str">
        <f t="shared" si="547"/>
        <v/>
      </c>
      <c r="N896" s="7" t="str">
        <f t="shared" ref="N896:N898" si="590">IF(I896=12,G896*H896*J896,"")</f>
        <v/>
      </c>
      <c r="O896" s="7" t="str">
        <f t="shared" si="568"/>
        <v/>
      </c>
      <c r="P896" s="7" t="str">
        <f t="shared" si="578"/>
        <v/>
      </c>
      <c r="Q896" s="7" t="str">
        <f t="shared" ref="Q896:Q898" si="591">IF(I896=20,G896*H896*J896,"")</f>
        <v/>
      </c>
      <c r="R896" s="7"/>
      <c r="S896" s="7" t="str">
        <f t="shared" ref="S896:S898" si="592">IF(I896=32,G896*H896*J896,"")</f>
        <v/>
      </c>
    </row>
    <row r="897" spans="1:19" s="45" customFormat="1">
      <c r="A897" t="s">
        <v>77</v>
      </c>
      <c r="B897" s="53"/>
      <c r="C897" s="53"/>
      <c r="D897" s="43"/>
      <c r="E897" s="43"/>
      <c r="F897" s="43"/>
      <c r="G897" s="44">
        <v>1</v>
      </c>
      <c r="H897" s="44">
        <f>ROUNDUP(($T$76-0.25)/0.15,0)</f>
        <v>11</v>
      </c>
      <c r="I897" s="44">
        <v>6</v>
      </c>
      <c r="J897" s="44">
        <f>E894+22*I897/1000</f>
        <v>0.48199999999999998</v>
      </c>
      <c r="K897" s="7">
        <f t="shared" si="589"/>
        <v>5.3019999999999996</v>
      </c>
      <c r="L897" s="7" t="str">
        <f t="shared" si="548"/>
        <v/>
      </c>
      <c r="M897" s="7" t="str">
        <f t="shared" si="547"/>
        <v/>
      </c>
      <c r="N897" s="7" t="str">
        <f t="shared" si="590"/>
        <v/>
      </c>
      <c r="O897" s="7" t="str">
        <f t="shared" si="568"/>
        <v/>
      </c>
      <c r="P897" s="7" t="str">
        <f t="shared" si="578"/>
        <v/>
      </c>
      <c r="Q897" s="7" t="str">
        <f t="shared" si="591"/>
        <v/>
      </c>
      <c r="R897" s="7"/>
      <c r="S897" s="7" t="str">
        <f t="shared" si="592"/>
        <v/>
      </c>
    </row>
    <row r="898" spans="1:19" s="45" customFormat="1">
      <c r="A898"/>
      <c r="B898" s="53" t="s">
        <v>7</v>
      </c>
      <c r="C898" s="53">
        <v>6</v>
      </c>
      <c r="D898" s="43" t="s">
        <v>24</v>
      </c>
      <c r="E898" s="43">
        <v>0.25</v>
      </c>
      <c r="F898" s="43">
        <v>0.35</v>
      </c>
      <c r="G898" s="44"/>
      <c r="H898" s="44"/>
      <c r="I898" s="44"/>
      <c r="J898" s="44"/>
      <c r="K898" s="7" t="str">
        <f t="shared" si="589"/>
        <v/>
      </c>
      <c r="L898" s="7" t="str">
        <f t="shared" si="548"/>
        <v/>
      </c>
      <c r="M898" s="7" t="str">
        <f t="shared" si="547"/>
        <v/>
      </c>
      <c r="N898" s="7" t="str">
        <f t="shared" si="590"/>
        <v/>
      </c>
      <c r="O898" s="7" t="str">
        <f t="shared" si="568"/>
        <v/>
      </c>
      <c r="P898" s="7" t="str">
        <f t="shared" si="578"/>
        <v/>
      </c>
      <c r="Q898" s="7" t="str">
        <f t="shared" si="591"/>
        <v/>
      </c>
      <c r="R898" s="7"/>
      <c r="S898" s="7" t="str">
        <f t="shared" si="592"/>
        <v/>
      </c>
    </row>
    <row r="899" spans="1:19" s="45" customFormat="1">
      <c r="A899" t="s">
        <v>86</v>
      </c>
      <c r="B899" s="53"/>
      <c r="C899" s="53"/>
      <c r="D899" s="43"/>
      <c r="E899" s="43"/>
      <c r="F899" s="43"/>
      <c r="G899" s="44">
        <v>1</v>
      </c>
      <c r="H899" s="44">
        <v>4</v>
      </c>
      <c r="I899" s="44">
        <v>14</v>
      </c>
      <c r="J899" s="44">
        <f>$T$76+18*I899/1000</f>
        <v>2.052</v>
      </c>
      <c r="K899" s="7"/>
      <c r="L899" s="7" t="str">
        <f t="shared" si="548"/>
        <v/>
      </c>
      <c r="M899" s="7" t="str">
        <f t="shared" si="547"/>
        <v/>
      </c>
      <c r="N899" s="7"/>
      <c r="O899" s="7">
        <f t="shared" si="568"/>
        <v>8.2080000000000002</v>
      </c>
      <c r="P899" s="7" t="str">
        <f t="shared" si="578"/>
        <v/>
      </c>
      <c r="Q899" s="7"/>
      <c r="R899" s="7"/>
      <c r="S899" s="7"/>
    </row>
    <row r="900" spans="1:19" s="45" customFormat="1">
      <c r="A900" t="s">
        <v>86</v>
      </c>
      <c r="B900" s="53"/>
      <c r="C900" s="53"/>
      <c r="D900" s="43"/>
      <c r="E900" s="43"/>
      <c r="F900" s="43"/>
      <c r="G900" s="44">
        <v>1</v>
      </c>
      <c r="H900" s="44">
        <v>2</v>
      </c>
      <c r="I900" s="44">
        <v>14</v>
      </c>
      <c r="J900" s="44">
        <f>$T$76+18*I900/1000</f>
        <v>2.052</v>
      </c>
      <c r="K900" s="7"/>
      <c r="L900" s="7" t="str">
        <f t="shared" si="548"/>
        <v/>
      </c>
      <c r="M900" s="7" t="str">
        <f t="shared" si="547"/>
        <v/>
      </c>
      <c r="N900" s="7"/>
      <c r="O900" s="7">
        <f t="shared" si="568"/>
        <v>4.1040000000000001</v>
      </c>
      <c r="P900" s="7"/>
      <c r="Q900" s="7"/>
      <c r="R900" s="7"/>
      <c r="S900" s="7"/>
    </row>
    <row r="901" spans="1:19" s="45" customFormat="1">
      <c r="A901" t="s">
        <v>76</v>
      </c>
      <c r="B901" s="53"/>
      <c r="C901" s="53"/>
      <c r="D901" s="43"/>
      <c r="E901" s="43"/>
      <c r="F901" s="43"/>
      <c r="G901" s="44">
        <v>1</v>
      </c>
      <c r="H901" s="44">
        <f>ROUNDUP(($T$76-0.25)/0.15,0)</f>
        <v>11</v>
      </c>
      <c r="I901" s="44">
        <v>6</v>
      </c>
      <c r="J901" s="44">
        <f>2*(E898+F898)+20.5*I901/1000</f>
        <v>1.323</v>
      </c>
      <c r="K901" s="7">
        <f t="shared" ref="K901:K903" si="593">IF(I901=6,G901*H901*J901,"")</f>
        <v>14.552999999999999</v>
      </c>
      <c r="L901" s="7" t="str">
        <f t="shared" si="548"/>
        <v/>
      </c>
      <c r="M901" s="7" t="str">
        <f t="shared" si="547"/>
        <v/>
      </c>
      <c r="N901" s="7" t="str">
        <f t="shared" ref="N901:N903" si="594">IF(I901=12,G901*H901*J901,"")</f>
        <v/>
      </c>
      <c r="O901" s="7" t="str">
        <f t="shared" si="568"/>
        <v/>
      </c>
      <c r="P901" s="7" t="str">
        <f t="shared" ref="P901:P908" si="595">IF(I901=16,G901*H901*J901,"")</f>
        <v/>
      </c>
      <c r="Q901" s="7" t="str">
        <f t="shared" ref="Q901:Q903" si="596">IF(I901=20,G901*H901*J901,"")</f>
        <v/>
      </c>
      <c r="R901" s="7"/>
      <c r="S901" s="7" t="str">
        <f t="shared" ref="S901:S903" si="597">IF(I901=32,G901*H901*J901,"")</f>
        <v/>
      </c>
    </row>
    <row r="902" spans="1:19" s="45" customFormat="1">
      <c r="A902" t="s">
        <v>77</v>
      </c>
      <c r="B902" s="53"/>
      <c r="C902" s="53"/>
      <c r="D902" s="43"/>
      <c r="E902" s="43"/>
      <c r="F902" s="43"/>
      <c r="G902" s="44">
        <v>1</v>
      </c>
      <c r="H902" s="44">
        <f>ROUNDUP(($T$76-0.25)/0.15,0)</f>
        <v>11</v>
      </c>
      <c r="I902" s="44">
        <v>6</v>
      </c>
      <c r="J902" s="44">
        <f>E898+22*I902/1000</f>
        <v>0.38200000000000001</v>
      </c>
      <c r="K902" s="7">
        <f t="shared" si="593"/>
        <v>4.202</v>
      </c>
      <c r="L902" s="7" t="str">
        <f t="shared" si="548"/>
        <v/>
      </c>
      <c r="M902" s="7" t="str">
        <f t="shared" si="547"/>
        <v/>
      </c>
      <c r="N902" s="7" t="str">
        <f t="shared" si="594"/>
        <v/>
      </c>
      <c r="O902" s="7" t="str">
        <f t="shared" si="568"/>
        <v/>
      </c>
      <c r="P902" s="7" t="str">
        <f t="shared" si="595"/>
        <v/>
      </c>
      <c r="Q902" s="7" t="str">
        <f t="shared" si="596"/>
        <v/>
      </c>
      <c r="R902" s="7"/>
      <c r="S902" s="7" t="str">
        <f t="shared" si="597"/>
        <v/>
      </c>
    </row>
    <row r="903" spans="1:19" s="45" customFormat="1">
      <c r="A903"/>
      <c r="B903" s="53" t="s">
        <v>7</v>
      </c>
      <c r="C903" s="53">
        <v>7</v>
      </c>
      <c r="D903" s="43" t="s">
        <v>24</v>
      </c>
      <c r="E903" s="43">
        <v>0.25</v>
      </c>
      <c r="F903" s="43">
        <v>0.35</v>
      </c>
      <c r="G903" s="44"/>
      <c r="H903" s="44"/>
      <c r="I903" s="44"/>
      <c r="J903" s="44"/>
      <c r="K903" s="7" t="str">
        <f t="shared" si="593"/>
        <v/>
      </c>
      <c r="L903" s="7" t="str">
        <f t="shared" si="548"/>
        <v/>
      </c>
      <c r="M903" s="7" t="str">
        <f t="shared" si="547"/>
        <v/>
      </c>
      <c r="N903" s="7" t="str">
        <f t="shared" si="594"/>
        <v/>
      </c>
      <c r="O903" s="7" t="str">
        <f t="shared" si="568"/>
        <v/>
      </c>
      <c r="P903" s="7" t="str">
        <f t="shared" si="595"/>
        <v/>
      </c>
      <c r="Q903" s="7" t="str">
        <f t="shared" si="596"/>
        <v/>
      </c>
      <c r="R903" s="7"/>
      <c r="S903" s="7" t="str">
        <f t="shared" si="597"/>
        <v/>
      </c>
    </row>
    <row r="904" spans="1:19" s="45" customFormat="1">
      <c r="A904" t="s">
        <v>86</v>
      </c>
      <c r="B904" s="53"/>
      <c r="C904" s="53"/>
      <c r="D904" s="43"/>
      <c r="E904" s="43"/>
      <c r="F904" s="43"/>
      <c r="G904" s="44">
        <v>1</v>
      </c>
      <c r="H904" s="44">
        <v>6</v>
      </c>
      <c r="I904" s="44">
        <v>14</v>
      </c>
      <c r="J904" s="44">
        <f>$T$76+18*I904/1000</f>
        <v>2.052</v>
      </c>
      <c r="K904" s="7"/>
      <c r="L904" s="7" t="str">
        <f t="shared" si="548"/>
        <v/>
      </c>
      <c r="M904" s="7" t="str">
        <f t="shared" si="547"/>
        <v/>
      </c>
      <c r="N904" s="7"/>
      <c r="O904" s="7">
        <f t="shared" si="568"/>
        <v>12.312000000000001</v>
      </c>
      <c r="P904" s="7" t="str">
        <f t="shared" si="595"/>
        <v/>
      </c>
      <c r="Q904" s="7"/>
      <c r="R904" s="7"/>
      <c r="S904" s="7"/>
    </row>
    <row r="905" spans="1:19" s="45" customFormat="1">
      <c r="A905" t="s">
        <v>76</v>
      </c>
      <c r="B905" s="53"/>
      <c r="C905" s="53"/>
      <c r="D905" s="43"/>
      <c r="E905" s="43"/>
      <c r="F905" s="43"/>
      <c r="G905" s="44">
        <v>1</v>
      </c>
      <c r="H905" s="44">
        <f>ROUNDUP(($T$76-0.25)/0.15,0)</f>
        <v>11</v>
      </c>
      <c r="I905" s="44">
        <v>6</v>
      </c>
      <c r="J905" s="44">
        <f>2*(E903+F903)+20.5*I905/1000</f>
        <v>1.323</v>
      </c>
      <c r="K905" s="7">
        <f t="shared" ref="K905:K907" si="598">IF(I905=6,G905*H905*J905,"")</f>
        <v>14.552999999999999</v>
      </c>
      <c r="L905" s="7" t="str">
        <f t="shared" si="548"/>
        <v/>
      </c>
      <c r="M905" s="7" t="str">
        <f t="shared" si="547"/>
        <v/>
      </c>
      <c r="N905" s="7" t="str">
        <f t="shared" ref="N905:N907" si="599">IF(I905=12,G905*H905*J905,"")</f>
        <v/>
      </c>
      <c r="O905" s="7" t="str">
        <f t="shared" si="568"/>
        <v/>
      </c>
      <c r="P905" s="7" t="str">
        <f t="shared" si="595"/>
        <v/>
      </c>
      <c r="Q905" s="7" t="str">
        <f t="shared" ref="Q905:Q907" si="600">IF(I905=20,G905*H905*J905,"")</f>
        <v/>
      </c>
      <c r="R905" s="7"/>
      <c r="S905" s="7" t="str">
        <f t="shared" ref="S905:S907" si="601">IF(I905=32,G905*H905*J905,"")</f>
        <v/>
      </c>
    </row>
    <row r="906" spans="1:19" s="45" customFormat="1">
      <c r="A906" t="s">
        <v>77</v>
      </c>
      <c r="B906" s="53"/>
      <c r="C906" s="53"/>
      <c r="D906" s="43"/>
      <c r="E906" s="43"/>
      <c r="F906" s="43"/>
      <c r="G906" s="44">
        <v>1</v>
      </c>
      <c r="H906" s="44">
        <f>ROUNDUP(($T$76-0.25)/0.15,0)</f>
        <v>11</v>
      </c>
      <c r="I906" s="44">
        <v>6</v>
      </c>
      <c r="J906" s="44">
        <f>E902+22*I906/1000</f>
        <v>0.13200000000000001</v>
      </c>
      <c r="K906" s="7">
        <f t="shared" si="598"/>
        <v>1.452</v>
      </c>
      <c r="L906" s="7" t="str">
        <f t="shared" si="548"/>
        <v/>
      </c>
      <c r="M906" s="7" t="str">
        <f t="shared" si="547"/>
        <v/>
      </c>
      <c r="N906" s="7" t="str">
        <f t="shared" si="599"/>
        <v/>
      </c>
      <c r="O906" s="7" t="str">
        <f t="shared" si="568"/>
        <v/>
      </c>
      <c r="P906" s="7" t="str">
        <f t="shared" si="595"/>
        <v/>
      </c>
      <c r="Q906" s="7" t="str">
        <f t="shared" si="600"/>
        <v/>
      </c>
      <c r="R906" s="7"/>
      <c r="S906" s="7" t="str">
        <f t="shared" si="601"/>
        <v/>
      </c>
    </row>
    <row r="907" spans="1:19" s="45" customFormat="1">
      <c r="A907"/>
      <c r="B907" s="53" t="s">
        <v>7</v>
      </c>
      <c r="C907" s="53">
        <v>8</v>
      </c>
      <c r="D907" s="43" t="s">
        <v>24</v>
      </c>
      <c r="E907" s="43">
        <v>0.25</v>
      </c>
      <c r="F907" s="43">
        <v>0.35</v>
      </c>
      <c r="G907" s="44"/>
      <c r="H907" s="44"/>
      <c r="I907" s="44"/>
      <c r="J907" s="44"/>
      <c r="K907" s="7" t="str">
        <f t="shared" si="598"/>
        <v/>
      </c>
      <c r="L907" s="7" t="str">
        <f t="shared" si="548"/>
        <v/>
      </c>
      <c r="M907" s="7" t="str">
        <f t="shared" si="547"/>
        <v/>
      </c>
      <c r="N907" s="7" t="str">
        <f t="shared" si="599"/>
        <v/>
      </c>
      <c r="O907" s="7" t="str">
        <f t="shared" si="568"/>
        <v/>
      </c>
      <c r="P907" s="7" t="str">
        <f t="shared" si="595"/>
        <v/>
      </c>
      <c r="Q907" s="7" t="str">
        <f t="shared" si="600"/>
        <v/>
      </c>
      <c r="R907" s="7"/>
      <c r="S907" s="7" t="str">
        <f t="shared" si="601"/>
        <v/>
      </c>
    </row>
    <row r="908" spans="1:19" s="45" customFormat="1">
      <c r="A908" t="s">
        <v>86</v>
      </c>
      <c r="B908" s="53"/>
      <c r="C908" s="53"/>
      <c r="D908" s="43"/>
      <c r="E908" s="43"/>
      <c r="F908" s="43"/>
      <c r="G908" s="44">
        <v>1</v>
      </c>
      <c r="H908" s="44">
        <v>4</v>
      </c>
      <c r="I908" s="44">
        <v>14</v>
      </c>
      <c r="J908" s="44">
        <f>$T$76+18*I908/1000</f>
        <v>2.052</v>
      </c>
      <c r="K908" s="7"/>
      <c r="L908" s="7" t="str">
        <f t="shared" si="548"/>
        <v/>
      </c>
      <c r="M908" s="7" t="str">
        <f t="shared" si="547"/>
        <v/>
      </c>
      <c r="N908" s="7"/>
      <c r="O908" s="7">
        <f t="shared" si="568"/>
        <v>8.2080000000000002</v>
      </c>
      <c r="P908" s="7" t="str">
        <f t="shared" si="595"/>
        <v/>
      </c>
      <c r="Q908" s="7"/>
      <c r="R908" s="7"/>
      <c r="S908" s="7"/>
    </row>
    <row r="909" spans="1:19" s="45" customFormat="1">
      <c r="A909" t="s">
        <v>86</v>
      </c>
      <c r="B909" s="53"/>
      <c r="C909" s="53"/>
      <c r="D909" s="43"/>
      <c r="E909" s="43"/>
      <c r="F909" s="43"/>
      <c r="G909" s="44">
        <v>1</v>
      </c>
      <c r="H909" s="44">
        <v>2</v>
      </c>
      <c r="I909" s="44">
        <v>14</v>
      </c>
      <c r="J909" s="44">
        <f>$T$76+18*I909/1000</f>
        <v>2.052</v>
      </c>
      <c r="K909" s="7"/>
      <c r="L909" s="7" t="str">
        <f t="shared" si="548"/>
        <v/>
      </c>
      <c r="M909" s="7" t="str">
        <f t="shared" si="547"/>
        <v/>
      </c>
      <c r="N909" s="7"/>
      <c r="O909" s="7">
        <f t="shared" si="568"/>
        <v>4.1040000000000001</v>
      </c>
      <c r="P909" s="7"/>
      <c r="Q909" s="7"/>
      <c r="R909" s="7"/>
      <c r="S909" s="7"/>
    </row>
    <row r="910" spans="1:19" s="45" customFormat="1">
      <c r="A910" t="s">
        <v>76</v>
      </c>
      <c r="B910" s="53"/>
      <c r="C910" s="53"/>
      <c r="D910" s="43"/>
      <c r="E910" s="43"/>
      <c r="F910" s="43"/>
      <c r="G910" s="44">
        <v>1</v>
      </c>
      <c r="H910" s="44">
        <f>ROUNDUP(($T$76-0.25)/0.15,0)</f>
        <v>11</v>
      </c>
      <c r="I910" s="44">
        <v>6</v>
      </c>
      <c r="J910" s="44">
        <f>2*(E907+F907)+20.5*I910/1000</f>
        <v>1.323</v>
      </c>
      <c r="K910" s="7">
        <f t="shared" ref="K910:K912" si="602">IF(I910=6,G910*H910*J910,"")</f>
        <v>14.552999999999999</v>
      </c>
      <c r="L910" s="7" t="str">
        <f t="shared" si="548"/>
        <v/>
      </c>
      <c r="M910" s="7" t="str">
        <f t="shared" si="547"/>
        <v/>
      </c>
      <c r="N910" s="7" t="str">
        <f t="shared" ref="N910:N912" si="603">IF(I910=12,G910*H910*J910,"")</f>
        <v/>
      </c>
      <c r="O910" s="7" t="str">
        <f t="shared" si="568"/>
        <v/>
      </c>
      <c r="P910" s="7" t="str">
        <f t="shared" ref="P910:P925" si="604">IF(I910=16,G910*H910*J910,"")</f>
        <v/>
      </c>
      <c r="Q910" s="7" t="str">
        <f t="shared" ref="Q910:Q912" si="605">IF(I910=20,G910*H910*J910,"")</f>
        <v/>
      </c>
      <c r="R910" s="7"/>
      <c r="S910" s="7" t="str">
        <f t="shared" ref="S910:S912" si="606">IF(I910=32,G910*H910*J910,"")</f>
        <v/>
      </c>
    </row>
    <row r="911" spans="1:19" s="45" customFormat="1">
      <c r="A911" t="s">
        <v>77</v>
      </c>
      <c r="B911" s="53"/>
      <c r="C911" s="53"/>
      <c r="D911" s="43"/>
      <c r="E911" s="43"/>
      <c r="F911" s="43"/>
      <c r="G911" s="44">
        <v>1</v>
      </c>
      <c r="H911" s="44">
        <f>ROUNDUP(($T$76-0.25)/0.15,0)</f>
        <v>11</v>
      </c>
      <c r="I911" s="44">
        <v>6</v>
      </c>
      <c r="J911" s="44">
        <f>E907+22*I911/1000</f>
        <v>0.38200000000000001</v>
      </c>
      <c r="K911" s="7">
        <f t="shared" si="602"/>
        <v>4.202</v>
      </c>
      <c r="L911" s="7" t="str">
        <f t="shared" si="548"/>
        <v/>
      </c>
      <c r="M911" s="7" t="str">
        <f t="shared" si="547"/>
        <v/>
      </c>
      <c r="N911" s="7" t="str">
        <f t="shared" si="603"/>
        <v/>
      </c>
      <c r="O911" s="7" t="str">
        <f t="shared" si="568"/>
        <v/>
      </c>
      <c r="P911" s="7" t="str">
        <f t="shared" si="604"/>
        <v/>
      </c>
      <c r="Q911" s="7" t="str">
        <f t="shared" si="605"/>
        <v/>
      </c>
      <c r="R911" s="7"/>
      <c r="S911" s="7" t="str">
        <f t="shared" si="606"/>
        <v/>
      </c>
    </row>
    <row r="912" spans="1:19" s="45" customFormat="1">
      <c r="A912"/>
      <c r="B912" s="53" t="s">
        <v>10</v>
      </c>
      <c r="C912" s="53">
        <v>5</v>
      </c>
      <c r="D912" s="43" t="s">
        <v>44</v>
      </c>
      <c r="E912" s="43">
        <v>0.35</v>
      </c>
      <c r="F912" s="43">
        <v>0.35</v>
      </c>
      <c r="G912" s="44"/>
      <c r="H912" s="44"/>
      <c r="I912" s="44"/>
      <c r="J912" s="44"/>
      <c r="K912" s="7" t="str">
        <f t="shared" si="602"/>
        <v/>
      </c>
      <c r="L912" s="7" t="str">
        <f t="shared" si="548"/>
        <v/>
      </c>
      <c r="M912" s="7" t="str">
        <f t="shared" si="547"/>
        <v/>
      </c>
      <c r="N912" s="7" t="str">
        <f t="shared" si="603"/>
        <v/>
      </c>
      <c r="O912" s="7" t="str">
        <f t="shared" si="568"/>
        <v/>
      </c>
      <c r="P912" s="7" t="str">
        <f t="shared" si="604"/>
        <v/>
      </c>
      <c r="Q912" s="7" t="str">
        <f t="shared" si="605"/>
        <v/>
      </c>
      <c r="R912" s="7"/>
      <c r="S912" s="7" t="str">
        <f t="shared" si="606"/>
        <v/>
      </c>
    </row>
    <row r="913" spans="1:19" s="45" customFormat="1">
      <c r="A913" t="s">
        <v>86</v>
      </c>
      <c r="B913" s="53"/>
      <c r="C913" s="53"/>
      <c r="D913" s="43"/>
      <c r="E913" s="43"/>
      <c r="F913" s="43"/>
      <c r="G913" s="44">
        <v>1</v>
      </c>
      <c r="H913" s="44">
        <v>6</v>
      </c>
      <c r="I913" s="44">
        <v>14</v>
      </c>
      <c r="J913" s="44">
        <f>$T$76+18*I913/1000</f>
        <v>2.052</v>
      </c>
      <c r="K913" s="7"/>
      <c r="L913" s="7" t="str">
        <f t="shared" si="548"/>
        <v/>
      </c>
      <c r="M913" s="7" t="str">
        <f t="shared" si="547"/>
        <v/>
      </c>
      <c r="N913" s="7"/>
      <c r="O913" s="7">
        <f t="shared" si="568"/>
        <v>12.312000000000001</v>
      </c>
      <c r="P913" s="7" t="str">
        <f t="shared" si="604"/>
        <v/>
      </c>
      <c r="Q913" s="7"/>
      <c r="R913" s="7"/>
      <c r="S913" s="7"/>
    </row>
    <row r="914" spans="1:19" s="45" customFormat="1">
      <c r="A914" t="s">
        <v>76</v>
      </c>
      <c r="B914" s="53"/>
      <c r="C914" s="53"/>
      <c r="D914" s="43"/>
      <c r="E914" s="43"/>
      <c r="F914" s="43"/>
      <c r="G914" s="44">
        <v>1</v>
      </c>
      <c r="H914" s="44">
        <f>ROUNDUP(($T$76-0.25)/0.15,0)</f>
        <v>11</v>
      </c>
      <c r="I914" s="44">
        <v>6</v>
      </c>
      <c r="J914" s="44">
        <f>2*(E912+F912)+20.5*I914/1000</f>
        <v>1.5229999999999999</v>
      </c>
      <c r="K914" s="7">
        <f t="shared" ref="K914:K916" si="607">IF(I914=6,G914*H914*J914,"")</f>
        <v>16.753</v>
      </c>
      <c r="L914" s="7" t="str">
        <f t="shared" si="548"/>
        <v/>
      </c>
      <c r="M914" s="7" t="str">
        <f t="shared" si="547"/>
        <v/>
      </c>
      <c r="N914" s="7" t="str">
        <f t="shared" ref="N914:N916" si="608">IF(I914=12,G914*H914*J914,"")</f>
        <v/>
      </c>
      <c r="O914" s="7" t="str">
        <f t="shared" si="568"/>
        <v/>
      </c>
      <c r="P914" s="7" t="str">
        <f t="shared" si="604"/>
        <v/>
      </c>
      <c r="Q914" s="7" t="str">
        <f t="shared" ref="Q914:Q916" si="609">IF(I914=20,G914*H914*J914,"")</f>
        <v/>
      </c>
      <c r="R914" s="7"/>
      <c r="S914" s="7" t="str">
        <f t="shared" ref="S914:S916" si="610">IF(I914=32,G914*H914*J914,"")</f>
        <v/>
      </c>
    </row>
    <row r="915" spans="1:19" s="45" customFormat="1">
      <c r="A915" t="s">
        <v>77</v>
      </c>
      <c r="B915" s="53"/>
      <c r="C915" s="53"/>
      <c r="D915" s="43"/>
      <c r="E915" s="43"/>
      <c r="F915" s="43"/>
      <c r="G915" s="44">
        <v>1</v>
      </c>
      <c r="H915" s="44">
        <f>ROUNDUP(($T$76-0.25)/0.15,0)</f>
        <v>11</v>
      </c>
      <c r="I915" s="44">
        <v>6</v>
      </c>
      <c r="J915" s="44">
        <f>E912+22*I915/1000</f>
        <v>0.48199999999999998</v>
      </c>
      <c r="K915" s="7">
        <f t="shared" si="607"/>
        <v>5.3019999999999996</v>
      </c>
      <c r="L915" s="7" t="str">
        <f t="shared" si="548"/>
        <v/>
      </c>
      <c r="M915" s="7" t="str">
        <f t="shared" si="547"/>
        <v/>
      </c>
      <c r="N915" s="7" t="str">
        <f t="shared" si="608"/>
        <v/>
      </c>
      <c r="O915" s="7" t="str">
        <f t="shared" si="568"/>
        <v/>
      </c>
      <c r="P915" s="7" t="str">
        <f t="shared" si="604"/>
        <v/>
      </c>
      <c r="Q915" s="7" t="str">
        <f t="shared" si="609"/>
        <v/>
      </c>
      <c r="R915" s="7"/>
      <c r="S915" s="7" t="str">
        <f t="shared" si="610"/>
        <v/>
      </c>
    </row>
    <row r="916" spans="1:19" s="45" customFormat="1">
      <c r="A916"/>
      <c r="B916" s="53" t="s">
        <v>9</v>
      </c>
      <c r="C916" s="53">
        <v>6</v>
      </c>
      <c r="D916" s="43" t="s">
        <v>24</v>
      </c>
      <c r="E916" s="43">
        <v>0.25</v>
      </c>
      <c r="F916" s="43">
        <v>0.35</v>
      </c>
      <c r="G916" s="44"/>
      <c r="H916" s="44"/>
      <c r="I916" s="44"/>
      <c r="J916" s="44"/>
      <c r="K916" s="7" t="str">
        <f t="shared" si="607"/>
        <v/>
      </c>
      <c r="L916" s="7" t="str">
        <f t="shared" si="548"/>
        <v/>
      </c>
      <c r="M916" s="7" t="str">
        <f t="shared" si="547"/>
        <v/>
      </c>
      <c r="N916" s="7" t="str">
        <f t="shared" si="608"/>
        <v/>
      </c>
      <c r="O916" s="7" t="str">
        <f t="shared" si="568"/>
        <v/>
      </c>
      <c r="P916" s="7" t="str">
        <f t="shared" si="604"/>
        <v/>
      </c>
      <c r="Q916" s="7" t="str">
        <f t="shared" si="609"/>
        <v/>
      </c>
      <c r="R916" s="7"/>
      <c r="S916" s="7" t="str">
        <f t="shared" si="610"/>
        <v/>
      </c>
    </row>
    <row r="917" spans="1:19" s="45" customFormat="1">
      <c r="A917" t="s">
        <v>86</v>
      </c>
      <c r="B917" s="53"/>
      <c r="C917" s="53"/>
      <c r="D917" s="43"/>
      <c r="E917" s="43"/>
      <c r="F917" s="43"/>
      <c r="G917" s="44">
        <v>1</v>
      </c>
      <c r="H917" s="44">
        <v>6</v>
      </c>
      <c r="I917" s="44">
        <v>14</v>
      </c>
      <c r="J917" s="44">
        <f>$T$76+18*I917/1000</f>
        <v>2.052</v>
      </c>
      <c r="K917" s="7"/>
      <c r="L917" s="7" t="str">
        <f t="shared" si="548"/>
        <v/>
      </c>
      <c r="M917" s="7" t="str">
        <f t="shared" si="547"/>
        <v/>
      </c>
      <c r="N917" s="7"/>
      <c r="O917" s="7">
        <f t="shared" si="568"/>
        <v>12.312000000000001</v>
      </c>
      <c r="P917" s="7" t="str">
        <f t="shared" si="604"/>
        <v/>
      </c>
      <c r="Q917" s="7"/>
      <c r="R917" s="7"/>
      <c r="S917" s="7"/>
    </row>
    <row r="918" spans="1:19" s="45" customFormat="1">
      <c r="A918" t="s">
        <v>76</v>
      </c>
      <c r="B918" s="53"/>
      <c r="C918" s="53"/>
      <c r="D918" s="43"/>
      <c r="E918" s="43"/>
      <c r="F918" s="43"/>
      <c r="G918" s="44">
        <v>1</v>
      </c>
      <c r="H918" s="44">
        <f>ROUNDUP(($T$76-0.25)/0.15,0)</f>
        <v>11</v>
      </c>
      <c r="I918" s="44">
        <v>6</v>
      </c>
      <c r="J918" s="44">
        <f>2*(E916+F916)+20.5*I918/1000</f>
        <v>1.323</v>
      </c>
      <c r="K918" s="7">
        <f t="shared" ref="K918:K920" si="611">IF(I918=6,G918*H918*J918,"")</f>
        <v>14.552999999999999</v>
      </c>
      <c r="L918" s="7" t="str">
        <f t="shared" si="548"/>
        <v/>
      </c>
      <c r="M918" s="7" t="str">
        <f t="shared" si="547"/>
        <v/>
      </c>
      <c r="N918" s="7" t="str">
        <f t="shared" ref="N918:N920" si="612">IF(I918=12,G918*H918*J918,"")</f>
        <v/>
      </c>
      <c r="O918" s="7" t="str">
        <f t="shared" si="568"/>
        <v/>
      </c>
      <c r="P918" s="7" t="str">
        <f t="shared" si="604"/>
        <v/>
      </c>
      <c r="Q918" s="7" t="str">
        <f t="shared" ref="Q918:Q920" si="613">IF(I918=20,G918*H918*J918,"")</f>
        <v/>
      </c>
      <c r="R918" s="7"/>
      <c r="S918" s="7" t="str">
        <f t="shared" ref="S918:S920" si="614">IF(I918=32,G918*H918*J918,"")</f>
        <v/>
      </c>
    </row>
    <row r="919" spans="1:19" s="45" customFormat="1">
      <c r="A919" t="s">
        <v>77</v>
      </c>
      <c r="B919" s="53"/>
      <c r="C919" s="53"/>
      <c r="D919" s="43"/>
      <c r="E919" s="43"/>
      <c r="F919" s="43"/>
      <c r="G919" s="44">
        <v>1</v>
      </c>
      <c r="H919" s="44">
        <f>ROUNDUP(($T$76-0.25)/0.15,0)</f>
        <v>11</v>
      </c>
      <c r="I919" s="44">
        <v>6</v>
      </c>
      <c r="J919" s="44">
        <f>E916+22*I919/1000</f>
        <v>0.38200000000000001</v>
      </c>
      <c r="K919" s="7">
        <f t="shared" si="611"/>
        <v>4.202</v>
      </c>
      <c r="L919" s="7" t="str">
        <f t="shared" si="548"/>
        <v/>
      </c>
      <c r="M919" s="7" t="str">
        <f t="shared" ref="M919:M982" si="615">IF(I919=10,G919*H919*J919,"")</f>
        <v/>
      </c>
      <c r="N919" s="7" t="str">
        <f t="shared" si="612"/>
        <v/>
      </c>
      <c r="O919" s="7" t="str">
        <f t="shared" si="568"/>
        <v/>
      </c>
      <c r="P919" s="7" t="str">
        <f t="shared" si="604"/>
        <v/>
      </c>
      <c r="Q919" s="7" t="str">
        <f t="shared" si="613"/>
        <v/>
      </c>
      <c r="R919" s="7"/>
      <c r="S919" s="7" t="str">
        <f t="shared" si="614"/>
        <v/>
      </c>
    </row>
    <row r="920" spans="1:19" s="45" customFormat="1">
      <c r="A920"/>
      <c r="B920" s="53" t="s">
        <v>9</v>
      </c>
      <c r="C920" s="53">
        <v>7</v>
      </c>
      <c r="D920" s="43" t="s">
        <v>24</v>
      </c>
      <c r="E920" s="43">
        <v>0.25</v>
      </c>
      <c r="F920" s="43">
        <v>0.35</v>
      </c>
      <c r="G920" s="44"/>
      <c r="H920" s="44"/>
      <c r="I920" s="44"/>
      <c r="J920" s="44"/>
      <c r="K920" s="7" t="str">
        <f t="shared" si="611"/>
        <v/>
      </c>
      <c r="L920" s="7" t="str">
        <f t="shared" si="548"/>
        <v/>
      </c>
      <c r="M920" s="7" t="str">
        <f t="shared" si="615"/>
        <v/>
      </c>
      <c r="N920" s="7" t="str">
        <f t="shared" si="612"/>
        <v/>
      </c>
      <c r="O920" s="7" t="str">
        <f t="shared" si="568"/>
        <v/>
      </c>
      <c r="P920" s="7" t="str">
        <f t="shared" si="604"/>
        <v/>
      </c>
      <c r="Q920" s="7" t="str">
        <f t="shared" si="613"/>
        <v/>
      </c>
      <c r="R920" s="7"/>
      <c r="S920" s="7" t="str">
        <f t="shared" si="614"/>
        <v/>
      </c>
    </row>
    <row r="921" spans="1:19" s="45" customFormat="1">
      <c r="A921" t="s">
        <v>86</v>
      </c>
      <c r="B921" s="53"/>
      <c r="C921" s="53"/>
      <c r="D921" s="43"/>
      <c r="E921" s="43"/>
      <c r="F921" s="43"/>
      <c r="G921" s="44">
        <v>1</v>
      </c>
      <c r="H921" s="44">
        <v>6</v>
      </c>
      <c r="I921" s="44">
        <v>14</v>
      </c>
      <c r="J921" s="44">
        <f>$T$76+18*I921/1000</f>
        <v>2.052</v>
      </c>
      <c r="K921" s="7"/>
      <c r="L921" s="7" t="str">
        <f t="shared" si="548"/>
        <v/>
      </c>
      <c r="M921" s="7" t="str">
        <f t="shared" si="615"/>
        <v/>
      </c>
      <c r="N921" s="7"/>
      <c r="O921" s="7">
        <f t="shared" si="568"/>
        <v>12.312000000000001</v>
      </c>
      <c r="P921" s="7" t="str">
        <f t="shared" si="604"/>
        <v/>
      </c>
      <c r="Q921" s="7"/>
      <c r="R921" s="7"/>
      <c r="S921" s="7"/>
    </row>
    <row r="922" spans="1:19" s="45" customFormat="1">
      <c r="A922" t="s">
        <v>76</v>
      </c>
      <c r="B922" s="53"/>
      <c r="C922" s="53"/>
      <c r="D922" s="43"/>
      <c r="E922" s="43"/>
      <c r="F922" s="43"/>
      <c r="G922" s="44">
        <v>1</v>
      </c>
      <c r="H922" s="44">
        <f>ROUNDUP(($T$76-0.25)/0.15,0)</f>
        <v>11</v>
      </c>
      <c r="I922" s="44">
        <v>6</v>
      </c>
      <c r="J922" s="44">
        <f>2*(E920+F920)+20.5*I922/1000</f>
        <v>1.323</v>
      </c>
      <c r="K922" s="7">
        <f t="shared" ref="K922:K926" si="616">IF(I922=6,G922*H922*J922,"")</f>
        <v>14.552999999999999</v>
      </c>
      <c r="L922" s="7" t="str">
        <f t="shared" si="548"/>
        <v/>
      </c>
      <c r="M922" s="7" t="str">
        <f t="shared" si="615"/>
        <v/>
      </c>
      <c r="N922" s="7" t="str">
        <f t="shared" ref="N922:N924" si="617">IF(I922=12,G922*H922*J922,"")</f>
        <v/>
      </c>
      <c r="O922" s="7" t="str">
        <f t="shared" si="568"/>
        <v/>
      </c>
      <c r="P922" s="7" t="str">
        <f t="shared" si="604"/>
        <v/>
      </c>
      <c r="Q922" s="7" t="str">
        <f t="shared" ref="Q922:Q924" si="618">IF(I922=20,G922*H922*J922,"")</f>
        <v/>
      </c>
      <c r="R922" s="7"/>
      <c r="S922" s="7" t="str">
        <f t="shared" ref="S922:S924" si="619">IF(I922=32,G922*H922*J922,"")</f>
        <v/>
      </c>
    </row>
    <row r="923" spans="1:19" s="45" customFormat="1">
      <c r="A923" t="s">
        <v>77</v>
      </c>
      <c r="B923" s="53"/>
      <c r="C923" s="53"/>
      <c r="D923" s="43"/>
      <c r="E923" s="43"/>
      <c r="F923" s="43"/>
      <c r="G923" s="44">
        <v>1</v>
      </c>
      <c r="H923" s="44">
        <f>ROUNDUP(($T$76-0.25)/0.15,0)</f>
        <v>11</v>
      </c>
      <c r="I923" s="44">
        <v>6</v>
      </c>
      <c r="J923" s="44">
        <f>E920+22*I923/1000</f>
        <v>0.38200000000000001</v>
      </c>
      <c r="K923" s="7">
        <f t="shared" si="616"/>
        <v>4.202</v>
      </c>
      <c r="L923" s="7" t="str">
        <f t="shared" si="548"/>
        <v/>
      </c>
      <c r="M923" s="7" t="str">
        <f t="shared" si="615"/>
        <v/>
      </c>
      <c r="N923" s="7" t="str">
        <f t="shared" si="617"/>
        <v/>
      </c>
      <c r="O923" s="7" t="str">
        <f t="shared" si="568"/>
        <v/>
      </c>
      <c r="P923" s="7" t="str">
        <f t="shared" si="604"/>
        <v/>
      </c>
      <c r="Q923" s="7" t="str">
        <f t="shared" si="618"/>
        <v/>
      </c>
      <c r="R923" s="7"/>
      <c r="S923" s="7" t="str">
        <f t="shared" si="619"/>
        <v/>
      </c>
    </row>
    <row r="924" spans="1:19" s="45" customFormat="1">
      <c r="A924"/>
      <c r="B924" s="53" t="s">
        <v>9</v>
      </c>
      <c r="C924" s="53">
        <v>8</v>
      </c>
      <c r="D924" s="43" t="s">
        <v>24</v>
      </c>
      <c r="E924" s="43">
        <v>0.25</v>
      </c>
      <c r="F924" s="43">
        <v>0.35</v>
      </c>
      <c r="G924" s="44"/>
      <c r="H924" s="44"/>
      <c r="I924" s="44"/>
      <c r="J924" s="44"/>
      <c r="K924" s="7" t="str">
        <f t="shared" si="616"/>
        <v/>
      </c>
      <c r="L924" s="7" t="str">
        <f t="shared" si="548"/>
        <v/>
      </c>
      <c r="M924" s="7" t="str">
        <f t="shared" si="615"/>
        <v/>
      </c>
      <c r="N924" s="7" t="str">
        <f t="shared" si="617"/>
        <v/>
      </c>
      <c r="O924" s="7" t="str">
        <f t="shared" si="568"/>
        <v/>
      </c>
      <c r="P924" s="7" t="str">
        <f t="shared" si="604"/>
        <v/>
      </c>
      <c r="Q924" s="7" t="str">
        <f t="shared" si="618"/>
        <v/>
      </c>
      <c r="R924" s="7"/>
      <c r="S924" s="7" t="str">
        <f t="shared" si="619"/>
        <v/>
      </c>
    </row>
    <row r="925" spans="1:19" s="45" customFormat="1">
      <c r="A925" t="s">
        <v>86</v>
      </c>
      <c r="B925" s="53"/>
      <c r="C925" s="53"/>
      <c r="D925" s="43"/>
      <c r="E925" s="43"/>
      <c r="F925" s="43"/>
      <c r="G925" s="44">
        <v>1</v>
      </c>
      <c r="H925" s="44">
        <v>6</v>
      </c>
      <c r="I925" s="44">
        <v>14</v>
      </c>
      <c r="J925" s="44">
        <f>$T$76+18*I925/1000</f>
        <v>2.052</v>
      </c>
      <c r="K925" s="7" t="str">
        <f t="shared" si="616"/>
        <v/>
      </c>
      <c r="L925" s="7" t="str">
        <f t="shared" si="548"/>
        <v/>
      </c>
      <c r="M925" s="7" t="str">
        <f t="shared" si="615"/>
        <v/>
      </c>
      <c r="N925" s="7"/>
      <c r="O925" s="7">
        <f t="shared" si="568"/>
        <v>12.312000000000001</v>
      </c>
      <c r="P925" s="7" t="str">
        <f t="shared" si="604"/>
        <v/>
      </c>
      <c r="Q925" s="7"/>
      <c r="R925" s="7"/>
      <c r="S925" s="7"/>
    </row>
    <row r="926" spans="1:19" s="45" customFormat="1">
      <c r="A926" t="s">
        <v>76</v>
      </c>
      <c r="B926" s="53"/>
      <c r="C926" s="53"/>
      <c r="D926" s="43"/>
      <c r="E926" s="43"/>
      <c r="F926" s="43"/>
      <c r="G926" s="44">
        <v>1</v>
      </c>
      <c r="H926" s="44">
        <f>ROUNDUP(($T$76-0.25)/0.15,0)</f>
        <v>11</v>
      </c>
      <c r="I926" s="44">
        <v>6</v>
      </c>
      <c r="J926" s="44">
        <f>2*(E924+F924)+20.5*I926/1000</f>
        <v>1.323</v>
      </c>
      <c r="K926" s="7">
        <f t="shared" si="616"/>
        <v>14.552999999999999</v>
      </c>
      <c r="L926" s="7" t="str">
        <f t="shared" si="548"/>
        <v/>
      </c>
      <c r="M926" s="7" t="str">
        <f t="shared" si="615"/>
        <v/>
      </c>
      <c r="N926" s="7"/>
      <c r="O926" s="7" t="str">
        <f t="shared" si="568"/>
        <v/>
      </c>
      <c r="P926" s="7"/>
      <c r="Q926" s="7"/>
      <c r="R926" s="7"/>
      <c r="S926" s="7"/>
    </row>
    <row r="927" spans="1:19" s="45" customFormat="1">
      <c r="A927" t="s">
        <v>77</v>
      </c>
      <c r="B927" s="53"/>
      <c r="C927" s="53"/>
      <c r="D927" s="43"/>
      <c r="E927" s="43"/>
      <c r="F927" s="43"/>
      <c r="G927" s="44">
        <v>1</v>
      </c>
      <c r="H927" s="44">
        <f>ROUNDUP(($T$76-0.25)/0.15,0)</f>
        <v>11</v>
      </c>
      <c r="I927" s="44">
        <v>6</v>
      </c>
      <c r="J927" s="44">
        <f>E924+22*I927/1000</f>
        <v>0.38200000000000001</v>
      </c>
      <c r="K927" s="7">
        <f t="shared" ref="K927:K985" si="620">IF(I927=6,G927*H927*J927,"")</f>
        <v>4.202</v>
      </c>
      <c r="L927" s="7" t="str">
        <f t="shared" si="548"/>
        <v/>
      </c>
      <c r="M927" s="7" t="str">
        <f t="shared" si="615"/>
        <v/>
      </c>
      <c r="N927" s="7" t="str">
        <f t="shared" ref="N927:N928" si="621">IF(I927=12,G927*H927*J927,"")</f>
        <v/>
      </c>
      <c r="O927" s="7" t="str">
        <f t="shared" si="568"/>
        <v/>
      </c>
      <c r="P927" s="7" t="str">
        <f t="shared" ref="P927:P929" si="622">IF(I927=16,G927*H927*J927,"")</f>
        <v/>
      </c>
      <c r="Q927" s="7" t="str">
        <f t="shared" ref="Q927:Q928" si="623">IF(I927=20,G927*H927*J927,"")</f>
        <v/>
      </c>
      <c r="R927" s="7"/>
      <c r="S927" s="7" t="str">
        <f t="shared" ref="S927:S928" si="624">IF(I927=32,G927*H927*J927,"")</f>
        <v/>
      </c>
    </row>
    <row r="928" spans="1:19" s="45" customFormat="1">
      <c r="B928" s="53" t="s">
        <v>11</v>
      </c>
      <c r="C928" s="53">
        <v>1</v>
      </c>
      <c r="D928" s="43" t="s">
        <v>43</v>
      </c>
      <c r="E928" s="43">
        <v>0.3</v>
      </c>
      <c r="F928" s="43">
        <v>0.3</v>
      </c>
      <c r="G928" s="44"/>
      <c r="H928" s="44"/>
      <c r="I928" s="44"/>
      <c r="J928" s="44"/>
      <c r="K928" s="7" t="str">
        <f t="shared" si="620"/>
        <v/>
      </c>
      <c r="L928" s="7" t="str">
        <f t="shared" si="548"/>
        <v/>
      </c>
      <c r="M928" s="7" t="str">
        <f t="shared" si="615"/>
        <v/>
      </c>
      <c r="N928" s="7" t="str">
        <f t="shared" si="621"/>
        <v/>
      </c>
      <c r="O928" s="7" t="str">
        <f t="shared" si="568"/>
        <v/>
      </c>
      <c r="P928" s="7" t="str">
        <f t="shared" si="622"/>
        <v/>
      </c>
      <c r="Q928" s="7" t="str">
        <f t="shared" si="623"/>
        <v/>
      </c>
      <c r="R928" s="7"/>
      <c r="S928" s="7" t="str">
        <f t="shared" si="624"/>
        <v/>
      </c>
    </row>
    <row r="929" spans="1:19" s="45" customFormat="1">
      <c r="A929" t="s">
        <v>86</v>
      </c>
      <c r="B929" s="53"/>
      <c r="C929" s="53"/>
      <c r="D929" s="43"/>
      <c r="E929" s="43"/>
      <c r="F929" s="43"/>
      <c r="G929" s="44">
        <v>1</v>
      </c>
      <c r="H929" s="44">
        <v>6</v>
      </c>
      <c r="I929" s="44">
        <v>14</v>
      </c>
      <c r="J929" s="44">
        <f>$T$76+18*I929/1000</f>
        <v>2.052</v>
      </c>
      <c r="K929" s="7" t="str">
        <f t="shared" si="620"/>
        <v/>
      </c>
      <c r="L929" s="7" t="str">
        <f t="shared" ref="L929:L985" si="625">IF(I929=8,G929*H929*J929,"")</f>
        <v/>
      </c>
      <c r="M929" s="7" t="str">
        <f t="shared" si="615"/>
        <v/>
      </c>
      <c r="N929" s="7"/>
      <c r="O929" s="7">
        <f t="shared" si="568"/>
        <v>12.312000000000001</v>
      </c>
      <c r="P929" s="7" t="str">
        <f t="shared" si="622"/>
        <v/>
      </c>
      <c r="Q929" s="7"/>
      <c r="R929" s="7"/>
      <c r="S929" s="7"/>
    </row>
    <row r="930" spans="1:19" s="45" customFormat="1">
      <c r="A930" t="s">
        <v>76</v>
      </c>
      <c r="B930" s="53"/>
      <c r="C930" s="53"/>
      <c r="D930" s="43"/>
      <c r="E930" s="43"/>
      <c r="F930" s="43"/>
      <c r="G930" s="44">
        <v>1</v>
      </c>
      <c r="H930" s="44">
        <f>ROUNDUP(($T$76-0.25)/0.15,0)</f>
        <v>11</v>
      </c>
      <c r="I930" s="44">
        <v>6</v>
      </c>
      <c r="J930" s="44">
        <f>2*(E928+F928)+20.5*I930/1000</f>
        <v>1.323</v>
      </c>
      <c r="K930" s="7">
        <f t="shared" si="620"/>
        <v>14.552999999999999</v>
      </c>
      <c r="L930" s="7" t="str">
        <f t="shared" si="625"/>
        <v/>
      </c>
      <c r="M930" s="7" t="str">
        <f t="shared" si="615"/>
        <v/>
      </c>
      <c r="N930" s="7"/>
      <c r="O930" s="7" t="str">
        <f t="shared" si="568"/>
        <v/>
      </c>
      <c r="P930" s="7"/>
      <c r="Q930" s="7"/>
      <c r="R930" s="7"/>
      <c r="S930" s="7"/>
    </row>
    <row r="931" spans="1:19" s="45" customFormat="1">
      <c r="A931" t="s">
        <v>77</v>
      </c>
      <c r="B931" s="53"/>
      <c r="C931" s="53"/>
      <c r="D931" s="43"/>
      <c r="E931" s="43"/>
      <c r="F931" s="43"/>
      <c r="G931" s="44">
        <v>1</v>
      </c>
      <c r="H931" s="44">
        <f>ROUNDUP(($T$76-0.25)/0.15,0)</f>
        <v>11</v>
      </c>
      <c r="I931" s="44">
        <v>6</v>
      </c>
      <c r="J931" s="44">
        <f>E928+22*I931/1000</f>
        <v>0.432</v>
      </c>
      <c r="K931" s="7">
        <f t="shared" si="620"/>
        <v>4.7519999999999998</v>
      </c>
      <c r="L931" s="7" t="str">
        <f t="shared" si="625"/>
        <v/>
      </c>
      <c r="M931" s="7" t="str">
        <f t="shared" si="615"/>
        <v/>
      </c>
      <c r="N931" s="7"/>
      <c r="O931" s="7" t="str">
        <f t="shared" si="568"/>
        <v/>
      </c>
      <c r="P931" s="7" t="str">
        <f t="shared" ref="P931:P933" si="626">IF(I931=16,G931*H931*J931,"")</f>
        <v/>
      </c>
      <c r="Q931" s="7"/>
      <c r="R931" s="7"/>
      <c r="S931" s="7"/>
    </row>
    <row r="932" spans="1:19" s="45" customFormat="1">
      <c r="B932" s="53" t="s">
        <v>11</v>
      </c>
      <c r="C932" s="53">
        <v>2</v>
      </c>
      <c r="D932" s="43" t="s">
        <v>42</v>
      </c>
      <c r="E932" s="43">
        <v>0.4</v>
      </c>
      <c r="F932" s="43">
        <v>0.4</v>
      </c>
      <c r="G932" s="44"/>
      <c r="H932" s="44"/>
      <c r="I932" s="44"/>
      <c r="J932" s="44"/>
      <c r="K932" s="7" t="str">
        <f t="shared" si="620"/>
        <v/>
      </c>
      <c r="L932" s="7" t="str">
        <f t="shared" si="625"/>
        <v/>
      </c>
      <c r="M932" s="7" t="str">
        <f t="shared" si="615"/>
        <v/>
      </c>
      <c r="N932" s="7"/>
      <c r="O932" s="7" t="str">
        <f t="shared" si="568"/>
        <v/>
      </c>
      <c r="P932" s="7" t="str">
        <f t="shared" si="626"/>
        <v/>
      </c>
      <c r="Q932" s="7"/>
      <c r="R932" s="7"/>
      <c r="S932" s="7"/>
    </row>
    <row r="933" spans="1:19" s="45" customFormat="1">
      <c r="A933" t="s">
        <v>86</v>
      </c>
      <c r="B933" s="53"/>
      <c r="C933" s="53"/>
      <c r="D933" s="43"/>
      <c r="E933" s="43"/>
      <c r="F933" s="43"/>
      <c r="G933" s="44">
        <v>1</v>
      </c>
      <c r="H933" s="44">
        <v>6</v>
      </c>
      <c r="I933" s="44">
        <v>14</v>
      </c>
      <c r="J933" s="44">
        <f>$T$76+18*I933/1000</f>
        <v>2.052</v>
      </c>
      <c r="K933" s="7" t="str">
        <f t="shared" si="620"/>
        <v/>
      </c>
      <c r="L933" s="7" t="str">
        <f t="shared" si="625"/>
        <v/>
      </c>
      <c r="M933" s="7" t="str">
        <f t="shared" si="615"/>
        <v/>
      </c>
      <c r="N933" s="7"/>
      <c r="O933" s="7">
        <f t="shared" si="568"/>
        <v>12.312000000000001</v>
      </c>
      <c r="P933" s="7" t="str">
        <f t="shared" si="626"/>
        <v/>
      </c>
      <c r="Q933" s="7"/>
      <c r="R933" s="7"/>
      <c r="S933" s="7"/>
    </row>
    <row r="934" spans="1:19" s="45" customFormat="1">
      <c r="A934" t="s">
        <v>76</v>
      </c>
      <c r="B934" s="53"/>
      <c r="C934" s="53"/>
      <c r="D934" s="43"/>
      <c r="E934" s="43"/>
      <c r="F934" s="43"/>
      <c r="G934" s="44">
        <v>1</v>
      </c>
      <c r="H934" s="44">
        <f>ROUNDUP(($T$76-0.25)/0.15,0)</f>
        <v>11</v>
      </c>
      <c r="I934" s="44">
        <v>6</v>
      </c>
      <c r="J934" s="44">
        <f>2*(E932+F932)+20.5*I934/1000</f>
        <v>1.7230000000000001</v>
      </c>
      <c r="K934" s="7">
        <f t="shared" si="620"/>
        <v>18.952999999999999</v>
      </c>
      <c r="L934" s="7" t="str">
        <f t="shared" si="625"/>
        <v/>
      </c>
      <c r="M934" s="7" t="str">
        <f t="shared" si="615"/>
        <v/>
      </c>
      <c r="N934" s="7"/>
      <c r="O934" s="7" t="str">
        <f t="shared" si="568"/>
        <v/>
      </c>
      <c r="P934" s="7"/>
      <c r="Q934" s="7"/>
      <c r="R934" s="7"/>
      <c r="S934" s="7"/>
    </row>
    <row r="935" spans="1:19" s="45" customFormat="1">
      <c r="A935" t="s">
        <v>77</v>
      </c>
      <c r="B935" s="53"/>
      <c r="C935" s="53"/>
      <c r="D935" s="43"/>
      <c r="E935" s="43"/>
      <c r="F935" s="43"/>
      <c r="G935" s="44">
        <v>1</v>
      </c>
      <c r="H935" s="44">
        <f>ROUNDUP(($T$76-0.25)/0.15,0)</f>
        <v>11</v>
      </c>
      <c r="I935" s="44">
        <v>6</v>
      </c>
      <c r="J935" s="44">
        <f>E932+22*I935/1000</f>
        <v>0.53200000000000003</v>
      </c>
      <c r="K935" s="7">
        <f t="shared" si="620"/>
        <v>5.8520000000000003</v>
      </c>
      <c r="L935" s="7" t="str">
        <f t="shared" si="625"/>
        <v/>
      </c>
      <c r="M935" s="7" t="str">
        <f t="shared" si="615"/>
        <v/>
      </c>
      <c r="N935" s="7"/>
      <c r="O935" s="7" t="str">
        <f t="shared" si="568"/>
        <v/>
      </c>
      <c r="P935" s="7" t="str">
        <f t="shared" ref="P935:P938" si="627">IF(I935=16,G935*H935*J935,"")</f>
        <v/>
      </c>
      <c r="Q935" s="7"/>
      <c r="R935" s="7"/>
      <c r="S935" s="7"/>
    </row>
    <row r="936" spans="1:19" s="45" customFormat="1">
      <c r="B936" s="53"/>
      <c r="C936" s="53"/>
      <c r="D936" s="43"/>
      <c r="E936" s="43"/>
      <c r="F936" s="43"/>
      <c r="G936" s="44"/>
      <c r="H936" s="44"/>
      <c r="I936" s="44"/>
      <c r="J936" s="44"/>
      <c r="K936" s="7" t="str">
        <f t="shared" si="620"/>
        <v/>
      </c>
      <c r="L936" s="7" t="str">
        <f t="shared" si="625"/>
        <v/>
      </c>
      <c r="M936" s="7" t="str">
        <f t="shared" si="615"/>
        <v/>
      </c>
      <c r="N936" s="7"/>
      <c r="O936" s="7" t="str">
        <f t="shared" si="568"/>
        <v/>
      </c>
      <c r="P936" s="7" t="str">
        <f t="shared" si="627"/>
        <v/>
      </c>
      <c r="Q936" s="7"/>
      <c r="R936" s="7"/>
      <c r="S936" s="7"/>
    </row>
    <row r="937" spans="1:19" s="45" customFormat="1">
      <c r="A937"/>
      <c r="B937" s="53" t="s">
        <v>11</v>
      </c>
      <c r="C937" s="53">
        <v>3</v>
      </c>
      <c r="D937" s="43" t="s">
        <v>42</v>
      </c>
      <c r="E937" s="43">
        <v>0.4</v>
      </c>
      <c r="F937" s="43">
        <v>0.4</v>
      </c>
      <c r="G937" s="44"/>
      <c r="H937" s="44"/>
      <c r="I937" s="44"/>
      <c r="J937" s="44"/>
      <c r="K937" s="7" t="str">
        <f t="shared" si="620"/>
        <v/>
      </c>
      <c r="L937" s="7" t="str">
        <f t="shared" si="625"/>
        <v/>
      </c>
      <c r="M937" s="7" t="str">
        <f t="shared" si="615"/>
        <v/>
      </c>
      <c r="N937" s="7"/>
      <c r="O937" s="7" t="str">
        <f t="shared" si="568"/>
        <v/>
      </c>
      <c r="P937" s="7" t="str">
        <f t="shared" si="627"/>
        <v/>
      </c>
      <c r="Q937" s="7"/>
      <c r="R937" s="7"/>
      <c r="S937" s="7"/>
    </row>
    <row r="938" spans="1:19" s="45" customFormat="1">
      <c r="A938" t="s">
        <v>86</v>
      </c>
      <c r="B938" s="53"/>
      <c r="C938" s="53"/>
      <c r="D938" s="43"/>
      <c r="E938" s="43"/>
      <c r="F938" s="43"/>
      <c r="G938" s="44">
        <v>1</v>
      </c>
      <c r="H938" s="44">
        <v>4</v>
      </c>
      <c r="I938" s="44">
        <v>14</v>
      </c>
      <c r="J938" s="44">
        <f>$T$76+18*I938/1000</f>
        <v>2.052</v>
      </c>
      <c r="K938" s="7" t="str">
        <f t="shared" si="620"/>
        <v/>
      </c>
      <c r="L938" s="7" t="str">
        <f t="shared" si="625"/>
        <v/>
      </c>
      <c r="M938" s="7" t="str">
        <f t="shared" si="615"/>
        <v/>
      </c>
      <c r="N938" s="7"/>
      <c r="O938" s="7">
        <f t="shared" si="568"/>
        <v>8.2080000000000002</v>
      </c>
      <c r="P938" s="7" t="str">
        <f t="shared" si="627"/>
        <v/>
      </c>
      <c r="Q938" s="7"/>
      <c r="R938" s="7"/>
      <c r="S938" s="7"/>
    </row>
    <row r="939" spans="1:19" s="45" customFormat="1">
      <c r="A939" t="s">
        <v>86</v>
      </c>
      <c r="B939" s="53"/>
      <c r="C939" s="53"/>
      <c r="D939" s="43"/>
      <c r="E939" s="43"/>
      <c r="F939" s="43"/>
      <c r="G939" s="44">
        <v>1</v>
      </c>
      <c r="H939" s="44">
        <v>2</v>
      </c>
      <c r="I939" s="44">
        <v>14</v>
      </c>
      <c r="J939" s="44">
        <f>$T$76+18*I939/1000</f>
        <v>2.052</v>
      </c>
      <c r="K939" s="7" t="str">
        <f t="shared" si="620"/>
        <v/>
      </c>
      <c r="L939" s="7" t="str">
        <f t="shared" si="625"/>
        <v/>
      </c>
      <c r="M939" s="7" t="str">
        <f t="shared" si="615"/>
        <v/>
      </c>
      <c r="N939" s="7"/>
      <c r="O939" s="7">
        <f t="shared" si="568"/>
        <v>4.1040000000000001</v>
      </c>
      <c r="P939" s="7"/>
      <c r="Q939" s="7"/>
      <c r="R939" s="7"/>
      <c r="S939" s="7"/>
    </row>
    <row r="940" spans="1:19" s="45" customFormat="1">
      <c r="A940" t="s">
        <v>76</v>
      </c>
      <c r="B940" s="53"/>
      <c r="C940" s="53"/>
      <c r="D940" s="43"/>
      <c r="E940" s="43"/>
      <c r="F940" s="43"/>
      <c r="G940" s="44">
        <v>1</v>
      </c>
      <c r="H940" s="44">
        <f>ROUNDUP(($T$76-0.25)/0.15,0)</f>
        <v>11</v>
      </c>
      <c r="I940" s="44">
        <v>6</v>
      </c>
      <c r="J940" s="44">
        <f>2*(E937+F937)+20.5*I940/1000</f>
        <v>1.7230000000000001</v>
      </c>
      <c r="K940" s="7">
        <f t="shared" si="620"/>
        <v>18.952999999999999</v>
      </c>
      <c r="L940" s="7" t="str">
        <f t="shared" si="625"/>
        <v/>
      </c>
      <c r="M940" s="7" t="str">
        <f t="shared" si="615"/>
        <v/>
      </c>
      <c r="N940" s="7"/>
      <c r="O940" s="7" t="str">
        <f t="shared" si="568"/>
        <v/>
      </c>
      <c r="P940" s="7" t="str">
        <f t="shared" ref="P940:P955" si="628">IF(I940=16,G940*H940*J940,"")</f>
        <v/>
      </c>
      <c r="Q940" s="7"/>
      <c r="R940" s="7"/>
      <c r="S940" s="7"/>
    </row>
    <row r="941" spans="1:19" s="45" customFormat="1">
      <c r="A941" t="s">
        <v>77</v>
      </c>
      <c r="B941" s="53"/>
      <c r="C941" s="53"/>
      <c r="D941" s="43"/>
      <c r="E941" s="43"/>
      <c r="F941" s="43"/>
      <c r="G941" s="44">
        <v>1</v>
      </c>
      <c r="H941" s="44">
        <f>ROUNDUP(($T$76-0.25)/0.15,0)</f>
        <v>11</v>
      </c>
      <c r="I941" s="44">
        <v>6</v>
      </c>
      <c r="J941" s="44">
        <f>E937+22*I941/1000</f>
        <v>0.53200000000000003</v>
      </c>
      <c r="K941" s="7">
        <f t="shared" si="620"/>
        <v>5.8520000000000003</v>
      </c>
      <c r="L941" s="7" t="str">
        <f t="shared" si="625"/>
        <v/>
      </c>
      <c r="M941" s="7" t="str">
        <f t="shared" si="615"/>
        <v/>
      </c>
      <c r="N941" s="7"/>
      <c r="O941" s="7" t="str">
        <f t="shared" si="568"/>
        <v/>
      </c>
      <c r="P941" s="7" t="str">
        <f t="shared" si="628"/>
        <v/>
      </c>
      <c r="Q941" s="7"/>
      <c r="R941" s="7"/>
      <c r="S941" s="7"/>
    </row>
    <row r="942" spans="1:19" s="45" customFormat="1">
      <c r="A942"/>
      <c r="B942" s="53" t="s">
        <v>11</v>
      </c>
      <c r="C942" s="53">
        <v>5</v>
      </c>
      <c r="D942" s="43" t="s">
        <v>43</v>
      </c>
      <c r="E942" s="43">
        <v>0.3</v>
      </c>
      <c r="F942" s="43">
        <v>0.3</v>
      </c>
      <c r="G942" s="44"/>
      <c r="H942" s="44"/>
      <c r="I942" s="44"/>
      <c r="J942" s="44"/>
      <c r="K942" s="7" t="str">
        <f t="shared" si="620"/>
        <v/>
      </c>
      <c r="L942" s="7" t="str">
        <f t="shared" si="625"/>
        <v/>
      </c>
      <c r="M942" s="7" t="str">
        <f t="shared" si="615"/>
        <v/>
      </c>
      <c r="N942" s="7"/>
      <c r="O942" s="7" t="str">
        <f t="shared" si="568"/>
        <v/>
      </c>
      <c r="P942" s="7" t="str">
        <f t="shared" si="628"/>
        <v/>
      </c>
      <c r="Q942" s="7"/>
      <c r="R942" s="7"/>
      <c r="S942" s="7"/>
    </row>
    <row r="943" spans="1:19" s="45" customFormat="1">
      <c r="A943" t="s">
        <v>86</v>
      </c>
      <c r="B943" s="53"/>
      <c r="C943" s="53"/>
      <c r="D943" s="43"/>
      <c r="E943" s="43"/>
      <c r="F943" s="43"/>
      <c r="G943" s="44">
        <v>1</v>
      </c>
      <c r="H943" s="44">
        <v>6</v>
      </c>
      <c r="I943" s="44">
        <v>14</v>
      </c>
      <c r="J943" s="44">
        <f>$T$76+18*I943/1000</f>
        <v>2.052</v>
      </c>
      <c r="K943" s="7" t="str">
        <f t="shared" si="620"/>
        <v/>
      </c>
      <c r="L943" s="7" t="str">
        <f t="shared" si="625"/>
        <v/>
      </c>
      <c r="M943" s="7" t="str">
        <f t="shared" si="615"/>
        <v/>
      </c>
      <c r="N943" s="7"/>
      <c r="O943" s="7">
        <f t="shared" si="568"/>
        <v>12.312000000000001</v>
      </c>
      <c r="P943" s="7" t="str">
        <f t="shared" si="628"/>
        <v/>
      </c>
      <c r="Q943" s="7"/>
      <c r="R943" s="7"/>
      <c r="S943" s="7"/>
    </row>
    <row r="944" spans="1:19" s="45" customFormat="1">
      <c r="A944" t="s">
        <v>76</v>
      </c>
      <c r="B944" s="53"/>
      <c r="C944" s="53"/>
      <c r="D944" s="43"/>
      <c r="E944" s="43"/>
      <c r="F944" s="43"/>
      <c r="G944" s="44">
        <v>1</v>
      </c>
      <c r="H944" s="44">
        <f>ROUNDUP(($T$76-0.25)/0.15,0)</f>
        <v>11</v>
      </c>
      <c r="I944" s="44">
        <v>6</v>
      </c>
      <c r="J944" s="44">
        <f>2*(E942+F942)+20.5*I944/1000</f>
        <v>1.323</v>
      </c>
      <c r="K944" s="7">
        <f t="shared" si="620"/>
        <v>14.552999999999999</v>
      </c>
      <c r="L944" s="7" t="str">
        <f t="shared" si="625"/>
        <v/>
      </c>
      <c r="M944" s="7" t="str">
        <f t="shared" si="615"/>
        <v/>
      </c>
      <c r="N944" s="7"/>
      <c r="O944" s="7" t="str">
        <f t="shared" si="568"/>
        <v/>
      </c>
      <c r="P944" s="7" t="str">
        <f t="shared" si="628"/>
        <v/>
      </c>
      <c r="Q944" s="7"/>
      <c r="R944" s="7"/>
      <c r="S944" s="7"/>
    </row>
    <row r="945" spans="1:19" s="45" customFormat="1">
      <c r="A945" t="s">
        <v>77</v>
      </c>
      <c r="B945" s="53"/>
      <c r="C945" s="53"/>
      <c r="D945" s="43"/>
      <c r="E945" s="43"/>
      <c r="F945" s="43"/>
      <c r="G945" s="44">
        <v>1</v>
      </c>
      <c r="H945" s="44">
        <f>ROUNDUP(($T$76-0.25)/0.15,0)</f>
        <v>11</v>
      </c>
      <c r="I945" s="44">
        <v>6</v>
      </c>
      <c r="J945" s="44">
        <f>E942+22*I945/1000</f>
        <v>0.432</v>
      </c>
      <c r="K945" s="7">
        <f t="shared" si="620"/>
        <v>4.7519999999999998</v>
      </c>
      <c r="L945" s="7" t="str">
        <f t="shared" si="625"/>
        <v/>
      </c>
      <c r="M945" s="7" t="str">
        <f t="shared" si="615"/>
        <v/>
      </c>
      <c r="N945" s="7"/>
      <c r="O945" s="7" t="str">
        <f t="shared" si="568"/>
        <v/>
      </c>
      <c r="P945" s="7" t="str">
        <f t="shared" si="628"/>
        <v/>
      </c>
      <c r="Q945" s="7"/>
      <c r="R945" s="7"/>
      <c r="S945" s="7"/>
    </row>
    <row r="946" spans="1:19" s="45" customFormat="1">
      <c r="A946"/>
      <c r="B946" s="53" t="s">
        <v>11</v>
      </c>
      <c r="C946" s="53">
        <v>6</v>
      </c>
      <c r="D946" s="43" t="s">
        <v>24</v>
      </c>
      <c r="E946" s="43">
        <v>0.25</v>
      </c>
      <c r="F946" s="43">
        <v>0.35</v>
      </c>
      <c r="G946" s="44"/>
      <c r="H946" s="44"/>
      <c r="I946" s="44"/>
      <c r="J946" s="44"/>
      <c r="K946" s="7" t="str">
        <f t="shared" si="620"/>
        <v/>
      </c>
      <c r="L946" s="7" t="str">
        <f t="shared" si="625"/>
        <v/>
      </c>
      <c r="M946" s="7" t="str">
        <f t="shared" si="615"/>
        <v/>
      </c>
      <c r="N946" s="7"/>
      <c r="O946" s="7" t="str">
        <f t="shared" si="568"/>
        <v/>
      </c>
      <c r="P946" s="7" t="str">
        <f t="shared" si="628"/>
        <v/>
      </c>
      <c r="Q946" s="7"/>
      <c r="R946" s="7"/>
      <c r="S946" s="7"/>
    </row>
    <row r="947" spans="1:19" s="45" customFormat="1">
      <c r="A947" t="s">
        <v>86</v>
      </c>
      <c r="B947" s="53"/>
      <c r="C947" s="53"/>
      <c r="D947" s="43"/>
      <c r="E947" s="43"/>
      <c r="F947" s="43"/>
      <c r="G947" s="44">
        <v>1</v>
      </c>
      <c r="H947" s="44">
        <v>6</v>
      </c>
      <c r="I947" s="44">
        <v>14</v>
      </c>
      <c r="J947" s="44">
        <f>$T$76+18*I947/1000</f>
        <v>2.052</v>
      </c>
      <c r="K947" s="7" t="str">
        <f t="shared" si="620"/>
        <v/>
      </c>
      <c r="L947" s="7" t="str">
        <f t="shared" si="625"/>
        <v/>
      </c>
      <c r="M947" s="7" t="str">
        <f t="shared" si="615"/>
        <v/>
      </c>
      <c r="N947" s="7"/>
      <c r="O947" s="7">
        <f t="shared" si="568"/>
        <v>12.312000000000001</v>
      </c>
      <c r="P947" s="7" t="str">
        <f t="shared" si="628"/>
        <v/>
      </c>
      <c r="Q947" s="7"/>
      <c r="R947" s="7"/>
      <c r="S947" s="7"/>
    </row>
    <row r="948" spans="1:19" s="45" customFormat="1">
      <c r="A948" t="s">
        <v>76</v>
      </c>
      <c r="B948" s="53"/>
      <c r="C948" s="53"/>
      <c r="D948" s="43"/>
      <c r="E948" s="43"/>
      <c r="F948" s="43"/>
      <c r="G948" s="44">
        <v>1</v>
      </c>
      <c r="H948" s="44">
        <f>ROUNDUP(($T$76-0.25)/0.15,0)</f>
        <v>11</v>
      </c>
      <c r="I948" s="44">
        <v>6</v>
      </c>
      <c r="J948" s="44">
        <f>2*(E946+F946)+20.5*I948/1000</f>
        <v>1.323</v>
      </c>
      <c r="K948" s="7">
        <f t="shared" si="620"/>
        <v>14.552999999999999</v>
      </c>
      <c r="L948" s="7" t="str">
        <f t="shared" si="625"/>
        <v/>
      </c>
      <c r="M948" s="7" t="str">
        <f t="shared" si="615"/>
        <v/>
      </c>
      <c r="N948" s="7"/>
      <c r="O948" s="7" t="str">
        <f t="shared" si="568"/>
        <v/>
      </c>
      <c r="P948" s="7" t="str">
        <f t="shared" si="628"/>
        <v/>
      </c>
      <c r="Q948" s="7"/>
      <c r="R948" s="7"/>
      <c r="S948" s="7"/>
    </row>
    <row r="949" spans="1:19" s="45" customFormat="1">
      <c r="A949" t="s">
        <v>77</v>
      </c>
      <c r="B949" s="53"/>
      <c r="C949" s="53"/>
      <c r="D949" s="43"/>
      <c r="E949" s="43"/>
      <c r="F949" s="43"/>
      <c r="G949" s="44">
        <v>1</v>
      </c>
      <c r="H949" s="44">
        <f>ROUNDUP(($T$76-0.25)/0.15,0)</f>
        <v>11</v>
      </c>
      <c r="I949" s="44">
        <v>6</v>
      </c>
      <c r="J949" s="44">
        <f>E946+22*I949/1000</f>
        <v>0.38200000000000001</v>
      </c>
      <c r="K949" s="7">
        <f t="shared" si="620"/>
        <v>4.202</v>
      </c>
      <c r="L949" s="7" t="str">
        <f t="shared" si="625"/>
        <v/>
      </c>
      <c r="M949" s="7" t="str">
        <f t="shared" si="615"/>
        <v/>
      </c>
      <c r="N949" s="7"/>
      <c r="O949" s="7" t="str">
        <f t="shared" si="568"/>
        <v/>
      </c>
      <c r="P949" s="7" t="str">
        <f t="shared" si="628"/>
        <v/>
      </c>
      <c r="Q949" s="7"/>
      <c r="R949" s="7"/>
      <c r="S949" s="7"/>
    </row>
    <row r="950" spans="1:19" s="45" customFormat="1">
      <c r="A950"/>
      <c r="B950" s="53" t="s">
        <v>11</v>
      </c>
      <c r="C950" s="53">
        <v>7</v>
      </c>
      <c r="D950" s="43" t="s">
        <v>24</v>
      </c>
      <c r="E950" s="43">
        <v>0.25</v>
      </c>
      <c r="F950" s="43">
        <v>0.35</v>
      </c>
      <c r="G950" s="44"/>
      <c r="H950" s="44"/>
      <c r="I950" s="44"/>
      <c r="J950" s="44"/>
      <c r="K950" s="7" t="str">
        <f t="shared" si="620"/>
        <v/>
      </c>
      <c r="L950" s="7" t="str">
        <f t="shared" si="625"/>
        <v/>
      </c>
      <c r="M950" s="7" t="str">
        <f t="shared" si="615"/>
        <v/>
      </c>
      <c r="N950" s="7"/>
      <c r="O950" s="7" t="str">
        <f t="shared" si="568"/>
        <v/>
      </c>
      <c r="P950" s="7" t="str">
        <f t="shared" si="628"/>
        <v/>
      </c>
      <c r="Q950" s="7"/>
      <c r="R950" s="7"/>
      <c r="S950" s="7"/>
    </row>
    <row r="951" spans="1:19" s="45" customFormat="1">
      <c r="A951" t="s">
        <v>86</v>
      </c>
      <c r="B951" s="53"/>
      <c r="C951" s="53"/>
      <c r="D951" s="43"/>
      <c r="E951" s="43"/>
      <c r="F951" s="43"/>
      <c r="G951" s="44">
        <v>1</v>
      </c>
      <c r="H951" s="44">
        <v>6</v>
      </c>
      <c r="I951" s="44">
        <v>14</v>
      </c>
      <c r="J951" s="44">
        <f>$T$76+18*I951/1000</f>
        <v>2.052</v>
      </c>
      <c r="K951" s="7" t="str">
        <f t="shared" si="620"/>
        <v/>
      </c>
      <c r="L951" s="7" t="str">
        <f t="shared" si="625"/>
        <v/>
      </c>
      <c r="M951" s="7" t="str">
        <f t="shared" si="615"/>
        <v/>
      </c>
      <c r="N951" s="7"/>
      <c r="O951" s="7">
        <f t="shared" si="568"/>
        <v>12.312000000000001</v>
      </c>
      <c r="P951" s="7" t="str">
        <f t="shared" si="628"/>
        <v/>
      </c>
      <c r="Q951" s="7"/>
      <c r="R951" s="7"/>
      <c r="S951" s="7"/>
    </row>
    <row r="952" spans="1:19" s="45" customFormat="1">
      <c r="A952" t="s">
        <v>76</v>
      </c>
      <c r="B952" s="53"/>
      <c r="C952" s="53"/>
      <c r="D952" s="43"/>
      <c r="E952" s="43"/>
      <c r="F952" s="43"/>
      <c r="G952" s="44">
        <v>1</v>
      </c>
      <c r="H952" s="44">
        <f>ROUNDUP(($T$76-0.25)/0.15,0)</f>
        <v>11</v>
      </c>
      <c r="I952" s="44">
        <v>6</v>
      </c>
      <c r="J952" s="44">
        <f>2*(E950+F950)+20.5*I952/1000</f>
        <v>1.323</v>
      </c>
      <c r="K952" s="7">
        <f t="shared" si="620"/>
        <v>14.552999999999999</v>
      </c>
      <c r="L952" s="7" t="str">
        <f t="shared" si="625"/>
        <v/>
      </c>
      <c r="M952" s="7" t="str">
        <f t="shared" si="615"/>
        <v/>
      </c>
      <c r="N952" s="7"/>
      <c r="O952" s="7" t="str">
        <f t="shared" si="568"/>
        <v/>
      </c>
      <c r="P952" s="7" t="str">
        <f t="shared" si="628"/>
        <v/>
      </c>
      <c r="Q952" s="7"/>
      <c r="R952" s="7"/>
      <c r="S952" s="7"/>
    </row>
    <row r="953" spans="1:19" s="45" customFormat="1">
      <c r="A953" t="s">
        <v>77</v>
      </c>
      <c r="B953" s="53"/>
      <c r="C953" s="53"/>
      <c r="D953" s="43"/>
      <c r="E953" s="43"/>
      <c r="F953" s="43"/>
      <c r="G953" s="44">
        <v>1</v>
      </c>
      <c r="H953" s="44">
        <f>ROUNDUP(($T$76-0.25)/0.15,0)</f>
        <v>11</v>
      </c>
      <c r="I953" s="44">
        <v>6</v>
      </c>
      <c r="J953" s="44">
        <f>E950+22*I953/1000</f>
        <v>0.38200000000000001</v>
      </c>
      <c r="K953" s="7">
        <f t="shared" si="620"/>
        <v>4.202</v>
      </c>
      <c r="L953" s="7" t="str">
        <f t="shared" si="625"/>
        <v/>
      </c>
      <c r="M953" s="7" t="str">
        <f t="shared" si="615"/>
        <v/>
      </c>
      <c r="N953" s="7"/>
      <c r="O953" s="7" t="str">
        <f t="shared" si="568"/>
        <v/>
      </c>
      <c r="P953" s="7" t="str">
        <f t="shared" si="628"/>
        <v/>
      </c>
      <c r="Q953" s="7"/>
      <c r="R953" s="7"/>
      <c r="S953" s="7"/>
    </row>
    <row r="954" spans="1:19" s="45" customFormat="1">
      <c r="A954"/>
      <c r="B954" s="53" t="s">
        <v>11</v>
      </c>
      <c r="C954" s="53">
        <v>8</v>
      </c>
      <c r="D954" s="43" t="s">
        <v>24</v>
      </c>
      <c r="E954" s="43">
        <v>0.25</v>
      </c>
      <c r="F954" s="43">
        <v>0.35</v>
      </c>
      <c r="G954" s="44"/>
      <c r="H954" s="44"/>
      <c r="I954" s="44"/>
      <c r="J954" s="44"/>
      <c r="K954" s="7" t="str">
        <f t="shared" si="620"/>
        <v/>
      </c>
      <c r="L954" s="7" t="str">
        <f t="shared" si="625"/>
        <v/>
      </c>
      <c r="M954" s="7" t="str">
        <f t="shared" si="615"/>
        <v/>
      </c>
      <c r="N954" s="7"/>
      <c r="O954" s="7" t="str">
        <f t="shared" si="568"/>
        <v/>
      </c>
      <c r="P954" s="7" t="str">
        <f t="shared" si="628"/>
        <v/>
      </c>
      <c r="Q954" s="7"/>
      <c r="R954" s="7"/>
      <c r="S954" s="7"/>
    </row>
    <row r="955" spans="1:19" s="45" customFormat="1">
      <c r="A955" t="s">
        <v>86</v>
      </c>
      <c r="B955" s="53"/>
      <c r="C955" s="53"/>
      <c r="D955" s="43"/>
      <c r="E955" s="43"/>
      <c r="F955" s="43"/>
      <c r="G955" s="44">
        <v>1</v>
      </c>
      <c r="H955" s="44">
        <v>4</v>
      </c>
      <c r="I955" s="44">
        <v>14</v>
      </c>
      <c r="J955" s="44">
        <f>$T$76+18*I955/1000</f>
        <v>2.052</v>
      </c>
      <c r="K955" s="7" t="str">
        <f t="shared" si="620"/>
        <v/>
      </c>
      <c r="L955" s="7" t="str">
        <f t="shared" si="625"/>
        <v/>
      </c>
      <c r="M955" s="7" t="str">
        <f t="shared" si="615"/>
        <v/>
      </c>
      <c r="N955" s="7"/>
      <c r="O955" s="7">
        <f t="shared" si="568"/>
        <v>8.2080000000000002</v>
      </c>
      <c r="P955" s="7" t="str">
        <f t="shared" si="628"/>
        <v/>
      </c>
      <c r="Q955" s="7"/>
      <c r="R955" s="7"/>
      <c r="S955" s="7"/>
    </row>
    <row r="956" spans="1:19" s="45" customFormat="1">
      <c r="A956" t="s">
        <v>86</v>
      </c>
      <c r="B956" s="53"/>
      <c r="C956" s="53"/>
      <c r="D956" s="43"/>
      <c r="E956" s="43"/>
      <c r="F956" s="43"/>
      <c r="G956" s="44">
        <v>1</v>
      </c>
      <c r="H956" s="44">
        <v>2</v>
      </c>
      <c r="I956" s="44">
        <v>14</v>
      </c>
      <c r="J956" s="44">
        <f>$T$76+18*I956/1000</f>
        <v>2.052</v>
      </c>
      <c r="K956" s="7" t="str">
        <f t="shared" si="620"/>
        <v/>
      </c>
      <c r="L956" s="7" t="str">
        <f t="shared" si="625"/>
        <v/>
      </c>
      <c r="M956" s="7" t="str">
        <f t="shared" si="615"/>
        <v/>
      </c>
      <c r="N956" s="7"/>
      <c r="O956" s="7">
        <f t="shared" si="568"/>
        <v>4.1040000000000001</v>
      </c>
      <c r="P956" s="7"/>
      <c r="Q956" s="7"/>
      <c r="R956" s="7"/>
      <c r="S956" s="7"/>
    </row>
    <row r="957" spans="1:19" s="45" customFormat="1">
      <c r="A957" t="s">
        <v>76</v>
      </c>
      <c r="B957" s="53"/>
      <c r="C957" s="53"/>
      <c r="D957" s="43"/>
      <c r="E957" s="43"/>
      <c r="F957" s="43"/>
      <c r="G957" s="44">
        <v>1</v>
      </c>
      <c r="H957" s="44">
        <f>ROUNDUP(($T$76-0.25)/0.15,0)</f>
        <v>11</v>
      </c>
      <c r="I957" s="44">
        <v>6</v>
      </c>
      <c r="J957" s="44">
        <f>2*(E954+F954)+20.5*I957/1000</f>
        <v>1.323</v>
      </c>
      <c r="K957" s="7">
        <f t="shared" si="620"/>
        <v>14.552999999999999</v>
      </c>
      <c r="L957" s="7" t="str">
        <f t="shared" si="625"/>
        <v/>
      </c>
      <c r="M957" s="7" t="str">
        <f t="shared" si="615"/>
        <v/>
      </c>
      <c r="N957" s="7"/>
      <c r="O957" s="7" t="str">
        <f t="shared" si="568"/>
        <v/>
      </c>
      <c r="P957" s="7" t="str">
        <f t="shared" ref="P957:P985" si="629">IF(I957=16,G957*H957*J957,"")</f>
        <v/>
      </c>
      <c r="Q957" s="7"/>
      <c r="R957" s="7"/>
      <c r="S957" s="7"/>
    </row>
    <row r="958" spans="1:19" s="45" customFormat="1">
      <c r="A958" t="s">
        <v>77</v>
      </c>
      <c r="B958" s="53"/>
      <c r="C958" s="53"/>
      <c r="D958" s="43"/>
      <c r="E958" s="43"/>
      <c r="F958" s="43"/>
      <c r="G958" s="44">
        <v>1</v>
      </c>
      <c r="H958" s="44">
        <f>ROUNDUP(($T$76-0.25)/0.15,0)</f>
        <v>11</v>
      </c>
      <c r="I958" s="44">
        <v>6</v>
      </c>
      <c r="J958" s="44">
        <f>E954+22*I958/1000</f>
        <v>0.38200000000000001</v>
      </c>
      <c r="K958" s="7">
        <f t="shared" si="620"/>
        <v>4.202</v>
      </c>
      <c r="L958" s="7" t="str">
        <f t="shared" si="625"/>
        <v/>
      </c>
      <c r="M958" s="7" t="str">
        <f t="shared" si="615"/>
        <v/>
      </c>
      <c r="N958" s="7"/>
      <c r="O958" s="7" t="str">
        <f t="shared" si="568"/>
        <v/>
      </c>
      <c r="P958" s="7" t="str">
        <f t="shared" si="629"/>
        <v/>
      </c>
      <c r="Q958" s="7"/>
      <c r="R958" s="7"/>
      <c r="S958" s="7"/>
    </row>
    <row r="959" spans="1:19">
      <c r="A959" s="154" t="s">
        <v>56</v>
      </c>
      <c r="B959" s="154"/>
      <c r="C959" s="154"/>
      <c r="D959" s="3"/>
      <c r="E959" s="3"/>
      <c r="F959" s="3"/>
      <c r="K959" s="7" t="str">
        <f t="shared" si="620"/>
        <v/>
      </c>
      <c r="L959" s="7" t="str">
        <f t="shared" si="625"/>
        <v/>
      </c>
      <c r="M959" s="7" t="str">
        <f t="shared" si="615"/>
        <v/>
      </c>
      <c r="N959" s="7" t="str">
        <f t="shared" ref="N959:N985" si="630">IF(I959=12,G959*H959*J959,"")</f>
        <v/>
      </c>
      <c r="O959" s="7" t="str">
        <f t="shared" ref="O959:O985" si="631">IF(I959=14,G959*H959*J959,"")</f>
        <v/>
      </c>
      <c r="P959" s="7" t="str">
        <f t="shared" si="629"/>
        <v/>
      </c>
      <c r="Q959" s="7" t="str">
        <f t="shared" ref="Q959:Q985" si="632">IF(I959=20,G959*H959*J959,"")</f>
        <v/>
      </c>
      <c r="S959" s="7" t="str">
        <f t="shared" ref="S959:S985" si="633">IF(I959=32,G959*H959*J959,"")</f>
        <v/>
      </c>
    </row>
    <row r="960" spans="1:19">
      <c r="A960" s="2" t="s">
        <v>2</v>
      </c>
      <c r="B960" s="2" t="s">
        <v>3</v>
      </c>
      <c r="C960" s="2" t="s">
        <v>12</v>
      </c>
      <c r="D960" s="22"/>
      <c r="E960" s="55"/>
      <c r="F960" s="55"/>
      <c r="K960" s="7" t="str">
        <f t="shared" si="620"/>
        <v/>
      </c>
      <c r="L960" s="7" t="str">
        <f t="shared" si="625"/>
        <v/>
      </c>
      <c r="M960" s="7" t="str">
        <f t="shared" si="615"/>
        <v/>
      </c>
      <c r="N960" s="7" t="str">
        <f t="shared" si="630"/>
        <v/>
      </c>
      <c r="O960" s="7" t="str">
        <f t="shared" si="631"/>
        <v/>
      </c>
      <c r="P960" s="7" t="str">
        <f t="shared" si="629"/>
        <v/>
      </c>
      <c r="Q960" s="7" t="str">
        <f t="shared" si="632"/>
        <v/>
      </c>
      <c r="S960" s="7" t="str">
        <f t="shared" si="633"/>
        <v/>
      </c>
    </row>
    <row r="961" spans="1:19">
      <c r="A961" s="47" t="s">
        <v>7</v>
      </c>
      <c r="B961" s="23" t="s">
        <v>70</v>
      </c>
      <c r="C961" s="53" t="s">
        <v>116</v>
      </c>
      <c r="D961" s="55">
        <v>4.8</v>
      </c>
      <c r="E961" s="55">
        <v>0.2</v>
      </c>
      <c r="F961" s="55">
        <v>0.4</v>
      </c>
      <c r="K961" s="7" t="str">
        <f t="shared" si="620"/>
        <v/>
      </c>
      <c r="L961" s="7" t="str">
        <f t="shared" si="625"/>
        <v/>
      </c>
      <c r="M961" s="7" t="str">
        <f t="shared" si="615"/>
        <v/>
      </c>
      <c r="N961" s="7" t="str">
        <f t="shared" si="630"/>
        <v/>
      </c>
      <c r="O961" s="7" t="str">
        <f t="shared" si="631"/>
        <v/>
      </c>
      <c r="P961" s="7" t="str">
        <f t="shared" si="629"/>
        <v/>
      </c>
      <c r="Q961" s="7" t="str">
        <f t="shared" si="632"/>
        <v/>
      </c>
      <c r="S961" s="7" t="str">
        <f t="shared" si="633"/>
        <v/>
      </c>
    </row>
    <row r="962" spans="1:19">
      <c r="A962" s="46" t="s">
        <v>74</v>
      </c>
      <c r="B962" s="23"/>
      <c r="C962" s="53"/>
      <c r="D962" s="55"/>
      <c r="E962" s="55"/>
      <c r="F962" s="55"/>
      <c r="G962" s="9">
        <v>1</v>
      </c>
      <c r="H962" s="9">
        <v>3</v>
      </c>
      <c r="I962" s="9">
        <v>12</v>
      </c>
      <c r="J962" s="9">
        <f>D961+36*I962/1000</f>
        <v>5.2320000000000002</v>
      </c>
      <c r="K962" s="7" t="str">
        <f t="shared" si="620"/>
        <v/>
      </c>
      <c r="L962" s="7" t="str">
        <f t="shared" si="625"/>
        <v/>
      </c>
      <c r="M962" s="7" t="str">
        <f t="shared" si="615"/>
        <v/>
      </c>
      <c r="N962" s="7">
        <f t="shared" si="630"/>
        <v>15.696000000000002</v>
      </c>
      <c r="O962" s="7" t="str">
        <f t="shared" si="631"/>
        <v/>
      </c>
      <c r="P962" s="7" t="str">
        <f t="shared" si="629"/>
        <v/>
      </c>
      <c r="Q962" s="7" t="str">
        <f t="shared" si="632"/>
        <v/>
      </c>
      <c r="S962" s="7" t="str">
        <f t="shared" si="633"/>
        <v/>
      </c>
    </row>
    <row r="963" spans="1:19">
      <c r="A963" s="46" t="s">
        <v>75</v>
      </c>
      <c r="B963" s="23"/>
      <c r="C963" s="53"/>
      <c r="D963" s="55"/>
      <c r="E963" s="55"/>
      <c r="F963" s="55"/>
      <c r="G963" s="9">
        <v>1</v>
      </c>
      <c r="H963" s="9">
        <v>3</v>
      </c>
      <c r="I963" s="9">
        <v>10</v>
      </c>
      <c r="J963" s="9">
        <f>$D$179+36*I963/1000</f>
        <v>5.16</v>
      </c>
      <c r="K963" s="7" t="str">
        <f t="shared" si="620"/>
        <v/>
      </c>
      <c r="L963" s="7" t="str">
        <f t="shared" si="625"/>
        <v/>
      </c>
      <c r="M963" s="7">
        <f t="shared" si="615"/>
        <v>15.48</v>
      </c>
      <c r="N963" s="7" t="str">
        <f t="shared" si="630"/>
        <v/>
      </c>
      <c r="O963" s="7" t="str">
        <f t="shared" si="631"/>
        <v/>
      </c>
      <c r="P963" s="7" t="str">
        <f t="shared" si="629"/>
        <v/>
      </c>
      <c r="Q963" s="7" t="str">
        <f t="shared" si="632"/>
        <v/>
      </c>
      <c r="S963" s="7" t="str">
        <f t="shared" si="633"/>
        <v/>
      </c>
    </row>
    <row r="964" spans="1:19">
      <c r="A964" s="46" t="s">
        <v>76</v>
      </c>
      <c r="B964" s="23"/>
      <c r="C964" s="53"/>
      <c r="D964" s="55"/>
      <c r="E964" s="55"/>
      <c r="F964" s="55"/>
      <c r="G964" s="9">
        <v>1</v>
      </c>
      <c r="H964" s="9">
        <f>ROUNDUP((D961/0.2)+10,0)</f>
        <v>34</v>
      </c>
      <c r="I964" s="9">
        <v>6</v>
      </c>
      <c r="J964" s="9">
        <f>2*(E961-0.025+F961-0.025)+20.5*I964/1000</f>
        <v>1.2230000000000001</v>
      </c>
      <c r="K964" s="7">
        <f t="shared" si="620"/>
        <v>41.582000000000001</v>
      </c>
      <c r="L964" s="7" t="str">
        <f t="shared" si="625"/>
        <v/>
      </c>
      <c r="M964" s="7" t="str">
        <f t="shared" si="615"/>
        <v/>
      </c>
      <c r="N964" s="7" t="str">
        <f t="shared" si="630"/>
        <v/>
      </c>
      <c r="O964" s="7" t="str">
        <f t="shared" si="631"/>
        <v/>
      </c>
      <c r="P964" s="7" t="str">
        <f t="shared" si="629"/>
        <v/>
      </c>
      <c r="Q964" s="7" t="str">
        <f t="shared" si="632"/>
        <v/>
      </c>
      <c r="S964" s="7" t="str">
        <f t="shared" si="633"/>
        <v/>
      </c>
    </row>
    <row r="965" spans="1:19">
      <c r="A965" s="46" t="s">
        <v>77</v>
      </c>
      <c r="B965" s="23"/>
      <c r="C965" s="53"/>
      <c r="D965" s="55"/>
      <c r="E965" s="55"/>
      <c r="F965" s="55"/>
      <c r="G965" s="9">
        <v>1</v>
      </c>
      <c r="H965" s="9">
        <f>ROUNDUP((D961/0.2)+10,0)</f>
        <v>34</v>
      </c>
      <c r="I965" s="9">
        <v>6</v>
      </c>
      <c r="J965" s="9">
        <f>2*(E961-0.025+F961-0.025)+22*I965*4/1000</f>
        <v>1.6280000000000001</v>
      </c>
      <c r="K965" s="7">
        <f t="shared" si="620"/>
        <v>55.352000000000004</v>
      </c>
      <c r="L965" s="7" t="str">
        <f t="shared" si="625"/>
        <v/>
      </c>
      <c r="M965" s="7" t="str">
        <f t="shared" si="615"/>
        <v/>
      </c>
      <c r="N965" s="7" t="str">
        <f t="shared" si="630"/>
        <v/>
      </c>
      <c r="O965" s="7" t="str">
        <f t="shared" si="631"/>
        <v/>
      </c>
      <c r="P965" s="7" t="str">
        <f t="shared" si="629"/>
        <v/>
      </c>
      <c r="Q965" s="7" t="str">
        <f t="shared" si="632"/>
        <v/>
      </c>
      <c r="S965" s="7" t="str">
        <f t="shared" si="633"/>
        <v/>
      </c>
    </row>
    <row r="966" spans="1:19">
      <c r="A966" s="47" t="s">
        <v>7</v>
      </c>
      <c r="B966" s="23" t="s">
        <v>110</v>
      </c>
      <c r="C966" s="53" t="s">
        <v>116</v>
      </c>
      <c r="D966" s="55">
        <v>2.65</v>
      </c>
      <c r="E966" s="55">
        <v>0.2</v>
      </c>
      <c r="F966" s="55">
        <v>0.4</v>
      </c>
      <c r="K966" s="7" t="str">
        <f t="shared" si="620"/>
        <v/>
      </c>
      <c r="L966" s="7" t="str">
        <f t="shared" si="625"/>
        <v/>
      </c>
      <c r="M966" s="7" t="str">
        <f t="shared" si="615"/>
        <v/>
      </c>
      <c r="N966" s="7" t="str">
        <f t="shared" si="630"/>
        <v/>
      </c>
      <c r="O966" s="7" t="str">
        <f t="shared" si="631"/>
        <v/>
      </c>
      <c r="P966" s="7" t="str">
        <f t="shared" si="629"/>
        <v/>
      </c>
      <c r="Q966" s="7" t="str">
        <f t="shared" si="632"/>
        <v/>
      </c>
      <c r="S966" s="7" t="str">
        <f t="shared" si="633"/>
        <v/>
      </c>
    </row>
    <row r="967" spans="1:19">
      <c r="A967" s="46" t="s">
        <v>74</v>
      </c>
      <c r="B967" s="23"/>
      <c r="C967" s="53"/>
      <c r="D967" s="55"/>
      <c r="E967" s="55"/>
      <c r="F967" s="55"/>
      <c r="G967" s="9">
        <v>1</v>
      </c>
      <c r="H967" s="9">
        <v>3</v>
      </c>
      <c r="I967" s="9">
        <v>12</v>
      </c>
      <c r="J967" s="9">
        <f>D966+36*I967/1000</f>
        <v>3.0819999999999999</v>
      </c>
      <c r="K967" s="7" t="str">
        <f t="shared" si="620"/>
        <v/>
      </c>
      <c r="L967" s="7" t="str">
        <f t="shared" si="625"/>
        <v/>
      </c>
      <c r="M967" s="7" t="str">
        <f t="shared" si="615"/>
        <v/>
      </c>
      <c r="N967" s="7">
        <f t="shared" si="630"/>
        <v>9.2459999999999987</v>
      </c>
      <c r="O967" s="7" t="str">
        <f t="shared" si="631"/>
        <v/>
      </c>
      <c r="P967" s="7" t="str">
        <f t="shared" si="629"/>
        <v/>
      </c>
      <c r="Q967" s="7" t="str">
        <f t="shared" si="632"/>
        <v/>
      </c>
      <c r="S967" s="7" t="str">
        <f t="shared" si="633"/>
        <v/>
      </c>
    </row>
    <row r="968" spans="1:19">
      <c r="A968" s="46" t="s">
        <v>75</v>
      </c>
      <c r="B968" s="23"/>
      <c r="C968" s="53"/>
      <c r="D968" s="55"/>
      <c r="E968" s="55"/>
      <c r="F968" s="55"/>
      <c r="G968" s="9">
        <v>1</v>
      </c>
      <c r="H968" s="9">
        <v>3</v>
      </c>
      <c r="I968" s="9">
        <v>10</v>
      </c>
      <c r="J968" s="9">
        <f>$D$179+36*I968/1000</f>
        <v>5.16</v>
      </c>
      <c r="K968" s="7" t="s">
        <v>153</v>
      </c>
      <c r="L968" s="7" t="str">
        <f t="shared" si="625"/>
        <v/>
      </c>
      <c r="M968" s="7">
        <f t="shared" si="615"/>
        <v>15.48</v>
      </c>
      <c r="N968" s="7" t="str">
        <f t="shared" si="630"/>
        <v/>
      </c>
      <c r="O968" s="7" t="str">
        <f t="shared" si="631"/>
        <v/>
      </c>
      <c r="P968" s="7" t="str">
        <f t="shared" si="629"/>
        <v/>
      </c>
      <c r="Q968" s="7" t="str">
        <f t="shared" si="632"/>
        <v/>
      </c>
      <c r="S968" s="7" t="str">
        <f t="shared" si="633"/>
        <v/>
      </c>
    </row>
    <row r="969" spans="1:19">
      <c r="A969" s="46" t="s">
        <v>76</v>
      </c>
      <c r="B969" s="23"/>
      <c r="C969" s="53"/>
      <c r="D969" s="55"/>
      <c r="E969" s="55"/>
      <c r="F969" s="55"/>
      <c r="G969" s="9">
        <v>1</v>
      </c>
      <c r="H969" s="9">
        <f>ROUNDUP((D966/0.2)+10,0)</f>
        <v>24</v>
      </c>
      <c r="I969" s="9">
        <v>6</v>
      </c>
      <c r="J969" s="9">
        <f>2*(E966-0.025+F966-0.025)+20.5*I969/1000</f>
        <v>1.2230000000000001</v>
      </c>
      <c r="K969" s="7">
        <f t="shared" si="620"/>
        <v>29.352000000000004</v>
      </c>
      <c r="L969" s="7" t="str">
        <f t="shared" si="625"/>
        <v/>
      </c>
      <c r="M969" s="7" t="str">
        <f t="shared" si="615"/>
        <v/>
      </c>
      <c r="N969" s="7" t="str">
        <f t="shared" si="630"/>
        <v/>
      </c>
      <c r="O969" s="7" t="str">
        <f t="shared" si="631"/>
        <v/>
      </c>
      <c r="P969" s="7" t="str">
        <f t="shared" si="629"/>
        <v/>
      </c>
      <c r="Q969" s="7" t="str">
        <f t="shared" si="632"/>
        <v/>
      </c>
      <c r="S969" s="7" t="str">
        <f t="shared" si="633"/>
        <v/>
      </c>
    </row>
    <row r="970" spans="1:19">
      <c r="A970" s="46" t="s">
        <v>77</v>
      </c>
      <c r="B970" s="23"/>
      <c r="C970" s="53"/>
      <c r="D970" s="55"/>
      <c r="E970" s="55"/>
      <c r="F970" s="55"/>
      <c r="G970" s="9">
        <v>1</v>
      </c>
      <c r="H970" s="9">
        <f>ROUNDUP((D966/0.2)+10,0)</f>
        <v>24</v>
      </c>
      <c r="I970" s="9">
        <v>6</v>
      </c>
      <c r="J970" s="9">
        <f>2*(E966-0.025+F966-0.025)+22*I970*4/1000</f>
        <v>1.6280000000000001</v>
      </c>
      <c r="K970" s="7">
        <f t="shared" si="620"/>
        <v>39.072000000000003</v>
      </c>
      <c r="L970" s="7" t="str">
        <f t="shared" si="625"/>
        <v/>
      </c>
      <c r="M970" s="7" t="str">
        <f t="shared" si="615"/>
        <v/>
      </c>
      <c r="N970" s="7" t="str">
        <f t="shared" si="630"/>
        <v/>
      </c>
      <c r="O970" s="7" t="str">
        <f t="shared" si="631"/>
        <v/>
      </c>
      <c r="P970" s="7" t="str">
        <f t="shared" si="629"/>
        <v/>
      </c>
      <c r="Q970" s="7" t="str">
        <f t="shared" si="632"/>
        <v/>
      </c>
      <c r="S970" s="7" t="str">
        <f t="shared" si="633"/>
        <v/>
      </c>
    </row>
    <row r="971" spans="1:19">
      <c r="A971" s="47" t="s">
        <v>7</v>
      </c>
      <c r="B971" s="23" t="s">
        <v>111</v>
      </c>
      <c r="C971" s="53" t="s">
        <v>116</v>
      </c>
      <c r="D971" s="55">
        <v>4.5999999999999996</v>
      </c>
      <c r="E971" s="55">
        <v>0.2</v>
      </c>
      <c r="F971" s="55">
        <v>0.4</v>
      </c>
      <c r="K971" s="7" t="str">
        <f t="shared" si="620"/>
        <v/>
      </c>
      <c r="L971" s="7" t="str">
        <f t="shared" si="625"/>
        <v/>
      </c>
      <c r="M971" s="7" t="str">
        <f t="shared" si="615"/>
        <v/>
      </c>
      <c r="N971" s="7" t="str">
        <f t="shared" si="630"/>
        <v/>
      </c>
      <c r="O971" s="7" t="str">
        <f t="shared" si="631"/>
        <v/>
      </c>
      <c r="P971" s="7" t="str">
        <f t="shared" si="629"/>
        <v/>
      </c>
      <c r="Q971" s="7" t="str">
        <f t="shared" si="632"/>
        <v/>
      </c>
      <c r="S971" s="7" t="str">
        <f t="shared" si="633"/>
        <v/>
      </c>
    </row>
    <row r="972" spans="1:19">
      <c r="A972" s="46" t="s">
        <v>74</v>
      </c>
      <c r="B972" s="23"/>
      <c r="C972" s="53"/>
      <c r="D972" s="55"/>
      <c r="E972" s="55"/>
      <c r="F972" s="55"/>
      <c r="G972" s="9">
        <v>1</v>
      </c>
      <c r="H972" s="9">
        <v>3</v>
      </c>
      <c r="I972" s="9">
        <v>12</v>
      </c>
      <c r="J972" s="9">
        <f>D971+36*I972/1000</f>
        <v>5.032</v>
      </c>
      <c r="K972" s="7" t="str">
        <f t="shared" si="620"/>
        <v/>
      </c>
      <c r="L972" s="7" t="str">
        <f t="shared" si="625"/>
        <v/>
      </c>
      <c r="M972" s="7" t="str">
        <f t="shared" si="615"/>
        <v/>
      </c>
      <c r="N972" s="7">
        <f t="shared" si="630"/>
        <v>15.096</v>
      </c>
      <c r="O972" s="7" t="str">
        <f t="shared" si="631"/>
        <v/>
      </c>
      <c r="P972" s="7" t="str">
        <f t="shared" si="629"/>
        <v/>
      </c>
      <c r="Q972" s="7" t="str">
        <f t="shared" si="632"/>
        <v/>
      </c>
      <c r="S972" s="7" t="str">
        <f t="shared" si="633"/>
        <v/>
      </c>
    </row>
    <row r="973" spans="1:19">
      <c r="A973" s="46" t="s">
        <v>75</v>
      </c>
      <c r="B973" s="23"/>
      <c r="C973" s="53"/>
      <c r="D973" s="55"/>
      <c r="E973" s="55"/>
      <c r="F973" s="55"/>
      <c r="G973" s="9">
        <v>1</v>
      </c>
      <c r="H973" s="9">
        <v>3</v>
      </c>
      <c r="I973" s="9">
        <v>10</v>
      </c>
      <c r="J973" s="9">
        <f>$D$179+36*I973/1000</f>
        <v>5.16</v>
      </c>
      <c r="K973" s="7" t="str">
        <f t="shared" si="620"/>
        <v/>
      </c>
      <c r="L973" s="7" t="str">
        <f t="shared" si="625"/>
        <v/>
      </c>
      <c r="M973" s="7">
        <f t="shared" si="615"/>
        <v>15.48</v>
      </c>
      <c r="N973" s="7" t="str">
        <f t="shared" si="630"/>
        <v/>
      </c>
      <c r="O973" s="7" t="str">
        <f t="shared" si="631"/>
        <v/>
      </c>
      <c r="P973" s="7" t="str">
        <f t="shared" si="629"/>
        <v/>
      </c>
      <c r="Q973" s="7" t="str">
        <f t="shared" si="632"/>
        <v/>
      </c>
      <c r="S973" s="7" t="str">
        <f t="shared" si="633"/>
        <v/>
      </c>
    </row>
    <row r="974" spans="1:19">
      <c r="A974" s="46" t="s">
        <v>76</v>
      </c>
      <c r="B974" s="23"/>
      <c r="C974" s="53"/>
      <c r="D974" s="55"/>
      <c r="E974" s="55"/>
      <c r="F974" s="55"/>
      <c r="G974" s="9">
        <v>1</v>
      </c>
      <c r="H974" s="9">
        <f>ROUNDUP((D971/0.2)+10,0)</f>
        <v>33</v>
      </c>
      <c r="I974" s="9">
        <v>6</v>
      </c>
      <c r="J974" s="9">
        <f>2*(E971-0.025+F971-0.025)+20.5*I974/1000</f>
        <v>1.2230000000000001</v>
      </c>
      <c r="K974" s="7">
        <f t="shared" si="620"/>
        <v>40.359000000000002</v>
      </c>
      <c r="L974" s="7" t="str">
        <f t="shared" si="625"/>
        <v/>
      </c>
      <c r="M974" s="7" t="str">
        <f t="shared" si="615"/>
        <v/>
      </c>
      <c r="N974" s="7" t="str">
        <f t="shared" si="630"/>
        <v/>
      </c>
      <c r="O974" s="7" t="str">
        <f t="shared" si="631"/>
        <v/>
      </c>
      <c r="P974" s="7" t="str">
        <f t="shared" si="629"/>
        <v/>
      </c>
      <c r="Q974" s="7" t="str">
        <f t="shared" si="632"/>
        <v/>
      </c>
      <c r="S974" s="7" t="str">
        <f t="shared" si="633"/>
        <v/>
      </c>
    </row>
    <row r="975" spans="1:19">
      <c r="A975" s="46" t="s">
        <v>77</v>
      </c>
      <c r="B975" s="23"/>
      <c r="C975" s="53"/>
      <c r="D975" s="55"/>
      <c r="E975" s="55"/>
      <c r="F975" s="55"/>
      <c r="G975" s="9">
        <v>1</v>
      </c>
      <c r="H975" s="9">
        <f>ROUNDUP((D971/0.2)+10,0)</f>
        <v>33</v>
      </c>
      <c r="I975" s="9">
        <v>6</v>
      </c>
      <c r="J975" s="9">
        <f>2*(E971-0.025+F971-0.025)+22*I975*4/1000</f>
        <v>1.6280000000000001</v>
      </c>
      <c r="K975" s="7">
        <f t="shared" si="620"/>
        <v>53.724000000000004</v>
      </c>
      <c r="L975" s="7" t="str">
        <f t="shared" si="625"/>
        <v/>
      </c>
      <c r="M975" s="7" t="str">
        <f t="shared" si="615"/>
        <v/>
      </c>
      <c r="N975" s="7" t="str">
        <f t="shared" si="630"/>
        <v/>
      </c>
      <c r="O975" s="7" t="str">
        <f t="shared" si="631"/>
        <v/>
      </c>
      <c r="P975" s="7" t="str">
        <f t="shared" si="629"/>
        <v/>
      </c>
      <c r="Q975" s="7" t="str">
        <f t="shared" si="632"/>
        <v/>
      </c>
      <c r="S975" s="7" t="str">
        <f t="shared" si="633"/>
        <v/>
      </c>
    </row>
    <row r="976" spans="1:19">
      <c r="A976" s="47" t="s">
        <v>8</v>
      </c>
      <c r="B976" s="23" t="s">
        <v>71</v>
      </c>
      <c r="C976" s="53" t="s">
        <v>14</v>
      </c>
      <c r="D976" s="55">
        <v>2.48</v>
      </c>
      <c r="E976" s="55">
        <v>0.2</v>
      </c>
      <c r="F976" s="55">
        <v>0.4</v>
      </c>
      <c r="K976" s="7" t="str">
        <f t="shared" si="620"/>
        <v/>
      </c>
      <c r="L976" s="7" t="str">
        <f t="shared" si="625"/>
        <v/>
      </c>
      <c r="M976" s="7" t="str">
        <f t="shared" si="615"/>
        <v/>
      </c>
      <c r="N976" s="7" t="str">
        <f t="shared" si="630"/>
        <v/>
      </c>
      <c r="O976" s="7" t="str">
        <f t="shared" si="631"/>
        <v/>
      </c>
      <c r="P976" s="7" t="str">
        <f t="shared" si="629"/>
        <v/>
      </c>
      <c r="Q976" s="7" t="str">
        <f t="shared" si="632"/>
        <v/>
      </c>
      <c r="S976" s="7" t="str">
        <f t="shared" si="633"/>
        <v/>
      </c>
    </row>
    <row r="977" spans="1:19">
      <c r="A977" s="46" t="s">
        <v>74</v>
      </c>
      <c r="B977" s="23"/>
      <c r="C977" s="53"/>
      <c r="D977" s="55"/>
      <c r="E977" s="55"/>
      <c r="F977" s="55"/>
      <c r="G977" s="9">
        <v>1</v>
      </c>
      <c r="H977" s="9">
        <v>3</v>
      </c>
      <c r="I977" s="9">
        <v>12</v>
      </c>
      <c r="J977" s="9">
        <f>D976+36*I977/1000</f>
        <v>2.9119999999999999</v>
      </c>
      <c r="K977" s="7" t="str">
        <f t="shared" si="620"/>
        <v/>
      </c>
      <c r="L977" s="7" t="str">
        <f t="shared" si="625"/>
        <v/>
      </c>
      <c r="M977" s="7" t="str">
        <f t="shared" si="615"/>
        <v/>
      </c>
      <c r="N977" s="7">
        <f t="shared" si="630"/>
        <v>8.7360000000000007</v>
      </c>
      <c r="O977" s="7" t="str">
        <f t="shared" si="631"/>
        <v/>
      </c>
      <c r="P977" s="7" t="str">
        <f t="shared" si="629"/>
        <v/>
      </c>
      <c r="Q977" s="7" t="str">
        <f t="shared" si="632"/>
        <v/>
      </c>
      <c r="S977" s="7" t="str">
        <f t="shared" si="633"/>
        <v/>
      </c>
    </row>
    <row r="978" spans="1:19">
      <c r="A978" s="46" t="s">
        <v>75</v>
      </c>
      <c r="B978" s="23"/>
      <c r="C978" s="53"/>
      <c r="D978" s="55"/>
      <c r="E978" s="55"/>
      <c r="F978" s="55"/>
      <c r="G978" s="9">
        <v>1</v>
      </c>
      <c r="H978" s="9">
        <v>3</v>
      </c>
      <c r="I978" s="9">
        <v>10</v>
      </c>
      <c r="J978" s="9">
        <f>$D$179+36*I978/1000</f>
        <v>5.16</v>
      </c>
      <c r="K978" s="7" t="str">
        <f t="shared" si="620"/>
        <v/>
      </c>
      <c r="L978" s="7" t="str">
        <f t="shared" si="625"/>
        <v/>
      </c>
      <c r="M978" s="7">
        <f t="shared" si="615"/>
        <v>15.48</v>
      </c>
      <c r="N978" s="7" t="str">
        <f t="shared" si="630"/>
        <v/>
      </c>
      <c r="O978" s="7" t="str">
        <f t="shared" si="631"/>
        <v/>
      </c>
      <c r="P978" s="7" t="str">
        <f t="shared" si="629"/>
        <v/>
      </c>
      <c r="Q978" s="7" t="str">
        <f t="shared" si="632"/>
        <v/>
      </c>
      <c r="S978" s="7" t="str">
        <f t="shared" si="633"/>
        <v/>
      </c>
    </row>
    <row r="979" spans="1:19">
      <c r="A979" s="46" t="s">
        <v>76</v>
      </c>
      <c r="B979" s="23"/>
      <c r="C979" s="53"/>
      <c r="D979" s="55"/>
      <c r="E979" s="55"/>
      <c r="F979" s="55"/>
      <c r="G979" s="9">
        <v>1</v>
      </c>
      <c r="H979" s="9">
        <f>ROUNDUP((D976/0.2)+10,0)</f>
        <v>23</v>
      </c>
      <c r="I979" s="9">
        <v>6</v>
      </c>
      <c r="J979" s="9">
        <f>2*(E976-0.025+F976-0.025)+20.5*I979/1000</f>
        <v>1.2230000000000001</v>
      </c>
      <c r="K979" s="7">
        <f t="shared" si="620"/>
        <v>28.129000000000001</v>
      </c>
      <c r="L979" s="7" t="str">
        <f t="shared" si="625"/>
        <v/>
      </c>
      <c r="M979" s="7" t="str">
        <f t="shared" si="615"/>
        <v/>
      </c>
      <c r="N979" s="7" t="str">
        <f t="shared" si="630"/>
        <v/>
      </c>
      <c r="O979" s="7" t="str">
        <f t="shared" si="631"/>
        <v/>
      </c>
      <c r="P979" s="7" t="str">
        <f t="shared" si="629"/>
        <v/>
      </c>
      <c r="Q979" s="7" t="str">
        <f t="shared" si="632"/>
        <v/>
      </c>
      <c r="S979" s="7" t="str">
        <f t="shared" si="633"/>
        <v/>
      </c>
    </row>
    <row r="980" spans="1:19">
      <c r="A980" s="46" t="s">
        <v>77</v>
      </c>
      <c r="B980" s="23"/>
      <c r="C980" s="53"/>
      <c r="D980" s="55"/>
      <c r="E980" s="55"/>
      <c r="F980" s="55"/>
      <c r="G980" s="9">
        <v>1</v>
      </c>
      <c r="H980" s="9">
        <f>ROUNDUP((D976/0.2)+10,0)</f>
        <v>23</v>
      </c>
      <c r="I980" s="9">
        <v>6</v>
      </c>
      <c r="J980" s="9">
        <f>2*(E976-0.025+F976-0.025)+22*I980*4/1000</f>
        <v>1.6280000000000001</v>
      </c>
      <c r="K980" s="7">
        <f t="shared" si="620"/>
        <v>37.444000000000003</v>
      </c>
      <c r="L980" s="7" t="str">
        <f t="shared" si="625"/>
        <v/>
      </c>
      <c r="M980" s="7" t="str">
        <f t="shared" si="615"/>
        <v/>
      </c>
      <c r="N980" s="7" t="str">
        <f t="shared" si="630"/>
        <v/>
      </c>
      <c r="O980" s="7" t="str">
        <f t="shared" si="631"/>
        <v/>
      </c>
      <c r="P980" s="7" t="str">
        <f t="shared" si="629"/>
        <v/>
      </c>
      <c r="Q980" s="7" t="str">
        <f t="shared" si="632"/>
        <v/>
      </c>
      <c r="S980" s="7" t="str">
        <f t="shared" si="633"/>
        <v/>
      </c>
    </row>
    <row r="981" spans="1:19">
      <c r="A981" s="47" t="s">
        <v>8</v>
      </c>
      <c r="B981" s="23" t="s">
        <v>72</v>
      </c>
      <c r="C981" s="53" t="s">
        <v>14</v>
      </c>
      <c r="D981" s="55">
        <v>3.7</v>
      </c>
      <c r="E981" s="55">
        <v>0.2</v>
      </c>
      <c r="F981" s="55">
        <v>0.4</v>
      </c>
      <c r="K981" s="7" t="str">
        <f t="shared" si="620"/>
        <v/>
      </c>
      <c r="L981" s="7" t="str">
        <f t="shared" si="625"/>
        <v/>
      </c>
      <c r="M981" s="7" t="str">
        <f t="shared" si="615"/>
        <v/>
      </c>
      <c r="N981" s="7" t="str">
        <f t="shared" si="630"/>
        <v/>
      </c>
      <c r="O981" s="7" t="str">
        <f t="shared" si="631"/>
        <v/>
      </c>
      <c r="P981" s="7" t="str">
        <f t="shared" si="629"/>
        <v/>
      </c>
      <c r="Q981" s="7" t="str">
        <f t="shared" si="632"/>
        <v/>
      </c>
      <c r="S981" s="7" t="str">
        <f t="shared" si="633"/>
        <v/>
      </c>
    </row>
    <row r="982" spans="1:19">
      <c r="A982" s="46" t="s">
        <v>74</v>
      </c>
      <c r="B982" s="23"/>
      <c r="C982" s="53"/>
      <c r="D982" s="55"/>
      <c r="E982" s="55"/>
      <c r="F982" s="55"/>
      <c r="G982" s="9">
        <v>1</v>
      </c>
      <c r="H982" s="9">
        <v>3</v>
      </c>
      <c r="I982" s="9">
        <v>10</v>
      </c>
      <c r="J982" s="9">
        <f>D981+36*I982/1000</f>
        <v>4.0600000000000005</v>
      </c>
      <c r="K982" s="7" t="str">
        <f t="shared" si="620"/>
        <v/>
      </c>
      <c r="L982" s="7" t="str">
        <f t="shared" si="625"/>
        <v/>
      </c>
      <c r="M982" s="7">
        <f t="shared" si="615"/>
        <v>12.180000000000001</v>
      </c>
      <c r="N982" s="7" t="str">
        <f t="shared" si="630"/>
        <v/>
      </c>
      <c r="O982" s="7" t="str">
        <f t="shared" si="631"/>
        <v/>
      </c>
      <c r="P982" s="7" t="str">
        <f t="shared" si="629"/>
        <v/>
      </c>
      <c r="Q982" s="7" t="str">
        <f t="shared" si="632"/>
        <v/>
      </c>
      <c r="S982" s="7" t="str">
        <f t="shared" si="633"/>
        <v/>
      </c>
    </row>
    <row r="983" spans="1:19">
      <c r="A983" s="46" t="s">
        <v>75</v>
      </c>
      <c r="B983" s="23"/>
      <c r="C983" s="53"/>
      <c r="D983" s="55"/>
      <c r="E983" s="55"/>
      <c r="F983" s="55"/>
      <c r="G983" s="9">
        <v>1</v>
      </c>
      <c r="H983" s="9">
        <v>3</v>
      </c>
      <c r="I983" s="9">
        <v>12</v>
      </c>
      <c r="J983" s="9">
        <f>$D$179+36*I983/1000</f>
        <v>5.2320000000000002</v>
      </c>
      <c r="K983" s="7" t="str">
        <f t="shared" si="620"/>
        <v/>
      </c>
      <c r="L983" s="7" t="str">
        <f t="shared" si="625"/>
        <v/>
      </c>
      <c r="M983" s="7" t="str">
        <f t="shared" ref="M983:M985" si="634">IF(I983=10,G983*H983*J983,"")</f>
        <v/>
      </c>
      <c r="N983" s="7">
        <f t="shared" si="630"/>
        <v>15.696000000000002</v>
      </c>
      <c r="O983" s="7" t="str">
        <f t="shared" si="631"/>
        <v/>
      </c>
      <c r="P983" s="7" t="str">
        <f t="shared" si="629"/>
        <v/>
      </c>
      <c r="Q983" s="7" t="str">
        <f t="shared" si="632"/>
        <v/>
      </c>
      <c r="S983" s="7" t="str">
        <f t="shared" si="633"/>
        <v/>
      </c>
    </row>
    <row r="984" spans="1:19">
      <c r="A984" s="46" t="s">
        <v>76</v>
      </c>
      <c r="B984" s="23"/>
      <c r="C984" s="53"/>
      <c r="D984" s="55"/>
      <c r="E984" s="55"/>
      <c r="F984" s="55"/>
      <c r="G984" s="9">
        <v>1</v>
      </c>
      <c r="H984" s="9">
        <f>ROUNDUP((D981/0.2)+10,0)</f>
        <v>29</v>
      </c>
      <c r="I984" s="9">
        <v>6</v>
      </c>
      <c r="J984" s="9">
        <f>2*(E981-0.025+F981-0.025)+20.5*I984/1000</f>
        <v>1.2230000000000001</v>
      </c>
      <c r="K984" s="7">
        <f t="shared" si="620"/>
        <v>35.467000000000006</v>
      </c>
      <c r="L984" s="7" t="str">
        <f t="shared" si="625"/>
        <v/>
      </c>
      <c r="M984" s="7" t="str">
        <f t="shared" si="634"/>
        <v/>
      </c>
      <c r="N984" s="7" t="str">
        <f t="shared" si="630"/>
        <v/>
      </c>
      <c r="O984" s="7" t="str">
        <f t="shared" si="631"/>
        <v/>
      </c>
      <c r="P984" s="7" t="str">
        <f t="shared" si="629"/>
        <v/>
      </c>
      <c r="Q984" s="7" t="str">
        <f t="shared" si="632"/>
        <v/>
      </c>
      <c r="S984" s="7" t="str">
        <f t="shared" si="633"/>
        <v/>
      </c>
    </row>
    <row r="985" spans="1:19">
      <c r="A985" s="46" t="s">
        <v>77</v>
      </c>
      <c r="B985" s="23"/>
      <c r="C985" s="53"/>
      <c r="D985" s="55"/>
      <c r="E985" s="55"/>
      <c r="F985" s="55"/>
      <c r="G985" s="9">
        <v>1</v>
      </c>
      <c r="H985" s="9">
        <f>ROUNDUP((D981/0.2)+10,0)</f>
        <v>29</v>
      </c>
      <c r="I985" s="9">
        <v>6</v>
      </c>
      <c r="J985" s="9">
        <f>2*(E981-0.025+F981-0.025)+22*I985*4/1000</f>
        <v>1.6280000000000001</v>
      </c>
      <c r="K985" s="7">
        <f t="shared" si="620"/>
        <v>47.212000000000003</v>
      </c>
      <c r="L985" s="7" t="str">
        <f t="shared" si="625"/>
        <v/>
      </c>
      <c r="M985" s="7" t="str">
        <f t="shared" si="634"/>
        <v/>
      </c>
      <c r="N985" s="7" t="str">
        <f t="shared" si="630"/>
        <v/>
      </c>
      <c r="O985" s="7" t="str">
        <f t="shared" si="631"/>
        <v/>
      </c>
      <c r="P985" s="7" t="str">
        <f t="shared" si="629"/>
        <v/>
      </c>
      <c r="Q985" s="7" t="str">
        <f t="shared" si="632"/>
        <v/>
      </c>
      <c r="S985" s="7" t="str">
        <f t="shared" si="633"/>
        <v/>
      </c>
    </row>
    <row r="986" spans="1:19">
      <c r="A986" s="46"/>
      <c r="B986" s="23"/>
      <c r="C986" s="53"/>
      <c r="D986" s="55"/>
      <c r="E986" s="55"/>
      <c r="F986" s="55"/>
    </row>
    <row r="987" spans="1:19">
      <c r="A987" s="47" t="s">
        <v>8</v>
      </c>
      <c r="B987" s="23" t="s">
        <v>73</v>
      </c>
      <c r="C987" s="53" t="s">
        <v>14</v>
      </c>
      <c r="D987" s="55">
        <v>3.7</v>
      </c>
      <c r="E987" s="55">
        <v>0.2</v>
      </c>
      <c r="F987" s="55">
        <v>0.4</v>
      </c>
      <c r="K987" s="7" t="str">
        <f t="shared" ref="K987:K1050" si="635">IF(I987=6,G987*H987*J987,"")</f>
        <v/>
      </c>
      <c r="L987" s="7" t="str">
        <f t="shared" ref="L987:L1063" si="636">IF(I987=8,G987*H987*J987,"")</f>
        <v/>
      </c>
      <c r="M987" s="7" t="str">
        <f t="shared" ref="M987:M1050" si="637">IF(I987=10,G987*H987*J987,"")</f>
        <v/>
      </c>
      <c r="N987" s="7" t="str">
        <f t="shared" ref="N987:N1050" si="638">IF(I987=12,G987*H987*J987,"")</f>
        <v/>
      </c>
      <c r="O987" s="7" t="str">
        <f t="shared" ref="O987:O1063" si="639">IF(I987=14,G987*H987*J987,"")</f>
        <v/>
      </c>
      <c r="P987" s="7" t="str">
        <f t="shared" ref="P987:P1052" si="640">IF(I987=16,G987*H987*J987,"")</f>
        <v/>
      </c>
      <c r="Q987" s="7" t="str">
        <f t="shared" ref="Q987:Q1019" si="641">IF(I987=20,G987*H987*J987,"")</f>
        <v/>
      </c>
      <c r="S987" s="7" t="str">
        <f t="shared" ref="S987:S1050" si="642">IF(I987=32,G987*H987*J987,"")</f>
        <v/>
      </c>
    </row>
    <row r="988" spans="1:19">
      <c r="A988" s="46" t="s">
        <v>74</v>
      </c>
      <c r="B988" s="23"/>
      <c r="C988" s="53"/>
      <c r="D988" s="55"/>
      <c r="E988" s="55"/>
      <c r="F988" s="55"/>
      <c r="G988" s="9">
        <v>1</v>
      </c>
      <c r="H988" s="9">
        <v>3</v>
      </c>
      <c r="I988" s="9">
        <v>12</v>
      </c>
      <c r="J988" s="9">
        <f>D987+36*I988/1000</f>
        <v>4.1320000000000006</v>
      </c>
      <c r="K988" s="7" t="str">
        <f t="shared" si="635"/>
        <v/>
      </c>
      <c r="L988" s="7" t="str">
        <f t="shared" si="636"/>
        <v/>
      </c>
      <c r="M988" s="7" t="str">
        <f t="shared" si="637"/>
        <v/>
      </c>
      <c r="N988" s="7">
        <f t="shared" si="638"/>
        <v>12.396000000000001</v>
      </c>
      <c r="O988" s="7" t="str">
        <f t="shared" si="639"/>
        <v/>
      </c>
      <c r="P988" s="7" t="str">
        <f t="shared" si="640"/>
        <v/>
      </c>
      <c r="Q988" s="7" t="str">
        <f t="shared" si="641"/>
        <v/>
      </c>
      <c r="S988" s="7" t="str">
        <f t="shared" si="642"/>
        <v/>
      </c>
    </row>
    <row r="989" spans="1:19">
      <c r="A989" s="46" t="s">
        <v>75</v>
      </c>
      <c r="B989" s="23"/>
      <c r="C989" s="53"/>
      <c r="D989" s="55"/>
      <c r="E989" s="55"/>
      <c r="F989" s="55"/>
      <c r="G989" s="9">
        <v>1</v>
      </c>
      <c r="H989" s="9">
        <v>3</v>
      </c>
      <c r="I989" s="9">
        <v>10</v>
      </c>
      <c r="J989" s="9">
        <f>$D$179+36*I989/1000</f>
        <v>5.16</v>
      </c>
      <c r="K989" s="7" t="str">
        <f t="shared" si="635"/>
        <v/>
      </c>
      <c r="L989" s="7" t="str">
        <f t="shared" si="636"/>
        <v/>
      </c>
      <c r="M989" s="7">
        <f t="shared" si="637"/>
        <v>15.48</v>
      </c>
      <c r="N989" s="7" t="str">
        <f t="shared" si="638"/>
        <v/>
      </c>
      <c r="O989" s="7" t="str">
        <f t="shared" si="639"/>
        <v/>
      </c>
      <c r="P989" s="7" t="str">
        <f t="shared" si="640"/>
        <v/>
      </c>
      <c r="Q989" s="7" t="str">
        <f t="shared" si="641"/>
        <v/>
      </c>
      <c r="S989" s="7" t="str">
        <f t="shared" si="642"/>
        <v/>
      </c>
    </row>
    <row r="990" spans="1:19">
      <c r="A990" s="46" t="s">
        <v>76</v>
      </c>
      <c r="B990" s="23"/>
      <c r="C990" s="53"/>
      <c r="D990" s="55"/>
      <c r="E990" s="55"/>
      <c r="F990" s="55"/>
      <c r="G990" s="9">
        <v>1</v>
      </c>
      <c r="H990" s="9">
        <f>ROUNDUP((D987/0.2)+10,0)</f>
        <v>29</v>
      </c>
      <c r="I990" s="9">
        <v>6</v>
      </c>
      <c r="J990" s="9">
        <f>2*(E987-0.025+F987-0.025)+20.5*I990/1000</f>
        <v>1.2230000000000001</v>
      </c>
      <c r="K990" s="7">
        <f t="shared" si="635"/>
        <v>35.467000000000006</v>
      </c>
      <c r="L990" s="7" t="str">
        <f t="shared" si="636"/>
        <v/>
      </c>
      <c r="M990" s="7" t="str">
        <f t="shared" si="637"/>
        <v/>
      </c>
      <c r="N990" s="7" t="str">
        <f t="shared" si="638"/>
        <v/>
      </c>
      <c r="O990" s="7" t="str">
        <f t="shared" si="639"/>
        <v/>
      </c>
      <c r="P990" s="7" t="str">
        <f t="shared" si="640"/>
        <v/>
      </c>
      <c r="Q990" s="7" t="str">
        <f t="shared" si="641"/>
        <v/>
      </c>
      <c r="S990" s="7" t="str">
        <f t="shared" si="642"/>
        <v/>
      </c>
    </row>
    <row r="991" spans="1:19">
      <c r="A991" s="46" t="s">
        <v>77</v>
      </c>
      <c r="B991" s="23"/>
      <c r="C991" s="53"/>
      <c r="D991" s="55"/>
      <c r="E991" s="55"/>
      <c r="F991" s="55"/>
      <c r="G991" s="9">
        <v>1</v>
      </c>
      <c r="H991" s="9">
        <f>ROUNDUP((D987/0.2)+10,0)</f>
        <v>29</v>
      </c>
      <c r="I991" s="9">
        <v>6</v>
      </c>
      <c r="J991" s="9">
        <f>2*(E987-0.025+F987-0.025)+22*I991*4/1000</f>
        <v>1.6280000000000001</v>
      </c>
      <c r="K991" s="7">
        <f t="shared" si="635"/>
        <v>47.212000000000003</v>
      </c>
      <c r="L991" s="7" t="str">
        <f t="shared" si="636"/>
        <v/>
      </c>
      <c r="M991" s="7" t="str">
        <f t="shared" si="637"/>
        <v/>
      </c>
      <c r="N991" s="7" t="str">
        <f t="shared" si="638"/>
        <v/>
      </c>
      <c r="O991" s="7" t="str">
        <f t="shared" si="639"/>
        <v/>
      </c>
      <c r="P991" s="7" t="str">
        <f t="shared" si="640"/>
        <v/>
      </c>
      <c r="Q991" s="7" t="str">
        <f t="shared" si="641"/>
        <v/>
      </c>
      <c r="S991" s="7" t="str">
        <f t="shared" si="642"/>
        <v/>
      </c>
    </row>
    <row r="992" spans="1:19">
      <c r="A992" s="47" t="s">
        <v>8</v>
      </c>
      <c r="B992" s="23" t="s">
        <v>69</v>
      </c>
      <c r="C992" s="53" t="s">
        <v>14</v>
      </c>
      <c r="D992" s="55">
        <v>2.38</v>
      </c>
      <c r="E992" s="55">
        <v>0.2</v>
      </c>
      <c r="F992" s="55">
        <v>0.4</v>
      </c>
      <c r="K992" s="7" t="str">
        <f t="shared" si="635"/>
        <v/>
      </c>
      <c r="L992" s="7" t="str">
        <f t="shared" si="636"/>
        <v/>
      </c>
      <c r="M992" s="7" t="str">
        <f t="shared" si="637"/>
        <v/>
      </c>
      <c r="N992" s="7" t="str">
        <f t="shared" si="638"/>
        <v/>
      </c>
      <c r="O992" s="7" t="str">
        <f t="shared" si="639"/>
        <v/>
      </c>
      <c r="P992" s="7" t="str">
        <f t="shared" si="640"/>
        <v/>
      </c>
      <c r="Q992" s="7" t="str">
        <f t="shared" si="641"/>
        <v/>
      </c>
      <c r="S992" s="7" t="str">
        <f t="shared" si="642"/>
        <v/>
      </c>
    </row>
    <row r="993" spans="1:19">
      <c r="A993" s="46" t="s">
        <v>74</v>
      </c>
      <c r="B993" s="23"/>
      <c r="C993" s="53"/>
      <c r="D993" s="55"/>
      <c r="E993" s="55"/>
      <c r="F993" s="55"/>
      <c r="G993" s="9">
        <v>1</v>
      </c>
      <c r="H993" s="9">
        <v>3</v>
      </c>
      <c r="I993" s="9">
        <v>12</v>
      </c>
      <c r="J993" s="9">
        <f>D992+36*I993/1000</f>
        <v>2.8119999999999998</v>
      </c>
      <c r="K993" s="7" t="str">
        <f t="shared" si="635"/>
        <v/>
      </c>
      <c r="L993" s="7" t="str">
        <f t="shared" si="636"/>
        <v/>
      </c>
      <c r="M993" s="7" t="str">
        <f t="shared" si="637"/>
        <v/>
      </c>
      <c r="N993" s="7">
        <f t="shared" si="638"/>
        <v>8.4359999999999999</v>
      </c>
      <c r="O993" s="7" t="str">
        <f t="shared" si="639"/>
        <v/>
      </c>
      <c r="P993" s="7" t="str">
        <f t="shared" si="640"/>
        <v/>
      </c>
      <c r="Q993" s="7" t="str">
        <f t="shared" si="641"/>
        <v/>
      </c>
      <c r="S993" s="7" t="str">
        <f t="shared" si="642"/>
        <v/>
      </c>
    </row>
    <row r="994" spans="1:19">
      <c r="A994" s="46" t="s">
        <v>75</v>
      </c>
      <c r="B994" s="23"/>
      <c r="C994" s="53"/>
      <c r="D994" s="55"/>
      <c r="E994" s="55"/>
      <c r="F994" s="55"/>
      <c r="G994" s="9">
        <v>1</v>
      </c>
      <c r="H994" s="9">
        <v>3</v>
      </c>
      <c r="I994" s="9">
        <v>10</v>
      </c>
      <c r="J994" s="9">
        <f>$D$179+36*I994/1000</f>
        <v>5.16</v>
      </c>
      <c r="K994" s="7" t="str">
        <f t="shared" si="635"/>
        <v/>
      </c>
      <c r="L994" s="7" t="str">
        <f t="shared" si="636"/>
        <v/>
      </c>
      <c r="M994" s="7">
        <f t="shared" si="637"/>
        <v>15.48</v>
      </c>
      <c r="N994" s="7" t="str">
        <f t="shared" si="638"/>
        <v/>
      </c>
      <c r="O994" s="7" t="str">
        <f t="shared" si="639"/>
        <v/>
      </c>
      <c r="P994" s="7" t="str">
        <f t="shared" si="640"/>
        <v/>
      </c>
      <c r="Q994" s="7" t="str">
        <f t="shared" si="641"/>
        <v/>
      </c>
      <c r="S994" s="7" t="str">
        <f t="shared" si="642"/>
        <v/>
      </c>
    </row>
    <row r="995" spans="1:19">
      <c r="A995" s="46" t="s">
        <v>76</v>
      </c>
      <c r="B995" s="23"/>
      <c r="C995" s="53"/>
      <c r="D995" s="55"/>
      <c r="E995" s="55"/>
      <c r="F995" s="55"/>
      <c r="G995" s="9">
        <v>1</v>
      </c>
      <c r="H995" s="9">
        <f>ROUNDUP((D992/0.2)+10,0)</f>
        <v>22</v>
      </c>
      <c r="I995" s="9">
        <v>6</v>
      </c>
      <c r="J995" s="9">
        <f>2*(E992-0.025+F992-0.025)+20.5*I995/1000</f>
        <v>1.2230000000000001</v>
      </c>
      <c r="K995" s="7">
        <f t="shared" si="635"/>
        <v>26.906000000000002</v>
      </c>
      <c r="L995" s="7" t="str">
        <f t="shared" si="636"/>
        <v/>
      </c>
      <c r="M995" s="7" t="str">
        <f t="shared" si="637"/>
        <v/>
      </c>
      <c r="N995" s="7" t="str">
        <f t="shared" si="638"/>
        <v/>
      </c>
      <c r="O995" s="7" t="str">
        <f t="shared" si="639"/>
        <v/>
      </c>
      <c r="P995" s="7" t="str">
        <f t="shared" si="640"/>
        <v/>
      </c>
      <c r="Q995" s="7" t="str">
        <f t="shared" si="641"/>
        <v/>
      </c>
      <c r="S995" s="7" t="str">
        <f t="shared" si="642"/>
        <v/>
      </c>
    </row>
    <row r="996" spans="1:19">
      <c r="A996" s="46" t="s">
        <v>77</v>
      </c>
      <c r="B996" s="23"/>
      <c r="C996" s="53"/>
      <c r="D996" s="55"/>
      <c r="E996" s="55"/>
      <c r="F996" s="55"/>
      <c r="G996" s="9">
        <v>1</v>
      </c>
      <c r="H996" s="9">
        <f>ROUNDUP((D992/0.2)+10,0)</f>
        <v>22</v>
      </c>
      <c r="I996" s="9">
        <v>6</v>
      </c>
      <c r="J996" s="9">
        <f>2*(E992-0.025+F992-0.025)+22*I996*4/1000</f>
        <v>1.6280000000000001</v>
      </c>
      <c r="K996" s="7">
        <f t="shared" si="635"/>
        <v>35.816000000000003</v>
      </c>
      <c r="L996" s="7" t="str">
        <f t="shared" si="636"/>
        <v/>
      </c>
      <c r="M996" s="7" t="str">
        <f t="shared" si="637"/>
        <v/>
      </c>
      <c r="N996" s="7" t="str">
        <f t="shared" si="638"/>
        <v/>
      </c>
      <c r="O996" s="7" t="str">
        <f t="shared" si="639"/>
        <v/>
      </c>
      <c r="P996" s="7" t="str">
        <f t="shared" si="640"/>
        <v/>
      </c>
      <c r="Q996" s="7" t="str">
        <f t="shared" si="641"/>
        <v/>
      </c>
      <c r="S996" s="7" t="str">
        <f t="shared" si="642"/>
        <v/>
      </c>
    </row>
    <row r="997" spans="1:19">
      <c r="A997" s="47" t="s">
        <v>9</v>
      </c>
      <c r="B997" s="23" t="s">
        <v>70</v>
      </c>
      <c r="C997" s="53" t="s">
        <v>116</v>
      </c>
      <c r="D997" s="55">
        <v>4.78</v>
      </c>
      <c r="E997" s="55">
        <v>0.2</v>
      </c>
      <c r="F997" s="55">
        <v>0.4</v>
      </c>
      <c r="K997" s="7" t="str">
        <f t="shared" si="635"/>
        <v/>
      </c>
      <c r="L997" s="7" t="str">
        <f t="shared" si="636"/>
        <v/>
      </c>
      <c r="M997" s="7" t="str">
        <f t="shared" si="637"/>
        <v/>
      </c>
      <c r="N997" s="7" t="str">
        <f t="shared" si="638"/>
        <v/>
      </c>
      <c r="O997" s="7" t="str">
        <f t="shared" si="639"/>
        <v/>
      </c>
      <c r="P997" s="7" t="str">
        <f t="shared" si="640"/>
        <v/>
      </c>
      <c r="Q997" s="7" t="str">
        <f t="shared" si="641"/>
        <v/>
      </c>
      <c r="S997" s="7" t="str">
        <f t="shared" si="642"/>
        <v/>
      </c>
    </row>
    <row r="998" spans="1:19">
      <c r="A998" s="46" t="s">
        <v>74</v>
      </c>
      <c r="B998" s="23"/>
      <c r="C998" s="53"/>
      <c r="D998" s="55"/>
      <c r="E998" s="55"/>
      <c r="F998" s="55"/>
      <c r="G998" s="9">
        <v>1</v>
      </c>
      <c r="H998" s="9">
        <v>3</v>
      </c>
      <c r="I998" s="9">
        <v>12</v>
      </c>
      <c r="J998" s="9">
        <f>D997+36*I998/1000</f>
        <v>5.2120000000000006</v>
      </c>
      <c r="K998" s="7" t="str">
        <f t="shared" si="635"/>
        <v/>
      </c>
      <c r="L998" s="7" t="str">
        <f t="shared" si="636"/>
        <v/>
      </c>
      <c r="M998" s="7" t="str">
        <f t="shared" si="637"/>
        <v/>
      </c>
      <c r="N998" s="7">
        <f t="shared" si="638"/>
        <v>15.636000000000003</v>
      </c>
      <c r="O998" s="7" t="str">
        <f t="shared" si="639"/>
        <v/>
      </c>
      <c r="P998" s="7" t="str">
        <f t="shared" si="640"/>
        <v/>
      </c>
      <c r="Q998" s="7" t="str">
        <f t="shared" si="641"/>
        <v/>
      </c>
      <c r="S998" s="7" t="str">
        <f t="shared" si="642"/>
        <v/>
      </c>
    </row>
    <row r="999" spans="1:19">
      <c r="A999" s="46" t="s">
        <v>75</v>
      </c>
      <c r="B999" s="23"/>
      <c r="C999" s="53"/>
      <c r="D999" s="55"/>
      <c r="E999" s="55"/>
      <c r="F999" s="55"/>
      <c r="G999" s="9">
        <v>1</v>
      </c>
      <c r="H999" s="9">
        <v>3</v>
      </c>
      <c r="I999" s="9">
        <v>10</v>
      </c>
      <c r="J999" s="9">
        <f>$D$179+36*I999/1000</f>
        <v>5.16</v>
      </c>
      <c r="K999" s="7" t="str">
        <f t="shared" si="635"/>
        <v/>
      </c>
      <c r="L999" s="7" t="str">
        <f t="shared" si="636"/>
        <v/>
      </c>
      <c r="M999" s="7">
        <f t="shared" si="637"/>
        <v>15.48</v>
      </c>
      <c r="N999" s="7" t="str">
        <f t="shared" si="638"/>
        <v/>
      </c>
      <c r="O999" s="7" t="str">
        <f t="shared" si="639"/>
        <v/>
      </c>
      <c r="P999" s="7" t="str">
        <f t="shared" si="640"/>
        <v/>
      </c>
      <c r="Q999" s="7" t="str">
        <f t="shared" si="641"/>
        <v/>
      </c>
      <c r="S999" s="7" t="str">
        <f t="shared" si="642"/>
        <v/>
      </c>
    </row>
    <row r="1000" spans="1:19">
      <c r="A1000" s="46" t="s">
        <v>76</v>
      </c>
      <c r="B1000" s="23"/>
      <c r="C1000" s="53"/>
      <c r="D1000" s="55"/>
      <c r="E1000" s="55"/>
      <c r="F1000" s="55"/>
      <c r="G1000" s="9">
        <v>1</v>
      </c>
      <c r="H1000" s="9">
        <f>ROUNDUP((D997/0.2)+10,0)</f>
        <v>34</v>
      </c>
      <c r="I1000" s="9">
        <v>6</v>
      </c>
      <c r="J1000" s="9">
        <f>2*(E997-0.025+F997-0.025)+20.5*I1000/1000</f>
        <v>1.2230000000000001</v>
      </c>
      <c r="K1000" s="7">
        <f t="shared" si="635"/>
        <v>41.582000000000001</v>
      </c>
      <c r="L1000" s="7" t="str">
        <f t="shared" si="636"/>
        <v/>
      </c>
      <c r="M1000" s="7" t="str">
        <f t="shared" si="637"/>
        <v/>
      </c>
      <c r="N1000" s="7" t="str">
        <f t="shared" si="638"/>
        <v/>
      </c>
      <c r="O1000" s="7" t="str">
        <f t="shared" si="639"/>
        <v/>
      </c>
      <c r="P1000" s="7" t="str">
        <f t="shared" si="640"/>
        <v/>
      </c>
      <c r="Q1000" s="7" t="str">
        <f t="shared" si="641"/>
        <v/>
      </c>
      <c r="S1000" s="7" t="str">
        <f t="shared" si="642"/>
        <v/>
      </c>
    </row>
    <row r="1001" spans="1:19">
      <c r="A1001" s="46" t="s">
        <v>77</v>
      </c>
      <c r="B1001" s="23"/>
      <c r="C1001" s="53"/>
      <c r="D1001" s="55"/>
      <c r="E1001" s="55"/>
      <c r="F1001" s="55"/>
      <c r="G1001" s="9">
        <v>1</v>
      </c>
      <c r="H1001" s="9">
        <f>ROUNDUP((D997/0.2)+10,0)</f>
        <v>34</v>
      </c>
      <c r="I1001" s="9">
        <v>6</v>
      </c>
      <c r="J1001" s="9">
        <f>2*(E997-0.025+F997-0.025)+22*I1001*4/1000</f>
        <v>1.6280000000000001</v>
      </c>
      <c r="K1001" s="7">
        <f t="shared" si="635"/>
        <v>55.352000000000004</v>
      </c>
      <c r="L1001" s="7" t="str">
        <f t="shared" si="636"/>
        <v/>
      </c>
      <c r="M1001" s="7" t="str">
        <f t="shared" si="637"/>
        <v/>
      </c>
      <c r="N1001" s="7" t="str">
        <f t="shared" si="638"/>
        <v/>
      </c>
      <c r="O1001" s="7" t="str">
        <f t="shared" si="639"/>
        <v/>
      </c>
      <c r="P1001" s="7" t="str">
        <f t="shared" si="640"/>
        <v/>
      </c>
      <c r="Q1001" s="7" t="str">
        <f t="shared" si="641"/>
        <v/>
      </c>
      <c r="S1001" s="7" t="str">
        <f t="shared" si="642"/>
        <v/>
      </c>
    </row>
    <row r="1002" spans="1:19">
      <c r="A1002" s="47" t="s">
        <v>9</v>
      </c>
      <c r="B1002" s="23" t="s">
        <v>110</v>
      </c>
      <c r="C1002" s="53" t="s">
        <v>116</v>
      </c>
      <c r="D1002" s="55">
        <v>2.65</v>
      </c>
      <c r="E1002" s="55">
        <v>0.2</v>
      </c>
      <c r="F1002" s="55">
        <v>0.4</v>
      </c>
      <c r="K1002" s="7" t="str">
        <f t="shared" si="635"/>
        <v/>
      </c>
      <c r="L1002" s="7" t="str">
        <f t="shared" si="636"/>
        <v/>
      </c>
      <c r="M1002" s="7" t="str">
        <f t="shared" si="637"/>
        <v/>
      </c>
      <c r="N1002" s="7" t="str">
        <f t="shared" si="638"/>
        <v/>
      </c>
      <c r="O1002" s="7" t="str">
        <f t="shared" si="639"/>
        <v/>
      </c>
      <c r="P1002" s="7" t="str">
        <f t="shared" si="640"/>
        <v/>
      </c>
      <c r="Q1002" s="7" t="str">
        <f t="shared" si="641"/>
        <v/>
      </c>
      <c r="S1002" s="7" t="str">
        <f t="shared" si="642"/>
        <v/>
      </c>
    </row>
    <row r="1003" spans="1:19">
      <c r="A1003" s="46" t="s">
        <v>74</v>
      </c>
      <c r="B1003" s="23"/>
      <c r="C1003" s="53"/>
      <c r="D1003" s="55"/>
      <c r="E1003" s="55"/>
      <c r="F1003" s="55"/>
      <c r="G1003" s="9">
        <v>1</v>
      </c>
      <c r="H1003" s="9">
        <v>3</v>
      </c>
      <c r="I1003" s="9">
        <v>12</v>
      </c>
      <c r="J1003" s="9">
        <f>D1002+36*I1003/1000</f>
        <v>3.0819999999999999</v>
      </c>
      <c r="K1003" s="7" t="str">
        <f t="shared" si="635"/>
        <v/>
      </c>
      <c r="L1003" s="7" t="str">
        <f t="shared" si="636"/>
        <v/>
      </c>
      <c r="M1003" s="7" t="str">
        <f t="shared" si="637"/>
        <v/>
      </c>
      <c r="N1003" s="7">
        <f t="shared" si="638"/>
        <v>9.2459999999999987</v>
      </c>
      <c r="O1003" s="7" t="str">
        <f t="shared" si="639"/>
        <v/>
      </c>
      <c r="P1003" s="7" t="str">
        <f t="shared" si="640"/>
        <v/>
      </c>
      <c r="Q1003" s="7" t="str">
        <f t="shared" si="641"/>
        <v/>
      </c>
      <c r="S1003" s="7" t="str">
        <f t="shared" si="642"/>
        <v/>
      </c>
    </row>
    <row r="1004" spans="1:19">
      <c r="A1004" s="46" t="s">
        <v>75</v>
      </c>
      <c r="B1004" s="23"/>
      <c r="C1004" s="53"/>
      <c r="D1004" s="55"/>
      <c r="E1004" s="55"/>
      <c r="F1004" s="55"/>
      <c r="G1004" s="9">
        <v>1</v>
      </c>
      <c r="H1004" s="9">
        <v>3</v>
      </c>
      <c r="I1004" s="9">
        <v>10</v>
      </c>
      <c r="J1004" s="9">
        <f>$D$179+36*I1004/1000</f>
        <v>5.16</v>
      </c>
      <c r="K1004" s="7" t="str">
        <f t="shared" si="635"/>
        <v/>
      </c>
      <c r="L1004" s="7" t="str">
        <f t="shared" si="636"/>
        <v/>
      </c>
      <c r="M1004" s="7">
        <f t="shared" si="637"/>
        <v>15.48</v>
      </c>
      <c r="N1004" s="7" t="str">
        <f t="shared" si="638"/>
        <v/>
      </c>
      <c r="O1004" s="7" t="str">
        <f t="shared" si="639"/>
        <v/>
      </c>
      <c r="P1004" s="7" t="str">
        <f t="shared" si="640"/>
        <v/>
      </c>
      <c r="Q1004" s="7" t="str">
        <f t="shared" si="641"/>
        <v/>
      </c>
      <c r="S1004" s="7" t="str">
        <f t="shared" si="642"/>
        <v/>
      </c>
    </row>
    <row r="1005" spans="1:19">
      <c r="A1005" s="46" t="s">
        <v>76</v>
      </c>
      <c r="B1005" s="23"/>
      <c r="C1005" s="53"/>
      <c r="D1005" s="55"/>
      <c r="E1005" s="55"/>
      <c r="F1005" s="55"/>
      <c r="G1005" s="9">
        <v>1</v>
      </c>
      <c r="H1005" s="9">
        <f>ROUNDUP((D1002/0.2)+10,0)</f>
        <v>24</v>
      </c>
      <c r="I1005" s="9">
        <v>6</v>
      </c>
      <c r="J1005" s="9">
        <f>2*(E1002-0.025+F1002-0.025)+20.5*I1005/1000</f>
        <v>1.2230000000000001</v>
      </c>
      <c r="K1005" s="7">
        <f t="shared" si="635"/>
        <v>29.352000000000004</v>
      </c>
      <c r="L1005" s="7" t="str">
        <f t="shared" si="636"/>
        <v/>
      </c>
      <c r="M1005" s="7" t="str">
        <f t="shared" si="637"/>
        <v/>
      </c>
      <c r="N1005" s="7" t="str">
        <f t="shared" si="638"/>
        <v/>
      </c>
      <c r="O1005" s="7" t="str">
        <f t="shared" si="639"/>
        <v/>
      </c>
      <c r="P1005" s="7" t="str">
        <f t="shared" si="640"/>
        <v/>
      </c>
      <c r="Q1005" s="7" t="str">
        <f t="shared" si="641"/>
        <v/>
      </c>
      <c r="S1005" s="7" t="str">
        <f t="shared" si="642"/>
        <v/>
      </c>
    </row>
    <row r="1006" spans="1:19">
      <c r="A1006" s="46" t="s">
        <v>77</v>
      </c>
      <c r="B1006" s="23"/>
      <c r="C1006" s="53"/>
      <c r="D1006" s="55"/>
      <c r="E1006" s="55"/>
      <c r="F1006" s="55"/>
      <c r="G1006" s="9">
        <v>1</v>
      </c>
      <c r="H1006" s="9">
        <f>ROUNDUP((D1002/0.2)+10,0)</f>
        <v>24</v>
      </c>
      <c r="I1006" s="9">
        <v>6</v>
      </c>
      <c r="J1006" s="9">
        <f>2*(E1002-0.025+F1002-0.025)+22*I1006*4/1000</f>
        <v>1.6280000000000001</v>
      </c>
      <c r="K1006" s="7">
        <f t="shared" si="635"/>
        <v>39.072000000000003</v>
      </c>
      <c r="L1006" s="7" t="str">
        <f t="shared" si="636"/>
        <v/>
      </c>
      <c r="M1006" s="7" t="str">
        <f t="shared" si="637"/>
        <v/>
      </c>
      <c r="N1006" s="7" t="str">
        <f t="shared" si="638"/>
        <v/>
      </c>
      <c r="O1006" s="7" t="str">
        <f t="shared" si="639"/>
        <v/>
      </c>
      <c r="P1006" s="7" t="str">
        <f t="shared" si="640"/>
        <v/>
      </c>
      <c r="Q1006" s="7" t="str">
        <f t="shared" si="641"/>
        <v/>
      </c>
      <c r="S1006" s="7" t="str">
        <f t="shared" si="642"/>
        <v/>
      </c>
    </row>
    <row r="1007" spans="1:19" s="45" customFormat="1">
      <c r="A1007" s="61" t="s">
        <v>25</v>
      </c>
      <c r="B1007" s="62" t="s">
        <v>91</v>
      </c>
      <c r="C1007" s="53" t="s">
        <v>14</v>
      </c>
      <c r="D1007" s="64">
        <f>3.82+0.4+0.82</f>
        <v>5.04</v>
      </c>
      <c r="E1007" s="64">
        <v>0.2</v>
      </c>
      <c r="F1007" s="64">
        <v>0.4</v>
      </c>
      <c r="G1007" s="44"/>
      <c r="H1007" s="44"/>
      <c r="I1007" s="44"/>
      <c r="J1007" s="44"/>
      <c r="K1007" s="65" t="str">
        <f t="shared" si="635"/>
        <v/>
      </c>
      <c r="L1007" s="65" t="str">
        <f t="shared" si="636"/>
        <v/>
      </c>
      <c r="M1007" s="65" t="str">
        <f t="shared" si="637"/>
        <v/>
      </c>
      <c r="N1007" s="65" t="str">
        <f t="shared" si="638"/>
        <v/>
      </c>
      <c r="O1007" s="65" t="str">
        <f t="shared" si="639"/>
        <v/>
      </c>
      <c r="P1007" s="65" t="str">
        <f t="shared" si="640"/>
        <v/>
      </c>
      <c r="Q1007" s="65" t="str">
        <f t="shared" si="641"/>
        <v/>
      </c>
      <c r="R1007" s="65"/>
      <c r="S1007" s="65" t="str">
        <f t="shared" si="642"/>
        <v/>
      </c>
    </row>
    <row r="1008" spans="1:19">
      <c r="A1008" s="46" t="s">
        <v>74</v>
      </c>
      <c r="B1008" s="23"/>
      <c r="C1008" s="53"/>
      <c r="D1008" s="55"/>
      <c r="E1008" s="55"/>
      <c r="F1008" s="55"/>
      <c r="G1008" s="9">
        <v>1</v>
      </c>
      <c r="H1008" s="9">
        <v>3</v>
      </c>
      <c r="I1008" s="9">
        <v>12</v>
      </c>
      <c r="J1008" s="9">
        <f>D1007+36*I1008/1000</f>
        <v>5.4720000000000004</v>
      </c>
      <c r="K1008" s="7" t="str">
        <f t="shared" si="635"/>
        <v/>
      </c>
      <c r="L1008" s="7" t="str">
        <f t="shared" si="636"/>
        <v/>
      </c>
      <c r="M1008" s="7" t="str">
        <f t="shared" si="637"/>
        <v/>
      </c>
      <c r="N1008" s="7">
        <f t="shared" si="638"/>
        <v>16.416</v>
      </c>
      <c r="O1008" s="7" t="str">
        <f t="shared" si="639"/>
        <v/>
      </c>
      <c r="P1008" s="7" t="str">
        <f t="shared" si="640"/>
        <v/>
      </c>
      <c r="Q1008" s="7" t="str">
        <f t="shared" si="641"/>
        <v/>
      </c>
      <c r="S1008" s="7" t="str">
        <f t="shared" si="642"/>
        <v/>
      </c>
    </row>
    <row r="1009" spans="1:19">
      <c r="A1009" s="46" t="s">
        <v>75</v>
      </c>
      <c r="B1009" s="23"/>
      <c r="C1009" s="53"/>
      <c r="D1009" s="55"/>
      <c r="E1009" s="55"/>
      <c r="F1009" s="55"/>
      <c r="G1009" s="9">
        <v>1</v>
      </c>
      <c r="H1009" s="9">
        <v>3</v>
      </c>
      <c r="I1009" s="9">
        <v>10</v>
      </c>
      <c r="J1009" s="9">
        <f>$D$179+36*I1009/1000</f>
        <v>5.16</v>
      </c>
      <c r="K1009" s="7" t="str">
        <f t="shared" si="635"/>
        <v/>
      </c>
      <c r="L1009" s="7" t="str">
        <f t="shared" si="636"/>
        <v/>
      </c>
      <c r="M1009" s="7">
        <f t="shared" si="637"/>
        <v>15.48</v>
      </c>
      <c r="N1009" s="7" t="str">
        <f t="shared" si="638"/>
        <v/>
      </c>
      <c r="O1009" s="7" t="str">
        <f t="shared" si="639"/>
        <v/>
      </c>
      <c r="P1009" s="7" t="str">
        <f t="shared" si="640"/>
        <v/>
      </c>
      <c r="Q1009" s="7" t="str">
        <f t="shared" si="641"/>
        <v/>
      </c>
      <c r="S1009" s="7" t="str">
        <f t="shared" si="642"/>
        <v/>
      </c>
    </row>
    <row r="1010" spans="1:19">
      <c r="A1010" s="46" t="s">
        <v>76</v>
      </c>
      <c r="B1010" s="23"/>
      <c r="C1010" s="53"/>
      <c r="D1010" s="55"/>
      <c r="E1010" s="55"/>
      <c r="F1010" s="55"/>
      <c r="G1010" s="9">
        <v>1</v>
      </c>
      <c r="H1010" s="9">
        <f>ROUNDUP((D1007/0.2)+10,0)</f>
        <v>36</v>
      </c>
      <c r="I1010" s="9">
        <v>6</v>
      </c>
      <c r="J1010" s="9">
        <f>2*(E1007-0.025+F1007-0.025)+20.5*I1010/1000</f>
        <v>1.2230000000000001</v>
      </c>
      <c r="K1010" s="7">
        <f t="shared" si="635"/>
        <v>44.028000000000006</v>
      </c>
      <c r="L1010" s="7" t="str">
        <f t="shared" si="636"/>
        <v/>
      </c>
      <c r="M1010" s="7" t="str">
        <f t="shared" si="637"/>
        <v/>
      </c>
      <c r="N1010" s="7" t="str">
        <f t="shared" si="638"/>
        <v/>
      </c>
      <c r="O1010" s="7" t="str">
        <f t="shared" si="639"/>
        <v/>
      </c>
      <c r="P1010" s="7" t="str">
        <f t="shared" si="640"/>
        <v/>
      </c>
      <c r="Q1010" s="7" t="str">
        <f t="shared" si="641"/>
        <v/>
      </c>
      <c r="S1010" s="7" t="str">
        <f t="shared" si="642"/>
        <v/>
      </c>
    </row>
    <row r="1011" spans="1:19">
      <c r="A1011" s="46" t="s">
        <v>77</v>
      </c>
      <c r="B1011" s="23"/>
      <c r="C1011" s="53"/>
      <c r="D1011" s="55"/>
      <c r="E1011" s="55"/>
      <c r="F1011" s="55"/>
      <c r="G1011" s="9">
        <v>1</v>
      </c>
      <c r="H1011" s="9">
        <f>ROUNDUP((D1007/0.2)+10,0)</f>
        <v>36</v>
      </c>
      <c r="I1011" s="9">
        <v>6</v>
      </c>
      <c r="J1011" s="9">
        <f>2*(E1007-0.025+F1007-0.025)+22*I1011*4/1000</f>
        <v>1.6280000000000001</v>
      </c>
      <c r="K1011" s="7">
        <f t="shared" si="635"/>
        <v>58.608000000000004</v>
      </c>
      <c r="L1011" s="7" t="str">
        <f t="shared" si="636"/>
        <v/>
      </c>
      <c r="M1011" s="7" t="str">
        <f t="shared" si="637"/>
        <v/>
      </c>
      <c r="N1011" s="7" t="str">
        <f t="shared" si="638"/>
        <v/>
      </c>
      <c r="O1011" s="7" t="str">
        <f t="shared" si="639"/>
        <v/>
      </c>
      <c r="P1011" s="7" t="str">
        <f t="shared" si="640"/>
        <v/>
      </c>
      <c r="Q1011" s="7" t="str">
        <f t="shared" si="641"/>
        <v/>
      </c>
      <c r="S1011" s="7" t="str">
        <f t="shared" si="642"/>
        <v/>
      </c>
    </row>
    <row r="1012" spans="1:19">
      <c r="A1012" s="53" t="s">
        <v>25</v>
      </c>
      <c r="B1012" s="23" t="s">
        <v>79</v>
      </c>
      <c r="C1012" s="53" t="s">
        <v>14</v>
      </c>
      <c r="D1012" s="55">
        <v>5.04</v>
      </c>
      <c r="E1012" s="55">
        <v>0.2</v>
      </c>
      <c r="F1012" s="55">
        <v>0.4</v>
      </c>
      <c r="K1012" s="7" t="str">
        <f t="shared" si="635"/>
        <v/>
      </c>
      <c r="L1012" s="7" t="str">
        <f t="shared" si="636"/>
        <v/>
      </c>
      <c r="M1012" s="7" t="str">
        <f t="shared" si="637"/>
        <v/>
      </c>
      <c r="N1012" s="7" t="str">
        <f t="shared" si="638"/>
        <v/>
      </c>
      <c r="O1012" s="7" t="str">
        <f t="shared" si="639"/>
        <v/>
      </c>
      <c r="P1012" s="7" t="str">
        <f t="shared" si="640"/>
        <v/>
      </c>
      <c r="Q1012" s="7" t="str">
        <f t="shared" si="641"/>
        <v/>
      </c>
      <c r="S1012" s="7" t="str">
        <f t="shared" si="642"/>
        <v/>
      </c>
    </row>
    <row r="1013" spans="1:19">
      <c r="A1013" s="46" t="s">
        <v>74</v>
      </c>
      <c r="B1013" s="23"/>
      <c r="C1013" s="53"/>
      <c r="D1013" s="55"/>
      <c r="E1013" s="55"/>
      <c r="F1013" s="55"/>
      <c r="G1013" s="9">
        <v>1</v>
      </c>
      <c r="H1013" s="9">
        <v>3</v>
      </c>
      <c r="I1013" s="9">
        <v>12</v>
      </c>
      <c r="J1013" s="9">
        <f>D1012+36*I1013/1000</f>
        <v>5.4720000000000004</v>
      </c>
      <c r="K1013" s="7" t="str">
        <f t="shared" si="635"/>
        <v/>
      </c>
      <c r="L1013" s="7" t="str">
        <f t="shared" si="636"/>
        <v/>
      </c>
      <c r="M1013" s="7" t="str">
        <f t="shared" si="637"/>
        <v/>
      </c>
      <c r="N1013" s="7">
        <f t="shared" si="638"/>
        <v>16.416</v>
      </c>
      <c r="O1013" s="7" t="str">
        <f t="shared" si="639"/>
        <v/>
      </c>
      <c r="P1013" s="7" t="str">
        <f t="shared" si="640"/>
        <v/>
      </c>
      <c r="Q1013" s="7" t="str">
        <f t="shared" si="641"/>
        <v/>
      </c>
      <c r="S1013" s="7" t="str">
        <f t="shared" si="642"/>
        <v/>
      </c>
    </row>
    <row r="1014" spans="1:19">
      <c r="A1014" s="46" t="s">
        <v>75</v>
      </c>
      <c r="B1014" s="23"/>
      <c r="C1014" s="53"/>
      <c r="D1014" s="55"/>
      <c r="E1014" s="55"/>
      <c r="F1014" s="55"/>
      <c r="G1014" s="9">
        <v>1</v>
      </c>
      <c r="H1014" s="9">
        <v>3</v>
      </c>
      <c r="I1014" s="9">
        <v>10</v>
      </c>
      <c r="J1014" s="9">
        <f>$D$179+36*I1014/1000</f>
        <v>5.16</v>
      </c>
      <c r="K1014" s="7" t="str">
        <f t="shared" si="635"/>
        <v/>
      </c>
      <c r="L1014" s="7" t="str">
        <f t="shared" si="636"/>
        <v/>
      </c>
      <c r="M1014" s="7">
        <f t="shared" si="637"/>
        <v>15.48</v>
      </c>
      <c r="N1014" s="7" t="str">
        <f t="shared" si="638"/>
        <v/>
      </c>
      <c r="O1014" s="7" t="str">
        <f t="shared" si="639"/>
        <v/>
      </c>
      <c r="P1014" s="7" t="str">
        <f t="shared" si="640"/>
        <v/>
      </c>
      <c r="Q1014" s="7" t="str">
        <f t="shared" si="641"/>
        <v/>
      </c>
      <c r="S1014" s="7" t="str">
        <f t="shared" si="642"/>
        <v/>
      </c>
    </row>
    <row r="1015" spans="1:19">
      <c r="A1015" s="46" t="s">
        <v>76</v>
      </c>
      <c r="B1015" s="23"/>
      <c r="C1015" s="53"/>
      <c r="D1015" s="55"/>
      <c r="E1015" s="55"/>
      <c r="F1015" s="55"/>
      <c r="G1015" s="9">
        <v>1</v>
      </c>
      <c r="H1015" s="9">
        <f>ROUNDUP((D1012/0.2)+10,0)</f>
        <v>36</v>
      </c>
      <c r="I1015" s="9">
        <v>6</v>
      </c>
      <c r="J1015" s="9">
        <f>2*(E1012-0.025+F1012-0.025)+20.5*I1015/1000</f>
        <v>1.2230000000000001</v>
      </c>
      <c r="K1015" s="7">
        <f t="shared" si="635"/>
        <v>44.028000000000006</v>
      </c>
      <c r="L1015" s="7" t="str">
        <f t="shared" si="636"/>
        <v/>
      </c>
      <c r="M1015" s="7" t="str">
        <f t="shared" si="637"/>
        <v/>
      </c>
      <c r="N1015" s="7" t="str">
        <f t="shared" si="638"/>
        <v/>
      </c>
      <c r="O1015" s="7" t="str">
        <f t="shared" si="639"/>
        <v/>
      </c>
      <c r="P1015" s="7" t="str">
        <f t="shared" si="640"/>
        <v/>
      </c>
      <c r="Q1015" s="7" t="str">
        <f t="shared" si="641"/>
        <v/>
      </c>
      <c r="S1015" s="7" t="str">
        <f t="shared" si="642"/>
        <v/>
      </c>
    </row>
    <row r="1016" spans="1:19">
      <c r="A1016" s="46" t="s">
        <v>77</v>
      </c>
      <c r="B1016" s="23"/>
      <c r="C1016" s="53"/>
      <c r="D1016" s="55"/>
      <c r="E1016" s="55"/>
      <c r="F1016" s="55"/>
      <c r="G1016" s="9">
        <v>1</v>
      </c>
      <c r="H1016" s="9">
        <f>ROUNDUP((D1012/0.2)+10,0)</f>
        <v>36</v>
      </c>
      <c r="I1016" s="9">
        <v>6</v>
      </c>
      <c r="J1016" s="9">
        <f>2*(E1012-0.025+F1012-0.025)+22*I1016*4/1000</f>
        <v>1.6280000000000001</v>
      </c>
      <c r="K1016" s="7">
        <f t="shared" si="635"/>
        <v>58.608000000000004</v>
      </c>
      <c r="L1016" s="7" t="str">
        <f t="shared" si="636"/>
        <v/>
      </c>
      <c r="M1016" s="7" t="str">
        <f t="shared" si="637"/>
        <v/>
      </c>
      <c r="N1016" s="7" t="str">
        <f t="shared" si="638"/>
        <v/>
      </c>
      <c r="O1016" s="7" t="str">
        <f t="shared" si="639"/>
        <v/>
      </c>
      <c r="P1016" s="7" t="str">
        <f t="shared" si="640"/>
        <v/>
      </c>
      <c r="Q1016" s="7" t="str">
        <f t="shared" si="641"/>
        <v/>
      </c>
      <c r="S1016" s="7" t="str">
        <f t="shared" si="642"/>
        <v/>
      </c>
    </row>
    <row r="1017" spans="1:19">
      <c r="A1017" s="47" t="s">
        <v>113</v>
      </c>
      <c r="B1017" s="23" t="s">
        <v>83</v>
      </c>
      <c r="C1017" s="53" t="s">
        <v>116</v>
      </c>
      <c r="D1017" s="55">
        <f>3.82+0.4+0.82+1.08</f>
        <v>6.12</v>
      </c>
      <c r="E1017" s="55">
        <v>0.2</v>
      </c>
      <c r="F1017" s="55">
        <v>0.4</v>
      </c>
      <c r="K1017" s="7" t="str">
        <f t="shared" si="635"/>
        <v/>
      </c>
      <c r="L1017" s="7" t="str">
        <f t="shared" si="636"/>
        <v/>
      </c>
      <c r="M1017" s="7" t="str">
        <f t="shared" si="637"/>
        <v/>
      </c>
      <c r="N1017" s="7" t="str">
        <f t="shared" si="638"/>
        <v/>
      </c>
      <c r="O1017" s="7" t="str">
        <f t="shared" si="639"/>
        <v/>
      </c>
      <c r="P1017" s="7" t="str">
        <f t="shared" si="640"/>
        <v/>
      </c>
      <c r="Q1017" s="7" t="str">
        <f t="shared" si="641"/>
        <v/>
      </c>
      <c r="S1017" s="7" t="str">
        <f t="shared" si="642"/>
        <v/>
      </c>
    </row>
    <row r="1018" spans="1:19">
      <c r="A1018" s="46" t="s">
        <v>74</v>
      </c>
      <c r="B1018" s="23"/>
      <c r="C1018" s="53"/>
      <c r="D1018" s="55"/>
      <c r="E1018" s="55"/>
      <c r="F1018" s="55"/>
      <c r="G1018" s="9">
        <v>1</v>
      </c>
      <c r="H1018" s="9">
        <v>3</v>
      </c>
      <c r="I1018" s="9">
        <v>12</v>
      </c>
      <c r="J1018" s="9">
        <f>D1017+36*I1018/1000</f>
        <v>6.5520000000000005</v>
      </c>
      <c r="K1018" s="7" t="str">
        <f t="shared" si="635"/>
        <v/>
      </c>
      <c r="L1018" s="7" t="str">
        <f t="shared" si="636"/>
        <v/>
      </c>
      <c r="M1018" s="7" t="str">
        <f t="shared" si="637"/>
        <v/>
      </c>
      <c r="N1018" s="7">
        <f t="shared" si="638"/>
        <v>19.656000000000002</v>
      </c>
      <c r="O1018" s="7" t="str">
        <f t="shared" si="639"/>
        <v/>
      </c>
      <c r="P1018" s="7" t="str">
        <f t="shared" si="640"/>
        <v/>
      </c>
      <c r="Q1018" s="7" t="str">
        <f t="shared" si="641"/>
        <v/>
      </c>
      <c r="S1018" s="7" t="str">
        <f t="shared" si="642"/>
        <v/>
      </c>
    </row>
    <row r="1019" spans="1:19">
      <c r="A1019" s="46" t="s">
        <v>75</v>
      </c>
      <c r="B1019" s="23"/>
      <c r="C1019" s="53"/>
      <c r="D1019" s="55"/>
      <c r="E1019" s="55"/>
      <c r="F1019" s="55"/>
      <c r="G1019" s="9">
        <v>1</v>
      </c>
      <c r="H1019" s="9">
        <v>3</v>
      </c>
      <c r="I1019" s="9">
        <v>10</v>
      </c>
      <c r="J1019" s="9">
        <f>$D$179+36*I1019/1000</f>
        <v>5.16</v>
      </c>
      <c r="K1019" s="7" t="str">
        <f t="shared" si="635"/>
        <v/>
      </c>
      <c r="L1019" s="7" t="str">
        <f t="shared" si="636"/>
        <v/>
      </c>
      <c r="M1019" s="7">
        <f t="shared" si="637"/>
        <v>15.48</v>
      </c>
      <c r="N1019" s="7" t="str">
        <f t="shared" si="638"/>
        <v/>
      </c>
      <c r="O1019" s="7" t="str">
        <f t="shared" si="639"/>
        <v/>
      </c>
      <c r="P1019" s="7" t="str">
        <f t="shared" si="640"/>
        <v/>
      </c>
      <c r="Q1019" s="7" t="str">
        <f t="shared" si="641"/>
        <v/>
      </c>
      <c r="S1019" s="7" t="str">
        <f t="shared" si="642"/>
        <v/>
      </c>
    </row>
    <row r="1020" spans="1:19">
      <c r="A1020" s="46" t="s">
        <v>76</v>
      </c>
      <c r="B1020" s="23"/>
      <c r="C1020" s="53"/>
      <c r="D1020" s="55"/>
      <c r="E1020" s="55"/>
      <c r="F1020" s="55"/>
      <c r="G1020" s="9">
        <v>1</v>
      </c>
      <c r="H1020" s="9">
        <f>ROUNDUP((D1017/0.2)+10,0)</f>
        <v>41</v>
      </c>
      <c r="I1020" s="9">
        <v>6</v>
      </c>
      <c r="J1020" s="9">
        <f>2*(E1017-0.025+F1017-0.025)+20.5*I1020/1000</f>
        <v>1.2230000000000001</v>
      </c>
      <c r="K1020" s="7">
        <f t="shared" si="635"/>
        <v>50.143000000000001</v>
      </c>
      <c r="L1020" s="7" t="str">
        <f t="shared" si="636"/>
        <v/>
      </c>
      <c r="M1020" s="7" t="str">
        <f t="shared" si="637"/>
        <v/>
      </c>
      <c r="N1020" s="7" t="str">
        <f t="shared" si="638"/>
        <v/>
      </c>
      <c r="O1020" s="7" t="str">
        <f t="shared" si="639"/>
        <v/>
      </c>
      <c r="P1020" s="7" t="str">
        <f t="shared" si="640"/>
        <v/>
      </c>
      <c r="S1020" s="7" t="str">
        <f t="shared" si="642"/>
        <v/>
      </c>
    </row>
    <row r="1021" spans="1:19">
      <c r="A1021" s="46" t="s">
        <v>77</v>
      </c>
      <c r="B1021" s="23"/>
      <c r="C1021" s="53"/>
      <c r="D1021" s="55"/>
      <c r="E1021" s="55"/>
      <c r="F1021" s="55"/>
      <c r="G1021" s="9">
        <v>1</v>
      </c>
      <c r="H1021" s="9">
        <f>ROUNDUP((D1017/0.2)+10,0)</f>
        <v>41</v>
      </c>
      <c r="I1021" s="9">
        <v>6</v>
      </c>
      <c r="J1021" s="9">
        <f>2*(E1017-0.025+F1017-0.025)+22*I1021*4/1000</f>
        <v>1.6280000000000001</v>
      </c>
      <c r="K1021" s="7">
        <f t="shared" si="635"/>
        <v>66.748000000000005</v>
      </c>
      <c r="L1021" s="7" t="str">
        <f t="shared" si="636"/>
        <v/>
      </c>
      <c r="M1021" s="7" t="str">
        <f t="shared" si="637"/>
        <v/>
      </c>
      <c r="N1021" s="7" t="str">
        <f t="shared" si="638"/>
        <v/>
      </c>
      <c r="O1021" s="7" t="str">
        <f t="shared" si="639"/>
        <v/>
      </c>
      <c r="P1021" s="7" t="str">
        <f t="shared" si="640"/>
        <v/>
      </c>
      <c r="S1021" s="7" t="str">
        <f t="shared" si="642"/>
        <v/>
      </c>
    </row>
    <row r="1022" spans="1:19" s="45" customFormat="1">
      <c r="A1022" s="61" t="s">
        <v>113</v>
      </c>
      <c r="B1022" s="62" t="s">
        <v>87</v>
      </c>
      <c r="C1022" s="53" t="s">
        <v>116</v>
      </c>
      <c r="D1022" s="64">
        <v>6.12</v>
      </c>
      <c r="E1022" s="64">
        <v>0.2</v>
      </c>
      <c r="F1022" s="64">
        <v>0.4</v>
      </c>
      <c r="G1022" s="44"/>
      <c r="H1022" s="44"/>
      <c r="I1022" s="44"/>
      <c r="J1022" s="44"/>
      <c r="K1022" s="65" t="str">
        <f t="shared" si="635"/>
        <v/>
      </c>
      <c r="L1022" s="65" t="str">
        <f t="shared" si="636"/>
        <v/>
      </c>
      <c r="M1022" s="65" t="str">
        <f t="shared" si="637"/>
        <v/>
      </c>
      <c r="N1022" s="65" t="str">
        <f t="shared" si="638"/>
        <v/>
      </c>
      <c r="O1022" s="65" t="str">
        <f t="shared" si="639"/>
        <v/>
      </c>
      <c r="P1022" s="65" t="str">
        <f t="shared" si="640"/>
        <v/>
      </c>
      <c r="Q1022" s="65" t="str">
        <f t="shared" ref="Q1022:Q1034" si="643">IF(I1022=20,G1022*H1022*J1022,"")</f>
        <v/>
      </c>
      <c r="R1022" s="65"/>
      <c r="S1022" s="65" t="str">
        <f t="shared" si="642"/>
        <v/>
      </c>
    </row>
    <row r="1023" spans="1:19">
      <c r="A1023" s="46" t="s">
        <v>74</v>
      </c>
      <c r="B1023" s="23"/>
      <c r="C1023" s="53"/>
      <c r="D1023" s="55"/>
      <c r="E1023" s="55"/>
      <c r="F1023" s="55"/>
      <c r="G1023" s="9">
        <v>1</v>
      </c>
      <c r="H1023" s="9">
        <v>3</v>
      </c>
      <c r="I1023" s="9">
        <v>12</v>
      </c>
      <c r="J1023" s="9">
        <f>D1022+36*I1023/1000</f>
        <v>6.5520000000000005</v>
      </c>
      <c r="K1023" s="7" t="str">
        <f t="shared" si="635"/>
        <v/>
      </c>
      <c r="L1023" s="7" t="str">
        <f t="shared" si="636"/>
        <v/>
      </c>
      <c r="M1023" s="7" t="str">
        <f t="shared" si="637"/>
        <v/>
      </c>
      <c r="N1023" s="7">
        <f t="shared" si="638"/>
        <v>19.656000000000002</v>
      </c>
      <c r="O1023" s="7" t="str">
        <f t="shared" si="639"/>
        <v/>
      </c>
      <c r="P1023" s="7" t="str">
        <f t="shared" si="640"/>
        <v/>
      </c>
      <c r="Q1023" s="7" t="str">
        <f t="shared" si="643"/>
        <v/>
      </c>
      <c r="S1023" s="7" t="str">
        <f t="shared" si="642"/>
        <v/>
      </c>
    </row>
    <row r="1024" spans="1:19">
      <c r="A1024" s="46" t="s">
        <v>75</v>
      </c>
      <c r="B1024" s="23"/>
      <c r="C1024" s="53"/>
      <c r="D1024" s="55"/>
      <c r="E1024" s="55"/>
      <c r="F1024" s="55"/>
      <c r="G1024" s="9">
        <v>1</v>
      </c>
      <c r="H1024" s="9">
        <v>3</v>
      </c>
      <c r="I1024" s="9">
        <v>10</v>
      </c>
      <c r="J1024" s="9">
        <f>$D$179+36*I1024/1000</f>
        <v>5.16</v>
      </c>
      <c r="K1024" s="7" t="str">
        <f t="shared" si="635"/>
        <v/>
      </c>
      <c r="L1024" s="7" t="str">
        <f t="shared" si="636"/>
        <v/>
      </c>
      <c r="M1024" s="7">
        <f t="shared" si="637"/>
        <v>15.48</v>
      </c>
      <c r="N1024" s="7" t="str">
        <f t="shared" si="638"/>
        <v/>
      </c>
      <c r="O1024" s="7" t="str">
        <f t="shared" si="639"/>
        <v/>
      </c>
      <c r="P1024" s="7" t="str">
        <f t="shared" si="640"/>
        <v/>
      </c>
      <c r="Q1024" s="7" t="str">
        <f t="shared" si="643"/>
        <v/>
      </c>
      <c r="S1024" s="7" t="str">
        <f t="shared" si="642"/>
        <v/>
      </c>
    </row>
    <row r="1025" spans="1:19">
      <c r="A1025" s="46" t="s">
        <v>76</v>
      </c>
      <c r="B1025" s="23"/>
      <c r="C1025" s="53"/>
      <c r="D1025" s="55"/>
      <c r="E1025" s="55"/>
      <c r="F1025" s="55"/>
      <c r="G1025" s="9">
        <v>1</v>
      </c>
      <c r="H1025" s="9">
        <f>ROUNDUP((D1022/0.2)+10,0)</f>
        <v>41</v>
      </c>
      <c r="I1025" s="9">
        <v>6</v>
      </c>
      <c r="J1025" s="9">
        <f>2*(E1022-0.025+F1022-0.025)+20.5*I1025/1000</f>
        <v>1.2230000000000001</v>
      </c>
      <c r="K1025" s="7">
        <f t="shared" si="635"/>
        <v>50.143000000000001</v>
      </c>
      <c r="L1025" s="7" t="str">
        <f t="shared" si="636"/>
        <v/>
      </c>
      <c r="M1025" s="7" t="str">
        <f t="shared" si="637"/>
        <v/>
      </c>
      <c r="N1025" s="7" t="str">
        <f t="shared" si="638"/>
        <v/>
      </c>
      <c r="O1025" s="7" t="str">
        <f t="shared" si="639"/>
        <v/>
      </c>
      <c r="P1025" s="7" t="str">
        <f t="shared" si="640"/>
        <v/>
      </c>
      <c r="Q1025" s="7" t="str">
        <f t="shared" si="643"/>
        <v/>
      </c>
      <c r="S1025" s="7" t="str">
        <f t="shared" si="642"/>
        <v/>
      </c>
    </row>
    <row r="1026" spans="1:19">
      <c r="A1026" s="46" t="s">
        <v>77</v>
      </c>
      <c r="B1026" s="23"/>
      <c r="C1026" s="53"/>
      <c r="D1026" s="55"/>
      <c r="E1026" s="55"/>
      <c r="F1026" s="55"/>
      <c r="G1026" s="9">
        <v>1</v>
      </c>
      <c r="H1026" s="9">
        <f>ROUNDUP((D1022/0.2)+10,0)</f>
        <v>41</v>
      </c>
      <c r="I1026" s="9">
        <v>6</v>
      </c>
      <c r="J1026" s="9">
        <f>2*(E1022-0.025+F1022-0.025)+22*I1026*4/1000</f>
        <v>1.6280000000000001</v>
      </c>
      <c r="K1026" s="7">
        <f t="shared" si="635"/>
        <v>66.748000000000005</v>
      </c>
      <c r="L1026" s="7" t="str">
        <f t="shared" si="636"/>
        <v/>
      </c>
      <c r="M1026" s="7" t="str">
        <f t="shared" si="637"/>
        <v/>
      </c>
      <c r="N1026" s="7" t="str">
        <f t="shared" si="638"/>
        <v/>
      </c>
      <c r="O1026" s="7" t="str">
        <f t="shared" si="639"/>
        <v/>
      </c>
      <c r="P1026" s="7" t="str">
        <f t="shared" si="640"/>
        <v/>
      </c>
      <c r="Q1026" s="7" t="str">
        <f t="shared" si="643"/>
        <v/>
      </c>
      <c r="S1026" s="7" t="str">
        <f t="shared" si="642"/>
        <v/>
      </c>
    </row>
    <row r="1027" spans="1:19">
      <c r="A1027" s="53" t="s">
        <v>113</v>
      </c>
      <c r="B1027" s="23" t="s">
        <v>112</v>
      </c>
      <c r="C1027" s="53" t="s">
        <v>116</v>
      </c>
      <c r="D1027" s="55">
        <v>6.12</v>
      </c>
      <c r="E1027" s="55">
        <v>0.2</v>
      </c>
      <c r="F1027" s="55">
        <v>0.4</v>
      </c>
      <c r="K1027" s="7" t="str">
        <f t="shared" si="635"/>
        <v/>
      </c>
      <c r="L1027" s="7" t="str">
        <f t="shared" si="636"/>
        <v/>
      </c>
      <c r="M1027" s="7" t="str">
        <f t="shared" si="637"/>
        <v/>
      </c>
      <c r="N1027" s="7" t="str">
        <f t="shared" si="638"/>
        <v/>
      </c>
      <c r="O1027" s="7" t="str">
        <f t="shared" si="639"/>
        <v/>
      </c>
      <c r="P1027" s="7" t="str">
        <f t="shared" si="640"/>
        <v/>
      </c>
      <c r="Q1027" s="7" t="str">
        <f t="shared" si="643"/>
        <v/>
      </c>
      <c r="S1027" s="7" t="str">
        <f t="shared" si="642"/>
        <v/>
      </c>
    </row>
    <row r="1028" spans="1:19">
      <c r="A1028" s="46" t="s">
        <v>74</v>
      </c>
      <c r="B1028" s="23"/>
      <c r="C1028" s="53"/>
      <c r="D1028" s="55"/>
      <c r="E1028" s="55"/>
      <c r="F1028" s="55"/>
      <c r="G1028" s="9">
        <v>1</v>
      </c>
      <c r="H1028" s="9">
        <v>3</v>
      </c>
      <c r="I1028" s="9">
        <v>12</v>
      </c>
      <c r="J1028" s="9">
        <f>D1027+36*I1028/1000</f>
        <v>6.5520000000000005</v>
      </c>
      <c r="K1028" s="7" t="str">
        <f t="shared" si="635"/>
        <v/>
      </c>
      <c r="L1028" s="7" t="str">
        <f t="shared" si="636"/>
        <v/>
      </c>
      <c r="M1028" s="7" t="str">
        <f t="shared" si="637"/>
        <v/>
      </c>
      <c r="N1028" s="7">
        <f t="shared" si="638"/>
        <v>19.656000000000002</v>
      </c>
      <c r="O1028" s="7" t="str">
        <f t="shared" si="639"/>
        <v/>
      </c>
      <c r="P1028" s="7" t="str">
        <f t="shared" si="640"/>
        <v/>
      </c>
      <c r="Q1028" s="7" t="str">
        <f t="shared" si="643"/>
        <v/>
      </c>
      <c r="S1028" s="7" t="str">
        <f t="shared" si="642"/>
        <v/>
      </c>
    </row>
    <row r="1029" spans="1:19">
      <c r="A1029" s="46" t="s">
        <v>75</v>
      </c>
      <c r="B1029" s="23"/>
      <c r="C1029" s="53"/>
      <c r="D1029" s="55"/>
      <c r="E1029" s="55"/>
      <c r="F1029" s="55"/>
      <c r="G1029" s="9">
        <v>1</v>
      </c>
      <c r="H1029" s="9">
        <v>3</v>
      </c>
      <c r="I1029" s="9">
        <v>10</v>
      </c>
      <c r="J1029" s="9">
        <f>$D$179+36*I1029/1000</f>
        <v>5.16</v>
      </c>
      <c r="K1029" s="7" t="str">
        <f t="shared" si="635"/>
        <v/>
      </c>
      <c r="L1029" s="7" t="str">
        <f t="shared" si="636"/>
        <v/>
      </c>
      <c r="M1029" s="7">
        <f t="shared" si="637"/>
        <v>15.48</v>
      </c>
      <c r="N1029" s="7" t="str">
        <f t="shared" si="638"/>
        <v/>
      </c>
      <c r="O1029" s="7" t="str">
        <f t="shared" si="639"/>
        <v/>
      </c>
      <c r="P1029" s="7" t="str">
        <f t="shared" si="640"/>
        <v/>
      </c>
      <c r="Q1029" s="7" t="str">
        <f t="shared" si="643"/>
        <v/>
      </c>
      <c r="S1029" s="7" t="str">
        <f t="shared" si="642"/>
        <v/>
      </c>
    </row>
    <row r="1030" spans="1:19">
      <c r="A1030" s="46" t="s">
        <v>76</v>
      </c>
      <c r="B1030" s="23"/>
      <c r="C1030" s="53"/>
      <c r="D1030" s="55"/>
      <c r="E1030" s="55"/>
      <c r="F1030" s="55"/>
      <c r="G1030" s="9">
        <v>1</v>
      </c>
      <c r="H1030" s="9">
        <f>ROUNDUP((D1027/0.2)+10,0)</f>
        <v>41</v>
      </c>
      <c r="I1030" s="9">
        <v>6</v>
      </c>
      <c r="J1030" s="9">
        <f>2*(E1027-0.025+F1027-0.025)+20.5*I1030/1000</f>
        <v>1.2230000000000001</v>
      </c>
      <c r="K1030" s="7">
        <f t="shared" si="635"/>
        <v>50.143000000000001</v>
      </c>
      <c r="L1030" s="7" t="str">
        <f t="shared" si="636"/>
        <v/>
      </c>
      <c r="M1030" s="7" t="str">
        <f t="shared" si="637"/>
        <v/>
      </c>
      <c r="N1030" s="7" t="str">
        <f t="shared" si="638"/>
        <v/>
      </c>
      <c r="O1030" s="7" t="str">
        <f t="shared" si="639"/>
        <v/>
      </c>
      <c r="P1030" s="7" t="str">
        <f t="shared" si="640"/>
        <v/>
      </c>
      <c r="Q1030" s="7" t="str">
        <f t="shared" si="643"/>
        <v/>
      </c>
      <c r="S1030" s="7" t="str">
        <f t="shared" si="642"/>
        <v/>
      </c>
    </row>
    <row r="1031" spans="1:19">
      <c r="A1031" s="46" t="s">
        <v>77</v>
      </c>
      <c r="B1031" s="23"/>
      <c r="C1031" s="53"/>
      <c r="D1031" s="55"/>
      <c r="E1031" s="55"/>
      <c r="F1031" s="55"/>
      <c r="G1031" s="9">
        <v>1</v>
      </c>
      <c r="H1031" s="9">
        <f>ROUNDUP((D1027/0.2)+10,0)</f>
        <v>41</v>
      </c>
      <c r="I1031" s="9">
        <v>6</v>
      </c>
      <c r="J1031" s="9">
        <f>2*(E1027-0.025+F1027-0.025)+22*I1031*4/1000</f>
        <v>1.6280000000000001</v>
      </c>
      <c r="K1031" s="7">
        <f t="shared" si="635"/>
        <v>66.748000000000005</v>
      </c>
      <c r="L1031" s="7" t="str">
        <f t="shared" si="636"/>
        <v/>
      </c>
      <c r="M1031" s="7" t="str">
        <f t="shared" si="637"/>
        <v/>
      </c>
      <c r="N1031" s="7" t="str">
        <f t="shared" si="638"/>
        <v/>
      </c>
      <c r="O1031" s="7" t="str">
        <f t="shared" si="639"/>
        <v/>
      </c>
      <c r="P1031" s="7" t="str">
        <f t="shared" si="640"/>
        <v/>
      </c>
      <c r="Q1031" s="7" t="str">
        <f t="shared" si="643"/>
        <v/>
      </c>
      <c r="S1031" s="7" t="str">
        <f t="shared" si="642"/>
        <v/>
      </c>
    </row>
    <row r="1032" spans="1:19">
      <c r="A1032" s="47" t="s">
        <v>114</v>
      </c>
      <c r="B1032" s="23" t="s">
        <v>91</v>
      </c>
      <c r="C1032" s="53" t="s">
        <v>14</v>
      </c>
      <c r="D1032" s="55">
        <f>1.8+0.15+3.82</f>
        <v>5.77</v>
      </c>
      <c r="E1032" s="55">
        <v>0.2</v>
      </c>
      <c r="F1032" s="55">
        <v>0.4</v>
      </c>
      <c r="K1032" s="7" t="str">
        <f t="shared" si="635"/>
        <v/>
      </c>
      <c r="L1032" s="7" t="str">
        <f t="shared" si="636"/>
        <v/>
      </c>
      <c r="M1032" s="7" t="str">
        <f t="shared" si="637"/>
        <v/>
      </c>
      <c r="N1032" s="7" t="str">
        <f t="shared" si="638"/>
        <v/>
      </c>
      <c r="O1032" s="7" t="str">
        <f t="shared" si="639"/>
        <v/>
      </c>
      <c r="P1032" s="7" t="str">
        <f t="shared" si="640"/>
        <v/>
      </c>
      <c r="Q1032" s="7" t="str">
        <f t="shared" si="643"/>
        <v/>
      </c>
      <c r="S1032" s="7" t="str">
        <f t="shared" si="642"/>
        <v/>
      </c>
    </row>
    <row r="1033" spans="1:19">
      <c r="A1033" s="46" t="s">
        <v>74</v>
      </c>
      <c r="B1033" s="23"/>
      <c r="C1033" s="53"/>
      <c r="D1033" s="55"/>
      <c r="E1033" s="55"/>
      <c r="F1033" s="55"/>
      <c r="G1033" s="9">
        <v>1</v>
      </c>
      <c r="H1033" s="9">
        <v>3</v>
      </c>
      <c r="I1033" s="9">
        <v>12</v>
      </c>
      <c r="J1033" s="9">
        <f>D1032+36*I1033/1000</f>
        <v>6.202</v>
      </c>
      <c r="K1033" s="7" t="str">
        <f t="shared" si="635"/>
        <v/>
      </c>
      <c r="L1033" s="7" t="str">
        <f t="shared" si="636"/>
        <v/>
      </c>
      <c r="M1033" s="7" t="str">
        <f t="shared" si="637"/>
        <v/>
      </c>
      <c r="N1033" s="7">
        <f t="shared" si="638"/>
        <v>18.606000000000002</v>
      </c>
      <c r="O1033" s="7" t="str">
        <f t="shared" si="639"/>
        <v/>
      </c>
      <c r="P1033" s="7" t="str">
        <f t="shared" si="640"/>
        <v/>
      </c>
      <c r="Q1033" s="7" t="str">
        <f t="shared" si="643"/>
        <v/>
      </c>
      <c r="S1033" s="7" t="str">
        <f t="shared" si="642"/>
        <v/>
      </c>
    </row>
    <row r="1034" spans="1:19">
      <c r="A1034" s="46" t="s">
        <v>75</v>
      </c>
      <c r="B1034" s="23"/>
      <c r="C1034" s="53"/>
      <c r="D1034" s="55"/>
      <c r="E1034" s="55"/>
      <c r="F1034" s="55"/>
      <c r="G1034" s="9">
        <v>1</v>
      </c>
      <c r="H1034" s="9">
        <v>3</v>
      </c>
      <c r="I1034" s="9">
        <v>10</v>
      </c>
      <c r="J1034" s="9">
        <f>$D$179+36*I1034/1000</f>
        <v>5.16</v>
      </c>
      <c r="K1034" s="7" t="str">
        <f t="shared" si="635"/>
        <v/>
      </c>
      <c r="L1034" s="7" t="str">
        <f t="shared" si="636"/>
        <v/>
      </c>
      <c r="M1034" s="7">
        <f t="shared" si="637"/>
        <v>15.48</v>
      </c>
      <c r="N1034" s="7" t="str">
        <f t="shared" si="638"/>
        <v/>
      </c>
      <c r="O1034" s="7" t="str">
        <f t="shared" si="639"/>
        <v/>
      </c>
      <c r="P1034" s="7" t="str">
        <f t="shared" si="640"/>
        <v/>
      </c>
      <c r="Q1034" s="7" t="str">
        <f t="shared" si="643"/>
        <v/>
      </c>
      <c r="S1034" s="7" t="str">
        <f t="shared" si="642"/>
        <v/>
      </c>
    </row>
    <row r="1035" spans="1:19">
      <c r="A1035" s="46" t="s">
        <v>76</v>
      </c>
      <c r="B1035" s="23"/>
      <c r="C1035" s="53"/>
      <c r="D1035" s="55"/>
      <c r="E1035" s="55"/>
      <c r="F1035" s="55"/>
      <c r="G1035" s="9">
        <v>1</v>
      </c>
      <c r="H1035" s="9">
        <f>ROUNDUP((D1032/0.2)+10,0)</f>
        <v>39</v>
      </c>
      <c r="I1035" s="9">
        <v>6</v>
      </c>
      <c r="J1035" s="9">
        <f>2*(E1032-0.025+F1032-0.025)+20.5*I1035/1000</f>
        <v>1.2230000000000001</v>
      </c>
      <c r="K1035" s="7">
        <f t="shared" si="635"/>
        <v>47.697000000000003</v>
      </c>
      <c r="L1035" s="7" t="str">
        <f t="shared" si="636"/>
        <v/>
      </c>
      <c r="M1035" s="7" t="str">
        <f t="shared" si="637"/>
        <v/>
      </c>
      <c r="N1035" s="7" t="str">
        <f t="shared" si="638"/>
        <v/>
      </c>
      <c r="O1035" s="7" t="str">
        <f t="shared" si="639"/>
        <v/>
      </c>
      <c r="P1035" s="7" t="str">
        <f t="shared" si="640"/>
        <v/>
      </c>
      <c r="S1035" s="7" t="str">
        <f t="shared" si="642"/>
        <v/>
      </c>
    </row>
    <row r="1036" spans="1:19">
      <c r="A1036" s="46" t="s">
        <v>77</v>
      </c>
      <c r="B1036" s="23"/>
      <c r="C1036" s="53"/>
      <c r="D1036" s="55"/>
      <c r="E1036" s="55"/>
      <c r="F1036" s="55"/>
      <c r="G1036" s="9">
        <v>1</v>
      </c>
      <c r="H1036" s="9">
        <f>ROUNDUP((D1032/0.2)+10,0)</f>
        <v>39</v>
      </c>
      <c r="I1036" s="9">
        <v>6</v>
      </c>
      <c r="J1036" s="9">
        <f>2*(E1032-0.025+F1032-0.025)+22*I1036*4/1000</f>
        <v>1.6280000000000001</v>
      </c>
      <c r="K1036" s="7">
        <f t="shared" si="635"/>
        <v>63.492000000000004</v>
      </c>
      <c r="L1036" s="7" t="str">
        <f t="shared" si="636"/>
        <v/>
      </c>
      <c r="M1036" s="7" t="str">
        <f t="shared" si="637"/>
        <v/>
      </c>
      <c r="N1036" s="7" t="str">
        <f t="shared" si="638"/>
        <v/>
      </c>
      <c r="O1036" s="7" t="str">
        <f t="shared" si="639"/>
        <v/>
      </c>
      <c r="P1036" s="7" t="str">
        <f t="shared" si="640"/>
        <v/>
      </c>
      <c r="S1036" s="7" t="str">
        <f t="shared" si="642"/>
        <v/>
      </c>
    </row>
    <row r="1037" spans="1:19">
      <c r="A1037" s="47" t="s">
        <v>114</v>
      </c>
      <c r="B1037" s="23" t="s">
        <v>82</v>
      </c>
      <c r="C1037" s="53" t="s">
        <v>14</v>
      </c>
      <c r="D1037" s="55">
        <v>5.77</v>
      </c>
      <c r="E1037" s="55">
        <v>0.2</v>
      </c>
      <c r="F1037" s="55">
        <v>0.4</v>
      </c>
      <c r="K1037" s="7" t="str">
        <f t="shared" si="635"/>
        <v/>
      </c>
      <c r="L1037" s="7" t="str">
        <f t="shared" si="636"/>
        <v/>
      </c>
      <c r="M1037" s="7" t="str">
        <f t="shared" si="637"/>
        <v/>
      </c>
      <c r="N1037" s="7" t="str">
        <f t="shared" si="638"/>
        <v/>
      </c>
      <c r="O1037" s="7" t="str">
        <f t="shared" si="639"/>
        <v/>
      </c>
      <c r="P1037" s="7" t="str">
        <f t="shared" si="640"/>
        <v/>
      </c>
      <c r="S1037" s="7" t="str">
        <f t="shared" si="642"/>
        <v/>
      </c>
    </row>
    <row r="1038" spans="1:19">
      <c r="A1038" s="46" t="s">
        <v>74</v>
      </c>
      <c r="B1038" s="23"/>
      <c r="C1038" s="53"/>
      <c r="D1038" s="55"/>
      <c r="E1038" s="55"/>
      <c r="F1038" s="55"/>
      <c r="G1038" s="9">
        <v>1</v>
      </c>
      <c r="H1038" s="9">
        <v>3</v>
      </c>
      <c r="I1038" s="9">
        <v>12</v>
      </c>
      <c r="J1038" s="9">
        <f>D1037+36*I1038/1000</f>
        <v>6.202</v>
      </c>
      <c r="K1038" s="7" t="str">
        <f t="shared" si="635"/>
        <v/>
      </c>
      <c r="L1038" s="7" t="str">
        <f t="shared" si="636"/>
        <v/>
      </c>
      <c r="M1038" s="7" t="str">
        <f t="shared" si="637"/>
        <v/>
      </c>
      <c r="N1038" s="7">
        <f t="shared" si="638"/>
        <v>18.606000000000002</v>
      </c>
      <c r="O1038" s="7" t="str">
        <f t="shared" si="639"/>
        <v/>
      </c>
      <c r="P1038" s="7" t="str">
        <f t="shared" si="640"/>
        <v/>
      </c>
      <c r="S1038" s="7" t="str">
        <f t="shared" si="642"/>
        <v/>
      </c>
    </row>
    <row r="1039" spans="1:19">
      <c r="A1039" s="46" t="s">
        <v>75</v>
      </c>
      <c r="B1039" s="23"/>
      <c r="C1039" s="53"/>
      <c r="D1039" s="55"/>
      <c r="E1039" s="55"/>
      <c r="F1039" s="55"/>
      <c r="G1039" s="9">
        <v>1</v>
      </c>
      <c r="H1039" s="9">
        <v>3</v>
      </c>
      <c r="I1039" s="9">
        <v>10</v>
      </c>
      <c r="J1039" s="9">
        <f>$D$179+36*I1039/1000</f>
        <v>5.16</v>
      </c>
      <c r="K1039" s="7" t="str">
        <f t="shared" si="635"/>
        <v/>
      </c>
      <c r="L1039" s="7" t="str">
        <f t="shared" si="636"/>
        <v/>
      </c>
      <c r="M1039" s="7">
        <f t="shared" si="637"/>
        <v>15.48</v>
      </c>
      <c r="N1039" s="7" t="str">
        <f t="shared" si="638"/>
        <v/>
      </c>
      <c r="O1039" s="7" t="str">
        <f t="shared" si="639"/>
        <v/>
      </c>
      <c r="P1039" s="7" t="str">
        <f t="shared" si="640"/>
        <v/>
      </c>
      <c r="S1039" s="7" t="str">
        <f t="shared" si="642"/>
        <v/>
      </c>
    </row>
    <row r="1040" spans="1:19">
      <c r="A1040" s="46" t="s">
        <v>76</v>
      </c>
      <c r="B1040" s="23"/>
      <c r="C1040" s="53"/>
      <c r="D1040" s="55"/>
      <c r="E1040" s="55"/>
      <c r="F1040" s="55"/>
      <c r="G1040" s="9">
        <v>1</v>
      </c>
      <c r="H1040" s="9">
        <f>ROUNDUP((D1037/0.13)+10,0)</f>
        <v>55</v>
      </c>
      <c r="I1040" s="9">
        <v>6</v>
      </c>
      <c r="J1040" s="9">
        <f>2*(E1037-0.025+F1037-0.025)+20.5*I1040/1000</f>
        <v>1.2230000000000001</v>
      </c>
      <c r="K1040" s="7">
        <f t="shared" si="635"/>
        <v>67.265000000000001</v>
      </c>
      <c r="L1040" s="7" t="str">
        <f t="shared" si="636"/>
        <v/>
      </c>
      <c r="M1040" s="7" t="str">
        <f t="shared" si="637"/>
        <v/>
      </c>
      <c r="N1040" s="7" t="str">
        <f t="shared" si="638"/>
        <v/>
      </c>
      <c r="O1040" s="7" t="str">
        <f t="shared" si="639"/>
        <v/>
      </c>
      <c r="P1040" s="7" t="str">
        <f t="shared" si="640"/>
        <v/>
      </c>
      <c r="S1040" s="7" t="str">
        <f t="shared" si="642"/>
        <v/>
      </c>
    </row>
    <row r="1041" spans="1:19">
      <c r="A1041" s="46" t="s">
        <v>77</v>
      </c>
      <c r="B1041" s="23"/>
      <c r="C1041" s="53"/>
      <c r="D1041" s="55"/>
      <c r="E1041" s="55"/>
      <c r="F1041" s="55"/>
      <c r="G1041" s="9">
        <v>1</v>
      </c>
      <c r="H1041" s="9">
        <f>ROUNDUP((D1037/0.13)+10,0)*2</f>
        <v>110</v>
      </c>
      <c r="I1041" s="9">
        <v>6</v>
      </c>
      <c r="J1041" s="9">
        <f>2*(E1037-0.025+F1037-0.025)+22*I1041*4/1000</f>
        <v>1.6280000000000001</v>
      </c>
      <c r="K1041" s="7">
        <f t="shared" si="635"/>
        <v>179.08</v>
      </c>
      <c r="L1041" s="7" t="str">
        <f t="shared" si="636"/>
        <v/>
      </c>
      <c r="M1041" s="7" t="str">
        <f t="shared" si="637"/>
        <v/>
      </c>
      <c r="N1041" s="7" t="str">
        <f t="shared" si="638"/>
        <v/>
      </c>
      <c r="O1041" s="7" t="str">
        <f t="shared" si="639"/>
        <v/>
      </c>
      <c r="P1041" s="7" t="str">
        <f t="shared" si="640"/>
        <v/>
      </c>
      <c r="S1041" s="7" t="str">
        <f t="shared" si="642"/>
        <v/>
      </c>
    </row>
    <row r="1042" spans="1:19">
      <c r="A1042" s="47" t="s">
        <v>115</v>
      </c>
      <c r="B1042" s="23" t="s">
        <v>83</v>
      </c>
      <c r="C1042" s="53" t="s">
        <v>116</v>
      </c>
      <c r="D1042" s="55">
        <f>3.82+0.15</f>
        <v>3.9699999999999998</v>
      </c>
      <c r="E1042" s="55">
        <v>0.2</v>
      </c>
      <c r="F1042" s="55">
        <v>0.4</v>
      </c>
      <c r="K1042" s="7" t="str">
        <f t="shared" si="635"/>
        <v/>
      </c>
      <c r="L1042" s="7" t="str">
        <f t="shared" si="636"/>
        <v/>
      </c>
      <c r="M1042" s="7" t="str">
        <f t="shared" si="637"/>
        <v/>
      </c>
      <c r="N1042" s="7" t="str">
        <f t="shared" si="638"/>
        <v/>
      </c>
      <c r="O1042" s="7" t="str">
        <f t="shared" si="639"/>
        <v/>
      </c>
      <c r="P1042" s="7" t="str">
        <f t="shared" si="640"/>
        <v/>
      </c>
      <c r="S1042" s="7" t="str">
        <f t="shared" si="642"/>
        <v/>
      </c>
    </row>
    <row r="1043" spans="1:19">
      <c r="A1043" s="46" t="s">
        <v>74</v>
      </c>
      <c r="B1043" s="23"/>
      <c r="C1043" s="53"/>
      <c r="D1043" s="55"/>
      <c r="E1043" s="55"/>
      <c r="F1043" s="55"/>
      <c r="G1043" s="9">
        <v>1</v>
      </c>
      <c r="H1043" s="9">
        <v>3</v>
      </c>
      <c r="I1043" s="9">
        <v>12</v>
      </c>
      <c r="J1043" s="9">
        <f>D1042+36*I1043/1000</f>
        <v>4.4020000000000001</v>
      </c>
      <c r="K1043" s="7" t="str">
        <f t="shared" si="635"/>
        <v/>
      </c>
      <c r="L1043" s="7" t="str">
        <f t="shared" si="636"/>
        <v/>
      </c>
      <c r="M1043" s="7" t="str">
        <f t="shared" si="637"/>
        <v/>
      </c>
      <c r="N1043" s="7">
        <f t="shared" si="638"/>
        <v>13.206</v>
      </c>
      <c r="O1043" s="7" t="str">
        <f t="shared" si="639"/>
        <v/>
      </c>
      <c r="P1043" s="7" t="str">
        <f t="shared" si="640"/>
        <v/>
      </c>
      <c r="S1043" s="7" t="str">
        <f t="shared" si="642"/>
        <v/>
      </c>
    </row>
    <row r="1044" spans="1:19">
      <c r="A1044" s="46" t="s">
        <v>75</v>
      </c>
      <c r="B1044" s="23"/>
      <c r="C1044" s="53"/>
      <c r="D1044" s="55"/>
      <c r="E1044" s="55"/>
      <c r="F1044" s="55"/>
      <c r="G1044" s="9">
        <v>1</v>
      </c>
      <c r="H1044" s="9">
        <v>3</v>
      </c>
      <c r="I1044" s="9">
        <v>10</v>
      </c>
      <c r="J1044" s="9">
        <f>$D$179+36*I1044/1000</f>
        <v>5.16</v>
      </c>
      <c r="K1044" s="7" t="str">
        <f t="shared" si="635"/>
        <v/>
      </c>
      <c r="L1044" s="7" t="str">
        <f t="shared" si="636"/>
        <v/>
      </c>
      <c r="M1044" s="7">
        <f t="shared" si="637"/>
        <v>15.48</v>
      </c>
      <c r="N1044" s="7" t="str">
        <f t="shared" si="638"/>
        <v/>
      </c>
      <c r="O1044" s="7" t="str">
        <f t="shared" si="639"/>
        <v/>
      </c>
      <c r="P1044" s="7" t="str">
        <f t="shared" si="640"/>
        <v/>
      </c>
      <c r="S1044" s="7" t="str">
        <f t="shared" si="642"/>
        <v/>
      </c>
    </row>
    <row r="1045" spans="1:19">
      <c r="A1045" s="46" t="s">
        <v>76</v>
      </c>
      <c r="B1045" s="23"/>
      <c r="C1045" s="53"/>
      <c r="D1045" s="55"/>
      <c r="E1045" s="55"/>
      <c r="F1045" s="55"/>
      <c r="G1045" s="9">
        <v>1</v>
      </c>
      <c r="H1045" s="9">
        <f>ROUNDUP((D1042/0.2)+10,0)</f>
        <v>30</v>
      </c>
      <c r="I1045" s="9">
        <v>6</v>
      </c>
      <c r="J1045" s="9">
        <f>2*(E1042-0.025+F1042-0.025)+20.5*I1045/1000</f>
        <v>1.2230000000000001</v>
      </c>
      <c r="K1045" s="7">
        <f t="shared" si="635"/>
        <v>36.690000000000005</v>
      </c>
      <c r="L1045" s="7" t="str">
        <f t="shared" si="636"/>
        <v/>
      </c>
      <c r="M1045" s="7" t="str">
        <f t="shared" si="637"/>
        <v/>
      </c>
      <c r="N1045" s="7" t="str">
        <f t="shared" si="638"/>
        <v/>
      </c>
      <c r="O1045" s="7" t="str">
        <f t="shared" si="639"/>
        <v/>
      </c>
      <c r="P1045" s="7" t="str">
        <f t="shared" si="640"/>
        <v/>
      </c>
      <c r="S1045" s="7" t="str">
        <f t="shared" si="642"/>
        <v/>
      </c>
    </row>
    <row r="1046" spans="1:19">
      <c r="A1046" s="46" t="s">
        <v>77</v>
      </c>
      <c r="B1046" s="23"/>
      <c r="C1046" s="53"/>
      <c r="D1046" s="55"/>
      <c r="E1046" s="55"/>
      <c r="F1046" s="55"/>
      <c r="G1046" s="9">
        <v>1</v>
      </c>
      <c r="H1046" s="9">
        <f>ROUNDUP((D1042/0.2)+10,0)</f>
        <v>30</v>
      </c>
      <c r="I1046" s="9">
        <v>6</v>
      </c>
      <c r="J1046" s="9">
        <f>2*(E1042-0.025+F1042-0.025)+22*I1046*4/1000</f>
        <v>1.6280000000000001</v>
      </c>
      <c r="K1046" s="7">
        <f t="shared" si="635"/>
        <v>48.84</v>
      </c>
      <c r="L1046" s="7" t="str">
        <f t="shared" si="636"/>
        <v/>
      </c>
      <c r="M1046" s="7" t="str">
        <f t="shared" si="637"/>
        <v/>
      </c>
      <c r="N1046" s="7" t="str">
        <f t="shared" si="638"/>
        <v/>
      </c>
      <c r="O1046" s="7" t="str">
        <f t="shared" si="639"/>
        <v/>
      </c>
      <c r="P1046" s="7" t="str">
        <f t="shared" si="640"/>
        <v/>
      </c>
      <c r="S1046" s="7" t="str">
        <f t="shared" si="642"/>
        <v/>
      </c>
    </row>
    <row r="1047" spans="1:19">
      <c r="A1047" s="47" t="s">
        <v>115</v>
      </c>
      <c r="B1047" s="23" t="s">
        <v>87</v>
      </c>
      <c r="C1047" s="53" t="s">
        <v>116</v>
      </c>
      <c r="D1047" s="55">
        <f>0.15+3.82</f>
        <v>3.9699999999999998</v>
      </c>
      <c r="E1047" s="55">
        <v>0.2</v>
      </c>
      <c r="F1047" s="55">
        <v>0.4</v>
      </c>
      <c r="K1047" s="7" t="str">
        <f t="shared" si="635"/>
        <v/>
      </c>
      <c r="L1047" s="7" t="str">
        <f t="shared" si="636"/>
        <v/>
      </c>
      <c r="M1047" s="7" t="str">
        <f t="shared" si="637"/>
        <v/>
      </c>
      <c r="N1047" s="7" t="str">
        <f t="shared" si="638"/>
        <v/>
      </c>
      <c r="O1047" s="7" t="str">
        <f t="shared" si="639"/>
        <v/>
      </c>
      <c r="P1047" s="7" t="str">
        <f t="shared" si="640"/>
        <v/>
      </c>
      <c r="S1047" s="7" t="str">
        <f t="shared" si="642"/>
        <v/>
      </c>
    </row>
    <row r="1048" spans="1:19">
      <c r="A1048" s="46" t="s">
        <v>74</v>
      </c>
      <c r="B1048" s="23"/>
      <c r="C1048" s="53"/>
      <c r="D1048" s="55"/>
      <c r="E1048" s="55"/>
      <c r="F1048" s="55"/>
      <c r="G1048" s="9">
        <v>1</v>
      </c>
      <c r="H1048" s="9">
        <v>3</v>
      </c>
      <c r="I1048" s="9">
        <v>12</v>
      </c>
      <c r="J1048" s="9">
        <f>D1047+36*I1048/1000</f>
        <v>4.4020000000000001</v>
      </c>
      <c r="K1048" s="7" t="str">
        <f t="shared" si="635"/>
        <v/>
      </c>
      <c r="L1048" s="7" t="str">
        <f t="shared" si="636"/>
        <v/>
      </c>
      <c r="M1048" s="7" t="str">
        <f t="shared" si="637"/>
        <v/>
      </c>
      <c r="N1048" s="7">
        <f t="shared" si="638"/>
        <v>13.206</v>
      </c>
      <c r="O1048" s="7" t="str">
        <f t="shared" si="639"/>
        <v/>
      </c>
      <c r="P1048" s="7" t="str">
        <f t="shared" si="640"/>
        <v/>
      </c>
      <c r="S1048" s="7" t="str">
        <f t="shared" si="642"/>
        <v/>
      </c>
    </row>
    <row r="1049" spans="1:19">
      <c r="A1049" s="46" t="s">
        <v>75</v>
      </c>
      <c r="B1049" s="23"/>
      <c r="C1049" s="53"/>
      <c r="D1049" s="55"/>
      <c r="E1049" s="55"/>
      <c r="F1049" s="55"/>
      <c r="G1049" s="9">
        <v>1</v>
      </c>
      <c r="H1049" s="9">
        <v>3</v>
      </c>
      <c r="I1049" s="9">
        <v>10</v>
      </c>
      <c r="J1049" s="9">
        <f>$D$179+36*I1049/1000</f>
        <v>5.16</v>
      </c>
      <c r="K1049" s="7" t="str">
        <f t="shared" si="635"/>
        <v/>
      </c>
      <c r="L1049" s="7" t="str">
        <f t="shared" si="636"/>
        <v/>
      </c>
      <c r="M1049" s="7">
        <f t="shared" si="637"/>
        <v>15.48</v>
      </c>
      <c r="N1049" s="7" t="str">
        <f t="shared" si="638"/>
        <v/>
      </c>
      <c r="O1049" s="7" t="str">
        <f t="shared" si="639"/>
        <v/>
      </c>
      <c r="P1049" s="7" t="str">
        <f t="shared" si="640"/>
        <v/>
      </c>
      <c r="S1049" s="7" t="str">
        <f t="shared" si="642"/>
        <v/>
      </c>
    </row>
    <row r="1050" spans="1:19">
      <c r="A1050" s="46" t="s">
        <v>76</v>
      </c>
      <c r="B1050" s="23"/>
      <c r="C1050" s="53"/>
      <c r="D1050" s="55"/>
      <c r="E1050" s="55"/>
      <c r="F1050" s="55"/>
      <c r="G1050" s="9">
        <v>1</v>
      </c>
      <c r="H1050" s="9">
        <f>ROUNDUP((D1047/0.2)+10,0)</f>
        <v>30</v>
      </c>
      <c r="I1050" s="9">
        <v>6</v>
      </c>
      <c r="J1050" s="9">
        <f>2*(E1047-0.025+F1047-0.025)+20.5*I1050/1000</f>
        <v>1.2230000000000001</v>
      </c>
      <c r="K1050" s="7">
        <f t="shared" si="635"/>
        <v>36.690000000000005</v>
      </c>
      <c r="L1050" s="7" t="str">
        <f t="shared" si="636"/>
        <v/>
      </c>
      <c r="M1050" s="7" t="str">
        <f t="shared" si="637"/>
        <v/>
      </c>
      <c r="N1050" s="7" t="str">
        <f t="shared" si="638"/>
        <v/>
      </c>
      <c r="O1050" s="7" t="str">
        <f t="shared" si="639"/>
        <v/>
      </c>
      <c r="P1050" s="7" t="str">
        <f t="shared" si="640"/>
        <v/>
      </c>
      <c r="S1050" s="7" t="str">
        <f t="shared" si="642"/>
        <v/>
      </c>
    </row>
    <row r="1051" spans="1:19">
      <c r="A1051" s="46" t="s">
        <v>77</v>
      </c>
      <c r="B1051" s="23"/>
      <c r="C1051" s="53"/>
      <c r="D1051" s="55"/>
      <c r="E1051" s="55"/>
      <c r="F1051" s="55"/>
      <c r="G1051" s="9">
        <v>1</v>
      </c>
      <c r="H1051" s="9">
        <f>ROUNDUP((D1047/0.2)+10,0)</f>
        <v>30</v>
      </c>
      <c r="I1051" s="9">
        <v>6</v>
      </c>
      <c r="J1051" s="9">
        <f>2*(E1047-0.025+F1047-0.025)+22*I1051*4/1000</f>
        <v>1.6280000000000001</v>
      </c>
      <c r="K1051" s="7">
        <f t="shared" ref="K1051:K1143" si="644">IF(I1051=6,G1051*H1051*J1051,"")</f>
        <v>48.84</v>
      </c>
      <c r="L1051" s="7" t="str">
        <f t="shared" si="636"/>
        <v/>
      </c>
      <c r="M1051" s="7" t="str">
        <f t="shared" ref="M1051:M1143" si="645">IF(I1051=10,G1051*H1051*J1051,"")</f>
        <v/>
      </c>
      <c r="N1051" s="7" t="str">
        <f t="shared" ref="N1051:N1143" si="646">IF(I1051=12,G1051*H1051*J1051,"")</f>
        <v/>
      </c>
      <c r="O1051" s="7" t="str">
        <f t="shared" si="639"/>
        <v/>
      </c>
      <c r="P1051" s="7" t="str">
        <f t="shared" si="640"/>
        <v/>
      </c>
      <c r="S1051" s="7" t="str">
        <f t="shared" ref="S1051:S1060" si="647">IF(I1051=32,G1051*H1051*J1051,"")</f>
        <v/>
      </c>
    </row>
    <row r="1052" spans="1:19">
      <c r="A1052" s="47" t="s">
        <v>115</v>
      </c>
      <c r="B1052" s="23" t="s">
        <v>112</v>
      </c>
      <c r="C1052" s="53" t="s">
        <v>116</v>
      </c>
      <c r="D1052" s="55">
        <f>0.15+3.82</f>
        <v>3.9699999999999998</v>
      </c>
      <c r="E1052" s="55">
        <v>0.2</v>
      </c>
      <c r="F1052" s="55">
        <v>0.4</v>
      </c>
      <c r="K1052" s="7" t="str">
        <f t="shared" si="644"/>
        <v/>
      </c>
      <c r="L1052" s="7" t="str">
        <f t="shared" si="636"/>
        <v/>
      </c>
      <c r="M1052" s="7" t="str">
        <f t="shared" si="645"/>
        <v/>
      </c>
      <c r="N1052" s="7" t="str">
        <f t="shared" si="646"/>
        <v/>
      </c>
      <c r="O1052" s="7" t="str">
        <f t="shared" si="639"/>
        <v/>
      </c>
      <c r="P1052" s="7" t="str">
        <f t="shared" si="640"/>
        <v/>
      </c>
      <c r="S1052" s="7" t="str">
        <f t="shared" si="647"/>
        <v/>
      </c>
    </row>
    <row r="1053" spans="1:19">
      <c r="A1053" s="46" t="s">
        <v>74</v>
      </c>
      <c r="B1053" s="23"/>
      <c r="C1053" s="53"/>
      <c r="D1053" s="55"/>
      <c r="E1053" s="55"/>
      <c r="F1053" s="55"/>
      <c r="G1053" s="9">
        <v>1</v>
      </c>
      <c r="H1053" s="9">
        <v>3</v>
      </c>
      <c r="I1053" s="9">
        <v>12</v>
      </c>
      <c r="J1053" s="9">
        <f>D1052+36*I1053/1000</f>
        <v>4.4020000000000001</v>
      </c>
      <c r="K1053" s="7" t="str">
        <f t="shared" si="644"/>
        <v/>
      </c>
      <c r="L1053" s="7" t="str">
        <f t="shared" si="636"/>
        <v/>
      </c>
      <c r="M1053" s="7" t="str">
        <f t="shared" si="645"/>
        <v/>
      </c>
      <c r="N1053" s="7">
        <f t="shared" si="646"/>
        <v>13.206</v>
      </c>
      <c r="O1053" s="7" t="str">
        <f t="shared" si="639"/>
        <v/>
      </c>
      <c r="P1053" s="7" t="str">
        <f t="shared" ref="P1053:P1116" si="648">IF(I1053=16,G1053*H1053*J1053,"")</f>
        <v/>
      </c>
      <c r="S1053" s="7" t="str">
        <f t="shared" si="647"/>
        <v/>
      </c>
    </row>
    <row r="1054" spans="1:19">
      <c r="A1054" s="46" t="s">
        <v>75</v>
      </c>
      <c r="B1054" s="23"/>
      <c r="C1054" s="53"/>
      <c r="D1054" s="55"/>
      <c r="E1054" s="55"/>
      <c r="F1054" s="55"/>
      <c r="G1054" s="9">
        <v>1</v>
      </c>
      <c r="H1054" s="9">
        <v>3</v>
      </c>
      <c r="I1054" s="9">
        <v>10</v>
      </c>
      <c r="J1054" s="9">
        <f>$D$179+36*I1054/1000</f>
        <v>5.16</v>
      </c>
      <c r="K1054" s="7" t="str">
        <f t="shared" si="644"/>
        <v/>
      </c>
      <c r="L1054" s="7" t="str">
        <f t="shared" si="636"/>
        <v/>
      </c>
      <c r="M1054" s="7">
        <f t="shared" si="645"/>
        <v>15.48</v>
      </c>
      <c r="N1054" s="7" t="str">
        <f t="shared" si="646"/>
        <v/>
      </c>
      <c r="O1054" s="7" t="str">
        <f t="shared" si="639"/>
        <v/>
      </c>
      <c r="P1054" s="7" t="str">
        <f t="shared" si="648"/>
        <v/>
      </c>
      <c r="S1054" s="7" t="str">
        <f t="shared" si="647"/>
        <v/>
      </c>
    </row>
    <row r="1055" spans="1:19">
      <c r="A1055" s="46" t="s">
        <v>76</v>
      </c>
      <c r="B1055" s="23"/>
      <c r="C1055" s="53"/>
      <c r="D1055" s="55"/>
      <c r="E1055" s="55"/>
      <c r="F1055" s="55"/>
      <c r="G1055" s="9">
        <v>1</v>
      </c>
      <c r="H1055" s="9">
        <f>ROUNDUP((D1052/0.2)+10,0)</f>
        <v>30</v>
      </c>
      <c r="I1055" s="9">
        <v>6</v>
      </c>
      <c r="J1055" s="9">
        <f>2*(E1052-0.025+F1052-0.025)+20.5*I1055/1000</f>
        <v>1.2230000000000001</v>
      </c>
      <c r="K1055" s="7">
        <f t="shared" si="644"/>
        <v>36.690000000000005</v>
      </c>
      <c r="L1055" s="7" t="str">
        <f t="shared" si="636"/>
        <v/>
      </c>
      <c r="M1055" s="7" t="str">
        <f t="shared" si="645"/>
        <v/>
      </c>
      <c r="N1055" s="7" t="str">
        <f t="shared" si="646"/>
        <v/>
      </c>
      <c r="O1055" s="7" t="str">
        <f t="shared" si="639"/>
        <v/>
      </c>
      <c r="P1055" s="7" t="str">
        <f t="shared" si="648"/>
        <v/>
      </c>
      <c r="S1055" s="7" t="str">
        <f t="shared" si="647"/>
        <v/>
      </c>
    </row>
    <row r="1056" spans="1:19">
      <c r="A1056" s="46" t="s">
        <v>77</v>
      </c>
      <c r="B1056" s="23"/>
      <c r="C1056" s="53"/>
      <c r="D1056" s="55"/>
      <c r="E1056" s="55"/>
      <c r="F1056" s="55"/>
      <c r="G1056" s="9">
        <v>1</v>
      </c>
      <c r="H1056" s="9">
        <f>ROUNDUP((D1052/0.2)+10,0)</f>
        <v>30</v>
      </c>
      <c r="I1056" s="9">
        <v>6</v>
      </c>
      <c r="J1056" s="9">
        <f>2*(E1052-0.025+F1052-0.025)+22*I1056*4/1000</f>
        <v>1.6280000000000001</v>
      </c>
      <c r="K1056" s="7">
        <f t="shared" si="644"/>
        <v>48.84</v>
      </c>
      <c r="L1056" s="7" t="str">
        <f t="shared" si="636"/>
        <v/>
      </c>
      <c r="M1056" s="7" t="str">
        <f t="shared" si="645"/>
        <v/>
      </c>
      <c r="N1056" s="7" t="str">
        <f t="shared" si="646"/>
        <v/>
      </c>
      <c r="O1056" s="7" t="str">
        <f t="shared" si="639"/>
        <v/>
      </c>
      <c r="P1056" s="7" t="str">
        <f t="shared" si="648"/>
        <v/>
      </c>
      <c r="S1056" s="7" t="str">
        <f t="shared" si="647"/>
        <v/>
      </c>
    </row>
    <row r="1057" spans="1:19">
      <c r="A1057" s="154" t="s">
        <v>78</v>
      </c>
      <c r="B1057" s="154"/>
      <c r="C1057" s="154"/>
      <c r="D1057" s="3"/>
      <c r="E1057" s="3"/>
      <c r="F1057" s="3"/>
      <c r="K1057" s="7" t="str">
        <f t="shared" si="644"/>
        <v/>
      </c>
      <c r="L1057" s="7" t="str">
        <f t="shared" si="636"/>
        <v/>
      </c>
      <c r="M1057" s="7" t="str">
        <f t="shared" si="645"/>
        <v/>
      </c>
      <c r="N1057" s="7" t="str">
        <f t="shared" si="646"/>
        <v/>
      </c>
      <c r="O1057" s="7" t="str">
        <f t="shared" si="639"/>
        <v/>
      </c>
      <c r="P1057" s="7" t="str">
        <f t="shared" si="648"/>
        <v/>
      </c>
      <c r="S1057" s="7" t="str">
        <f t="shared" si="647"/>
        <v/>
      </c>
    </row>
    <row r="1058" spans="1:19">
      <c r="A1058" s="2" t="s">
        <v>2</v>
      </c>
      <c r="B1058" s="2" t="s">
        <v>3</v>
      </c>
      <c r="C1058" s="2" t="s">
        <v>12</v>
      </c>
      <c r="D1058" s="22"/>
      <c r="E1058" s="55"/>
      <c r="F1058" s="55"/>
      <c r="K1058" s="7" t="str">
        <f t="shared" si="644"/>
        <v/>
      </c>
      <c r="L1058" s="7" t="str">
        <f t="shared" si="636"/>
        <v/>
      </c>
      <c r="M1058" s="7" t="str">
        <f t="shared" si="645"/>
        <v/>
      </c>
      <c r="N1058" s="7" t="str">
        <f t="shared" si="646"/>
        <v/>
      </c>
      <c r="O1058" s="7" t="str">
        <f t="shared" si="639"/>
        <v/>
      </c>
      <c r="P1058" s="7" t="str">
        <f t="shared" si="648"/>
        <v/>
      </c>
      <c r="S1058" s="7" t="str">
        <f t="shared" si="647"/>
        <v/>
      </c>
    </row>
    <row r="1059" spans="1:19">
      <c r="A1059" s="23" t="s">
        <v>4</v>
      </c>
      <c r="B1059" s="23" t="s">
        <v>71</v>
      </c>
      <c r="C1059" t="s">
        <v>84</v>
      </c>
      <c r="D1059" s="55">
        <v>2.48</v>
      </c>
      <c r="E1059" s="55">
        <v>0.4</v>
      </c>
      <c r="F1059" s="55">
        <v>0.2</v>
      </c>
      <c r="K1059" s="7" t="str">
        <f t="shared" si="644"/>
        <v/>
      </c>
      <c r="L1059" s="7" t="str">
        <f t="shared" si="636"/>
        <v/>
      </c>
      <c r="M1059" s="7" t="str">
        <f t="shared" si="645"/>
        <v/>
      </c>
      <c r="N1059" s="7" t="str">
        <f t="shared" si="646"/>
        <v/>
      </c>
      <c r="O1059" s="7" t="str">
        <f t="shared" si="639"/>
        <v/>
      </c>
      <c r="P1059" s="7" t="str">
        <f t="shared" si="648"/>
        <v/>
      </c>
      <c r="S1059" s="7" t="str">
        <f t="shared" si="647"/>
        <v/>
      </c>
    </row>
    <row r="1060" spans="1:19">
      <c r="A1060" s="46" t="s">
        <v>74</v>
      </c>
      <c r="B1060" s="23"/>
      <c r="D1060" s="55"/>
      <c r="E1060" s="55"/>
      <c r="F1060" s="55"/>
      <c r="G1060" s="9">
        <v>1</v>
      </c>
      <c r="H1060" s="9">
        <v>3</v>
      </c>
      <c r="I1060" s="9">
        <v>10</v>
      </c>
      <c r="J1060" s="9">
        <f>D1059+36*I1060/1000</f>
        <v>2.84</v>
      </c>
      <c r="K1060" s="7" t="str">
        <f t="shared" si="644"/>
        <v/>
      </c>
      <c r="L1060" s="7" t="str">
        <f t="shared" si="636"/>
        <v/>
      </c>
      <c r="M1060" s="7">
        <f t="shared" si="645"/>
        <v>8.52</v>
      </c>
      <c r="N1060" s="7" t="str">
        <f t="shared" si="646"/>
        <v/>
      </c>
      <c r="O1060" s="7" t="str">
        <f t="shared" si="639"/>
        <v/>
      </c>
      <c r="P1060" s="7" t="str">
        <f t="shared" si="648"/>
        <v/>
      </c>
      <c r="S1060" s="7" t="str">
        <f t="shared" si="647"/>
        <v/>
      </c>
    </row>
    <row r="1061" spans="1:19">
      <c r="A1061" s="46" t="s">
        <v>75</v>
      </c>
      <c r="B1061" s="23"/>
      <c r="D1061" s="55"/>
      <c r="E1061" s="55"/>
      <c r="F1061" s="55"/>
      <c r="G1061" s="9">
        <v>1</v>
      </c>
      <c r="H1061" s="9">
        <v>3</v>
      </c>
      <c r="I1061" s="9">
        <v>10</v>
      </c>
      <c r="J1061" s="9">
        <f>D1059+36*I1061/1000</f>
        <v>2.84</v>
      </c>
      <c r="K1061" s="7" t="str">
        <f t="shared" si="644"/>
        <v/>
      </c>
      <c r="L1061" s="7" t="str">
        <f t="shared" si="636"/>
        <v/>
      </c>
      <c r="M1061" s="7">
        <f t="shared" si="645"/>
        <v>8.52</v>
      </c>
      <c r="N1061" s="7" t="str">
        <f t="shared" si="646"/>
        <v/>
      </c>
      <c r="O1061" s="7" t="str">
        <f t="shared" si="639"/>
        <v/>
      </c>
      <c r="P1061" s="7" t="str">
        <f t="shared" si="648"/>
        <v/>
      </c>
    </row>
    <row r="1062" spans="1:19">
      <c r="A1062" s="46" t="s">
        <v>76</v>
      </c>
      <c r="B1062" s="23"/>
      <c r="D1062" s="55"/>
      <c r="E1062" s="55"/>
      <c r="F1062" s="55"/>
      <c r="G1062" s="9">
        <v>1</v>
      </c>
      <c r="H1062" s="9">
        <f>ROUNDUP((D1059/0.2)+10,0)</f>
        <v>23</v>
      </c>
      <c r="I1062" s="9">
        <v>6</v>
      </c>
      <c r="J1062" s="9">
        <f>2*(E1059-0.025+F1059-0.025)+20.5*I1062/1000</f>
        <v>1.2229999999999999</v>
      </c>
      <c r="K1062" s="7">
        <f t="shared" si="644"/>
        <v>28.128999999999998</v>
      </c>
      <c r="L1062" s="7" t="str">
        <f t="shared" si="636"/>
        <v/>
      </c>
      <c r="M1062" s="7" t="str">
        <f t="shared" si="645"/>
        <v/>
      </c>
      <c r="N1062" s="7" t="str">
        <f t="shared" si="646"/>
        <v/>
      </c>
      <c r="O1062" s="7" t="str">
        <f t="shared" si="639"/>
        <v/>
      </c>
      <c r="P1062" s="7" t="str">
        <f t="shared" si="648"/>
        <v/>
      </c>
    </row>
    <row r="1063" spans="1:19">
      <c r="A1063" s="46" t="s">
        <v>77</v>
      </c>
      <c r="B1063" s="23"/>
      <c r="D1063" s="55"/>
      <c r="E1063" s="55"/>
      <c r="F1063" s="55"/>
      <c r="G1063" s="9">
        <v>1</v>
      </c>
      <c r="H1063" s="9">
        <f>ROUNDUP((D1059/0.2)+10,0)</f>
        <v>23</v>
      </c>
      <c r="I1063" s="9">
        <v>6</v>
      </c>
      <c r="J1063" s="9">
        <f>(F1059-0.025)+22*I1063/1000</f>
        <v>0.30700000000000005</v>
      </c>
      <c r="K1063" s="7">
        <f t="shared" si="644"/>
        <v>7.0610000000000008</v>
      </c>
      <c r="L1063" s="7" t="str">
        <f t="shared" si="636"/>
        <v/>
      </c>
      <c r="M1063" s="7" t="str">
        <f t="shared" si="645"/>
        <v/>
      </c>
      <c r="N1063" s="7" t="str">
        <f t="shared" si="646"/>
        <v/>
      </c>
      <c r="O1063" s="7" t="str">
        <f t="shared" si="639"/>
        <v/>
      </c>
      <c r="P1063" s="7" t="str">
        <f t="shared" si="648"/>
        <v/>
      </c>
    </row>
    <row r="1064" spans="1:19">
      <c r="A1064" s="23" t="s">
        <v>4</v>
      </c>
      <c r="B1064" s="23" t="s">
        <v>117</v>
      </c>
      <c r="C1064" t="s">
        <v>84</v>
      </c>
      <c r="D1064" s="55">
        <v>7.25</v>
      </c>
      <c r="E1064" s="55">
        <v>0.4</v>
      </c>
      <c r="F1064" s="55">
        <v>0.2</v>
      </c>
      <c r="K1064" s="7" t="str">
        <f t="shared" si="644"/>
        <v/>
      </c>
      <c r="L1064" s="7" t="str">
        <f t="shared" ref="L1064:L1127" si="649">IF(I1064=8,G1064*H1064*J1064,"")</f>
        <v/>
      </c>
      <c r="M1064" s="7" t="str">
        <f t="shared" si="645"/>
        <v/>
      </c>
      <c r="N1064" s="7" t="str">
        <f t="shared" si="646"/>
        <v/>
      </c>
      <c r="O1064" s="7" t="str">
        <f t="shared" ref="O1064:O1143" si="650">IF(I1064=14,G1064*H1064*J1064,"")</f>
        <v/>
      </c>
      <c r="P1064" s="7" t="str">
        <f t="shared" si="648"/>
        <v/>
      </c>
      <c r="S1064" s="7" t="str">
        <f t="shared" ref="S1064" si="651">IF(I1064=32,G1064*H1064*J1064,"")</f>
        <v/>
      </c>
    </row>
    <row r="1065" spans="1:19">
      <c r="A1065" s="46" t="s">
        <v>74</v>
      </c>
      <c r="B1065" s="23"/>
      <c r="D1065" s="55"/>
      <c r="E1065" s="55"/>
      <c r="F1065" s="55"/>
      <c r="G1065" s="9">
        <v>1</v>
      </c>
      <c r="H1065" s="9">
        <v>3</v>
      </c>
      <c r="I1065" s="9">
        <v>10</v>
      </c>
      <c r="J1065" s="9">
        <f>D1064+36*I1065/1000</f>
        <v>7.61</v>
      </c>
      <c r="K1065" s="7" t="str">
        <f t="shared" si="644"/>
        <v/>
      </c>
      <c r="L1065" s="7" t="str">
        <f t="shared" si="649"/>
        <v/>
      </c>
      <c r="M1065" s="7">
        <f t="shared" si="645"/>
        <v>22.830000000000002</v>
      </c>
      <c r="N1065" s="7" t="str">
        <f t="shared" si="646"/>
        <v/>
      </c>
      <c r="O1065" s="7" t="str">
        <f t="shared" si="650"/>
        <v/>
      </c>
      <c r="P1065" s="7" t="str">
        <f t="shared" si="648"/>
        <v/>
      </c>
    </row>
    <row r="1066" spans="1:19">
      <c r="A1066" s="46" t="s">
        <v>75</v>
      </c>
      <c r="B1066" s="23"/>
      <c r="D1066" s="55"/>
      <c r="E1066" s="55"/>
      <c r="F1066" s="55"/>
      <c r="G1066" s="9">
        <v>1</v>
      </c>
      <c r="H1066" s="9">
        <v>3</v>
      </c>
      <c r="I1066" s="9">
        <v>10</v>
      </c>
      <c r="J1066" s="9">
        <f>D1064+36*I1066/1000</f>
        <v>7.61</v>
      </c>
      <c r="K1066" s="7" t="str">
        <f t="shared" si="644"/>
        <v/>
      </c>
      <c r="L1066" s="7" t="str">
        <f t="shared" si="649"/>
        <v/>
      </c>
      <c r="M1066" s="7">
        <f t="shared" si="645"/>
        <v>22.830000000000002</v>
      </c>
      <c r="N1066" s="7" t="str">
        <f t="shared" si="646"/>
        <v/>
      </c>
      <c r="O1066" s="7" t="str">
        <f t="shared" si="650"/>
        <v/>
      </c>
      <c r="P1066" s="7" t="str">
        <f t="shared" si="648"/>
        <v/>
      </c>
    </row>
    <row r="1067" spans="1:19">
      <c r="A1067" s="46" t="s">
        <v>76</v>
      </c>
      <c r="B1067" s="23"/>
      <c r="D1067" s="55"/>
      <c r="E1067" s="55"/>
      <c r="F1067" s="55"/>
      <c r="G1067" s="9">
        <v>1</v>
      </c>
      <c r="H1067" s="9">
        <f>ROUNDUP((D1064/0.2)+10,0)</f>
        <v>47</v>
      </c>
      <c r="I1067" s="9">
        <v>6</v>
      </c>
      <c r="J1067" s="9">
        <f>2*(E1064-0.025+F1064-0.025)+20.5*I1067/1000</f>
        <v>1.2229999999999999</v>
      </c>
      <c r="K1067" s="7">
        <f t="shared" si="644"/>
        <v>57.480999999999995</v>
      </c>
      <c r="L1067" s="7" t="str">
        <f t="shared" si="649"/>
        <v/>
      </c>
      <c r="M1067" s="7" t="str">
        <f t="shared" si="645"/>
        <v/>
      </c>
      <c r="N1067" s="7" t="str">
        <f t="shared" si="646"/>
        <v/>
      </c>
      <c r="O1067" s="7" t="str">
        <f t="shared" si="650"/>
        <v/>
      </c>
      <c r="P1067" s="7" t="str">
        <f t="shared" si="648"/>
        <v/>
      </c>
    </row>
    <row r="1068" spans="1:19">
      <c r="A1068" s="46" t="s">
        <v>77</v>
      </c>
      <c r="B1068" s="23"/>
      <c r="D1068" s="55"/>
      <c r="E1068" s="55"/>
      <c r="F1068" s="55"/>
      <c r="G1068" s="9">
        <v>1</v>
      </c>
      <c r="H1068" s="9">
        <f>ROUNDUP((D1064/0.2)+10,0)</f>
        <v>47</v>
      </c>
      <c r="I1068" s="9">
        <v>6</v>
      </c>
      <c r="J1068" s="9">
        <f>(F1064-0.025)+22*I1068/1000</f>
        <v>0.30700000000000005</v>
      </c>
      <c r="K1068" s="7">
        <f t="shared" si="644"/>
        <v>14.429000000000002</v>
      </c>
      <c r="L1068" s="7" t="str">
        <f t="shared" si="649"/>
        <v/>
      </c>
      <c r="M1068" s="7" t="str">
        <f t="shared" si="645"/>
        <v/>
      </c>
      <c r="N1068" s="7" t="str">
        <f t="shared" si="646"/>
        <v/>
      </c>
      <c r="O1068" s="7" t="str">
        <f t="shared" si="650"/>
        <v/>
      </c>
      <c r="P1068" s="7" t="str">
        <f t="shared" si="648"/>
        <v/>
      </c>
    </row>
    <row r="1069" spans="1:19">
      <c r="A1069" s="23" t="s">
        <v>4</v>
      </c>
      <c r="B1069" s="23" t="s">
        <v>69</v>
      </c>
      <c r="C1069" t="s">
        <v>84</v>
      </c>
      <c r="D1069" s="55">
        <v>2.38</v>
      </c>
      <c r="E1069" s="55">
        <v>0.4</v>
      </c>
      <c r="F1069" s="55">
        <v>0.2</v>
      </c>
      <c r="K1069" s="7" t="str">
        <f t="shared" si="644"/>
        <v/>
      </c>
      <c r="L1069" s="7" t="str">
        <f t="shared" si="649"/>
        <v/>
      </c>
      <c r="M1069" s="7" t="str">
        <f t="shared" si="645"/>
        <v/>
      </c>
      <c r="N1069" s="7" t="str">
        <f t="shared" si="646"/>
        <v/>
      </c>
      <c r="O1069" s="7" t="str">
        <f t="shared" si="650"/>
        <v/>
      </c>
      <c r="P1069" s="7" t="str">
        <f t="shared" si="648"/>
        <v/>
      </c>
      <c r="S1069" s="7" t="str">
        <f t="shared" ref="S1069" si="652">IF(I1069=32,G1069*H1069*J1069,"")</f>
        <v/>
      </c>
    </row>
    <row r="1070" spans="1:19">
      <c r="A1070" s="46" t="s">
        <v>74</v>
      </c>
      <c r="B1070" s="23"/>
      <c r="D1070" s="55"/>
      <c r="E1070" s="55"/>
      <c r="F1070" s="55"/>
      <c r="G1070" s="9">
        <v>1</v>
      </c>
      <c r="H1070" s="9">
        <v>3</v>
      </c>
      <c r="I1070" s="9">
        <v>10</v>
      </c>
      <c r="J1070" s="9">
        <f>D1069+36*I1070/1000</f>
        <v>2.7399999999999998</v>
      </c>
      <c r="K1070" s="7" t="str">
        <f t="shared" si="644"/>
        <v/>
      </c>
      <c r="L1070" s="7" t="str">
        <f t="shared" si="649"/>
        <v/>
      </c>
      <c r="M1070" s="7">
        <f t="shared" si="645"/>
        <v>8.2199999999999989</v>
      </c>
      <c r="N1070" s="7" t="str">
        <f t="shared" si="646"/>
        <v/>
      </c>
      <c r="O1070" s="7" t="str">
        <f t="shared" si="650"/>
        <v/>
      </c>
      <c r="P1070" s="7" t="str">
        <f t="shared" si="648"/>
        <v/>
      </c>
    </row>
    <row r="1071" spans="1:19">
      <c r="A1071" s="46" t="s">
        <v>75</v>
      </c>
      <c r="B1071" s="23"/>
      <c r="D1071" s="55"/>
      <c r="E1071" s="55"/>
      <c r="F1071" s="55"/>
      <c r="G1071" s="9">
        <v>1</v>
      </c>
      <c r="H1071" s="9">
        <v>3</v>
      </c>
      <c r="I1071" s="9">
        <v>10</v>
      </c>
      <c r="J1071" s="9">
        <f>D1069+36*I1071/1000</f>
        <v>2.7399999999999998</v>
      </c>
      <c r="K1071" s="7" t="str">
        <f t="shared" si="644"/>
        <v/>
      </c>
      <c r="L1071" s="7" t="str">
        <f t="shared" si="649"/>
        <v/>
      </c>
      <c r="M1071" s="7">
        <f t="shared" si="645"/>
        <v>8.2199999999999989</v>
      </c>
      <c r="N1071" s="7" t="str">
        <f t="shared" si="646"/>
        <v/>
      </c>
      <c r="O1071" s="7" t="str">
        <f t="shared" si="650"/>
        <v/>
      </c>
      <c r="P1071" s="7" t="str">
        <f t="shared" si="648"/>
        <v/>
      </c>
    </row>
    <row r="1072" spans="1:19">
      <c r="A1072" s="46" t="s">
        <v>76</v>
      </c>
      <c r="B1072" s="23"/>
      <c r="D1072" s="55"/>
      <c r="E1072" s="55"/>
      <c r="F1072" s="55"/>
      <c r="G1072" s="9">
        <v>1</v>
      </c>
      <c r="H1072" s="9">
        <f>ROUNDUP((D1069/0.2)+10,0)</f>
        <v>22</v>
      </c>
      <c r="I1072" s="9">
        <v>6</v>
      </c>
      <c r="J1072" s="9">
        <f>2*(E1069-0.025+F1069-0.025)+20.5*I1072/1000</f>
        <v>1.2229999999999999</v>
      </c>
      <c r="K1072" s="7">
        <f t="shared" si="644"/>
        <v>26.905999999999999</v>
      </c>
      <c r="L1072" s="7" t="str">
        <f t="shared" si="649"/>
        <v/>
      </c>
      <c r="M1072" s="7" t="str">
        <f t="shared" si="645"/>
        <v/>
      </c>
      <c r="N1072" s="7" t="str">
        <f t="shared" si="646"/>
        <v/>
      </c>
      <c r="O1072" s="7" t="str">
        <f t="shared" si="650"/>
        <v/>
      </c>
      <c r="P1072" s="7" t="str">
        <f t="shared" si="648"/>
        <v/>
      </c>
    </row>
    <row r="1073" spans="1:19">
      <c r="A1073" s="46" t="s">
        <v>77</v>
      </c>
      <c r="B1073" s="23"/>
      <c r="D1073" s="55"/>
      <c r="E1073" s="55"/>
      <c r="F1073" s="55"/>
      <c r="G1073" s="9">
        <v>1</v>
      </c>
      <c r="H1073" s="9">
        <f>ROUNDUP((D1069/0.2)+10,0)</f>
        <v>22</v>
      </c>
      <c r="I1073" s="9">
        <v>6</v>
      </c>
      <c r="J1073" s="9">
        <f>(F1069-0.025)+22*I1073/1000</f>
        <v>0.30700000000000005</v>
      </c>
      <c r="K1073" s="7">
        <f t="shared" si="644"/>
        <v>6.7540000000000013</v>
      </c>
      <c r="L1073" s="7" t="str">
        <f t="shared" si="649"/>
        <v/>
      </c>
      <c r="M1073" s="7" t="str">
        <f t="shared" si="645"/>
        <v/>
      </c>
      <c r="N1073" s="7" t="str">
        <f t="shared" si="646"/>
        <v/>
      </c>
      <c r="O1073" s="7" t="str">
        <f t="shared" si="650"/>
        <v/>
      </c>
      <c r="P1073" s="7" t="str">
        <f t="shared" si="648"/>
        <v/>
      </c>
    </row>
    <row r="1074" spans="1:19">
      <c r="A1074" s="23" t="s">
        <v>4</v>
      </c>
      <c r="B1074" s="23" t="s">
        <v>70</v>
      </c>
      <c r="C1074" t="s">
        <v>84</v>
      </c>
      <c r="D1074" s="55">
        <v>4.78</v>
      </c>
      <c r="E1074" s="55">
        <v>0.4</v>
      </c>
      <c r="F1074" s="55">
        <v>0.2</v>
      </c>
      <c r="K1074" s="7" t="str">
        <f t="shared" si="644"/>
        <v/>
      </c>
      <c r="L1074" s="7" t="str">
        <f t="shared" si="649"/>
        <v/>
      </c>
      <c r="M1074" s="7" t="str">
        <f t="shared" si="645"/>
        <v/>
      </c>
      <c r="N1074" s="7" t="str">
        <f t="shared" si="646"/>
        <v/>
      </c>
      <c r="O1074" s="7" t="str">
        <f t="shared" si="650"/>
        <v/>
      </c>
      <c r="P1074" s="7" t="str">
        <f t="shared" si="648"/>
        <v/>
      </c>
      <c r="S1074" s="7" t="str">
        <f t="shared" ref="S1074" si="653">IF(I1074=32,G1074*H1074*J1074,"")</f>
        <v/>
      </c>
    </row>
    <row r="1075" spans="1:19">
      <c r="A1075" s="46" t="s">
        <v>74</v>
      </c>
      <c r="B1075" s="23"/>
      <c r="D1075" s="55"/>
      <c r="E1075" s="55"/>
      <c r="F1075" s="55"/>
      <c r="G1075" s="9">
        <v>1</v>
      </c>
      <c r="H1075" s="9">
        <v>3</v>
      </c>
      <c r="I1075" s="9">
        <v>10</v>
      </c>
      <c r="J1075" s="9">
        <f>D1074+36*I1075/1000</f>
        <v>5.1400000000000006</v>
      </c>
      <c r="K1075" s="7" t="str">
        <f t="shared" si="644"/>
        <v/>
      </c>
      <c r="L1075" s="7" t="str">
        <f t="shared" si="649"/>
        <v/>
      </c>
      <c r="M1075" s="7">
        <f t="shared" si="645"/>
        <v>15.420000000000002</v>
      </c>
      <c r="N1075" s="7" t="str">
        <f t="shared" si="646"/>
        <v/>
      </c>
      <c r="O1075" s="7" t="str">
        <f t="shared" si="650"/>
        <v/>
      </c>
      <c r="P1075" s="7" t="str">
        <f t="shared" si="648"/>
        <v/>
      </c>
    </row>
    <row r="1076" spans="1:19">
      <c r="A1076" s="46" t="s">
        <v>75</v>
      </c>
      <c r="B1076" s="23"/>
      <c r="D1076" s="55"/>
      <c r="E1076" s="55"/>
      <c r="F1076" s="55"/>
      <c r="G1076" s="9">
        <v>1</v>
      </c>
      <c r="H1076" s="9">
        <v>3</v>
      </c>
      <c r="I1076" s="9">
        <v>10</v>
      </c>
      <c r="J1076" s="9">
        <f>D1074+36*I1076/1000</f>
        <v>5.1400000000000006</v>
      </c>
      <c r="K1076" s="7" t="str">
        <f t="shared" si="644"/>
        <v/>
      </c>
      <c r="L1076" s="7" t="str">
        <f t="shared" si="649"/>
        <v/>
      </c>
      <c r="M1076" s="7">
        <f t="shared" si="645"/>
        <v>15.420000000000002</v>
      </c>
      <c r="N1076" s="7" t="str">
        <f t="shared" si="646"/>
        <v/>
      </c>
      <c r="O1076" s="7" t="str">
        <f t="shared" si="650"/>
        <v/>
      </c>
      <c r="P1076" s="7" t="str">
        <f t="shared" si="648"/>
        <v/>
      </c>
    </row>
    <row r="1077" spans="1:19">
      <c r="A1077" s="46" t="s">
        <v>76</v>
      </c>
      <c r="B1077" s="23"/>
      <c r="D1077" s="55"/>
      <c r="E1077" s="55"/>
      <c r="F1077" s="55"/>
      <c r="G1077" s="9">
        <v>1</v>
      </c>
      <c r="H1077" s="9">
        <f>ROUNDUP((D1074/0.2)+10,0)</f>
        <v>34</v>
      </c>
      <c r="I1077" s="9">
        <v>6</v>
      </c>
      <c r="J1077" s="9">
        <f>2*(E1074-0.025+F1074-0.025)+20.5*I1077/1000</f>
        <v>1.2229999999999999</v>
      </c>
      <c r="K1077" s="7">
        <f t="shared" si="644"/>
        <v>41.581999999999994</v>
      </c>
      <c r="L1077" s="7" t="str">
        <f t="shared" si="649"/>
        <v/>
      </c>
      <c r="M1077" s="7" t="str">
        <f t="shared" si="645"/>
        <v/>
      </c>
      <c r="N1077" s="7" t="str">
        <f t="shared" si="646"/>
        <v/>
      </c>
      <c r="O1077" s="7" t="str">
        <f t="shared" si="650"/>
        <v/>
      </c>
      <c r="P1077" s="7" t="str">
        <f t="shared" si="648"/>
        <v/>
      </c>
    </row>
    <row r="1078" spans="1:19">
      <c r="A1078" s="46" t="s">
        <v>77</v>
      </c>
      <c r="B1078" s="23"/>
      <c r="D1078" s="55"/>
      <c r="E1078" s="55"/>
      <c r="F1078" s="55"/>
      <c r="G1078" s="9">
        <v>1</v>
      </c>
      <c r="H1078" s="9">
        <f>ROUNDUP((D1074/0.2)+10,0)</f>
        <v>34</v>
      </c>
      <c r="I1078" s="9">
        <v>6</v>
      </c>
      <c r="J1078" s="9">
        <f>(F1074-0.025)+22*I1078/1000</f>
        <v>0.30700000000000005</v>
      </c>
      <c r="K1078" s="7">
        <f t="shared" si="644"/>
        <v>10.438000000000002</v>
      </c>
      <c r="L1078" s="7" t="str">
        <f t="shared" si="649"/>
        <v/>
      </c>
      <c r="M1078" s="7" t="str">
        <f t="shared" si="645"/>
        <v/>
      </c>
      <c r="N1078" s="7" t="str">
        <f t="shared" si="646"/>
        <v/>
      </c>
      <c r="O1078" s="7" t="str">
        <f t="shared" si="650"/>
        <v/>
      </c>
      <c r="P1078" s="7" t="str">
        <f t="shared" si="648"/>
        <v/>
      </c>
    </row>
    <row r="1079" spans="1:19">
      <c r="A1079" s="23" t="s">
        <v>4</v>
      </c>
      <c r="B1079" s="23" t="s">
        <v>110</v>
      </c>
      <c r="C1079" t="s">
        <v>84</v>
      </c>
      <c r="D1079" s="55">
        <v>2.65</v>
      </c>
      <c r="E1079" s="55">
        <v>0.4</v>
      </c>
      <c r="F1079" s="55">
        <v>0.2</v>
      </c>
      <c r="K1079" s="7" t="str">
        <f t="shared" si="644"/>
        <v/>
      </c>
      <c r="L1079" s="7" t="str">
        <f t="shared" si="649"/>
        <v/>
      </c>
      <c r="M1079" s="7" t="str">
        <f t="shared" si="645"/>
        <v/>
      </c>
      <c r="N1079" s="7" t="str">
        <f t="shared" si="646"/>
        <v/>
      </c>
      <c r="O1079" s="7" t="str">
        <f t="shared" si="650"/>
        <v/>
      </c>
      <c r="P1079" s="7" t="str">
        <f t="shared" si="648"/>
        <v/>
      </c>
      <c r="S1079" s="7" t="str">
        <f t="shared" ref="S1079" si="654">IF(I1079=32,G1079*H1079*J1079,"")</f>
        <v/>
      </c>
    </row>
    <row r="1080" spans="1:19">
      <c r="A1080" s="46" t="s">
        <v>74</v>
      </c>
      <c r="B1080" s="23"/>
      <c r="D1080" s="55"/>
      <c r="E1080" s="55"/>
      <c r="F1080" s="55"/>
      <c r="G1080" s="9">
        <v>1</v>
      </c>
      <c r="H1080" s="9">
        <v>3</v>
      </c>
      <c r="I1080" s="9">
        <v>10</v>
      </c>
      <c r="J1080" s="9">
        <f>D1079+36*I1080/1000</f>
        <v>3.01</v>
      </c>
      <c r="K1080" s="7" t="str">
        <f t="shared" si="644"/>
        <v/>
      </c>
      <c r="L1080" s="7" t="str">
        <f t="shared" si="649"/>
        <v/>
      </c>
      <c r="M1080" s="7">
        <f t="shared" si="645"/>
        <v>9.0299999999999994</v>
      </c>
      <c r="N1080" s="7" t="str">
        <f t="shared" si="646"/>
        <v/>
      </c>
      <c r="O1080" s="7" t="str">
        <f t="shared" si="650"/>
        <v/>
      </c>
      <c r="P1080" s="7" t="str">
        <f t="shared" si="648"/>
        <v/>
      </c>
    </row>
    <row r="1081" spans="1:19">
      <c r="A1081" s="46" t="s">
        <v>75</v>
      </c>
      <c r="B1081" s="23"/>
      <c r="D1081" s="55"/>
      <c r="E1081" s="55"/>
      <c r="F1081" s="55"/>
      <c r="G1081" s="9">
        <v>1</v>
      </c>
      <c r="H1081" s="9">
        <v>3</v>
      </c>
      <c r="I1081" s="9">
        <v>10</v>
      </c>
      <c r="J1081" s="9">
        <f>D1079+36*I1081/1000</f>
        <v>3.01</v>
      </c>
      <c r="K1081" s="7" t="str">
        <f t="shared" si="644"/>
        <v/>
      </c>
      <c r="L1081" s="7" t="str">
        <f t="shared" si="649"/>
        <v/>
      </c>
      <c r="M1081" s="7">
        <f t="shared" si="645"/>
        <v>9.0299999999999994</v>
      </c>
      <c r="N1081" s="7" t="str">
        <f t="shared" si="646"/>
        <v/>
      </c>
      <c r="O1081" s="7" t="str">
        <f t="shared" si="650"/>
        <v/>
      </c>
      <c r="P1081" s="7" t="str">
        <f t="shared" si="648"/>
        <v/>
      </c>
    </row>
    <row r="1082" spans="1:19">
      <c r="A1082" s="46" t="s">
        <v>76</v>
      </c>
      <c r="B1082" s="23"/>
      <c r="D1082" s="55"/>
      <c r="E1082" s="55"/>
      <c r="F1082" s="55"/>
      <c r="G1082" s="9">
        <v>1</v>
      </c>
      <c r="H1082" s="9">
        <f>ROUNDUP((D1079/0.2)+10,0)</f>
        <v>24</v>
      </c>
      <c r="I1082" s="9">
        <v>6</v>
      </c>
      <c r="J1082" s="9">
        <f>2*(E1079-0.025+F1079-0.025)+20.5*I1082/1000</f>
        <v>1.2229999999999999</v>
      </c>
      <c r="K1082" s="7">
        <f t="shared" si="644"/>
        <v>29.351999999999997</v>
      </c>
      <c r="L1082" s="7" t="str">
        <f t="shared" si="649"/>
        <v/>
      </c>
      <c r="M1082" s="7" t="str">
        <f t="shared" si="645"/>
        <v/>
      </c>
      <c r="N1082" s="7" t="str">
        <f t="shared" si="646"/>
        <v/>
      </c>
      <c r="O1082" s="7" t="str">
        <f t="shared" si="650"/>
        <v/>
      </c>
      <c r="P1082" s="7" t="str">
        <f t="shared" si="648"/>
        <v/>
      </c>
    </row>
    <row r="1083" spans="1:19">
      <c r="A1083" s="46" t="s">
        <v>77</v>
      </c>
      <c r="B1083" s="23"/>
      <c r="D1083" s="55"/>
      <c r="E1083" s="55"/>
      <c r="F1083" s="55"/>
      <c r="G1083" s="9">
        <v>1</v>
      </c>
      <c r="H1083" s="9">
        <f>ROUNDUP((D1079/0.2)+10,0)</f>
        <v>24</v>
      </c>
      <c r="I1083" s="9">
        <v>6</v>
      </c>
      <c r="J1083" s="9">
        <f>(F1079-0.025)+22*I1083/1000</f>
        <v>0.30700000000000005</v>
      </c>
      <c r="K1083" s="7">
        <f t="shared" si="644"/>
        <v>7.3680000000000012</v>
      </c>
      <c r="L1083" s="7" t="str">
        <f t="shared" si="649"/>
        <v/>
      </c>
      <c r="M1083" s="7" t="str">
        <f t="shared" si="645"/>
        <v/>
      </c>
      <c r="N1083" s="7" t="str">
        <f t="shared" si="646"/>
        <v/>
      </c>
      <c r="O1083" s="7" t="str">
        <f t="shared" si="650"/>
        <v/>
      </c>
      <c r="P1083" s="7" t="str">
        <f t="shared" si="648"/>
        <v/>
      </c>
    </row>
    <row r="1084" spans="1:19">
      <c r="A1084" s="23" t="s">
        <v>4</v>
      </c>
      <c r="B1084" s="23" t="s">
        <v>111</v>
      </c>
      <c r="C1084" t="s">
        <v>84</v>
      </c>
      <c r="D1084" s="55">
        <v>4.5999999999999996</v>
      </c>
      <c r="E1084" s="55">
        <v>0.4</v>
      </c>
      <c r="F1084" s="55">
        <v>0.2</v>
      </c>
      <c r="K1084" s="7" t="str">
        <f t="shared" si="644"/>
        <v/>
      </c>
      <c r="L1084" s="7" t="str">
        <f t="shared" si="649"/>
        <v/>
      </c>
      <c r="M1084" s="7" t="str">
        <f t="shared" si="645"/>
        <v/>
      </c>
      <c r="N1084" s="7" t="str">
        <f t="shared" si="646"/>
        <v/>
      </c>
      <c r="O1084" s="7" t="str">
        <f t="shared" si="650"/>
        <v/>
      </c>
      <c r="P1084" s="7" t="str">
        <f t="shared" si="648"/>
        <v/>
      </c>
      <c r="S1084" s="7" t="str">
        <f t="shared" ref="S1084" si="655">IF(I1084=32,G1084*H1084*J1084,"")</f>
        <v/>
      </c>
    </row>
    <row r="1085" spans="1:19">
      <c r="A1085" s="46" t="s">
        <v>74</v>
      </c>
      <c r="B1085" s="23"/>
      <c r="D1085" s="55"/>
      <c r="E1085" s="55"/>
      <c r="F1085" s="55"/>
      <c r="G1085" s="9">
        <v>1</v>
      </c>
      <c r="H1085" s="9">
        <v>3</v>
      </c>
      <c r="I1085" s="9">
        <v>10</v>
      </c>
      <c r="J1085" s="9">
        <f>D1084+36*I1085/1000</f>
        <v>4.96</v>
      </c>
      <c r="K1085" s="7" t="str">
        <f t="shared" si="644"/>
        <v/>
      </c>
      <c r="L1085" s="7" t="str">
        <f t="shared" si="649"/>
        <v/>
      </c>
      <c r="M1085" s="7">
        <f t="shared" si="645"/>
        <v>14.879999999999999</v>
      </c>
      <c r="N1085" s="7" t="str">
        <f t="shared" si="646"/>
        <v/>
      </c>
      <c r="O1085" s="7" t="str">
        <f t="shared" si="650"/>
        <v/>
      </c>
      <c r="P1085" s="7" t="str">
        <f t="shared" si="648"/>
        <v/>
      </c>
    </row>
    <row r="1086" spans="1:19">
      <c r="A1086" s="46" t="s">
        <v>75</v>
      </c>
      <c r="B1086" s="23"/>
      <c r="D1086" s="55"/>
      <c r="E1086" s="55"/>
      <c r="F1086" s="55"/>
      <c r="G1086" s="9">
        <v>1</v>
      </c>
      <c r="H1086" s="9">
        <v>3</v>
      </c>
      <c r="I1086" s="9">
        <v>10</v>
      </c>
      <c r="J1086" s="9">
        <f>D1084+36*I1086/1000</f>
        <v>4.96</v>
      </c>
      <c r="K1086" s="7" t="str">
        <f t="shared" si="644"/>
        <v/>
      </c>
      <c r="L1086" s="7" t="str">
        <f t="shared" si="649"/>
        <v/>
      </c>
      <c r="M1086" s="7">
        <f t="shared" si="645"/>
        <v>14.879999999999999</v>
      </c>
      <c r="N1086" s="7" t="str">
        <f t="shared" si="646"/>
        <v/>
      </c>
      <c r="O1086" s="7" t="str">
        <f t="shared" si="650"/>
        <v/>
      </c>
      <c r="P1086" s="7" t="str">
        <f t="shared" si="648"/>
        <v/>
      </c>
    </row>
    <row r="1087" spans="1:19">
      <c r="A1087" s="46" t="s">
        <v>76</v>
      </c>
      <c r="B1087" s="23"/>
      <c r="D1087" s="55"/>
      <c r="E1087" s="55"/>
      <c r="F1087" s="55"/>
      <c r="G1087" s="9">
        <v>1</v>
      </c>
      <c r="H1087" s="9">
        <f>ROUNDUP((D1084/0.2)+10,0)</f>
        <v>33</v>
      </c>
      <c r="I1087" s="9">
        <v>6</v>
      </c>
      <c r="J1087" s="9">
        <f>2*(E1084-0.025+F1084-0.025)+20.5*I1087/1000</f>
        <v>1.2229999999999999</v>
      </c>
      <c r="K1087" s="7">
        <f t="shared" si="644"/>
        <v>40.358999999999995</v>
      </c>
      <c r="L1087" s="7" t="str">
        <f t="shared" si="649"/>
        <v/>
      </c>
      <c r="M1087" s="7" t="str">
        <f t="shared" si="645"/>
        <v/>
      </c>
      <c r="N1087" s="7" t="str">
        <f t="shared" si="646"/>
        <v/>
      </c>
      <c r="O1087" s="7" t="str">
        <f t="shared" si="650"/>
        <v/>
      </c>
      <c r="P1087" s="7" t="str">
        <f t="shared" si="648"/>
        <v/>
      </c>
    </row>
    <row r="1088" spans="1:19">
      <c r="A1088" s="46" t="s">
        <v>77</v>
      </c>
      <c r="B1088" s="23"/>
      <c r="D1088" s="55"/>
      <c r="E1088" s="55"/>
      <c r="F1088" s="55"/>
      <c r="G1088" s="9">
        <v>1</v>
      </c>
      <c r="H1088" s="9">
        <f>ROUNDUP((D1084/0.2)+10,0)</f>
        <v>33</v>
      </c>
      <c r="I1088" s="9">
        <v>6</v>
      </c>
      <c r="J1088" s="9">
        <f>(F1084-0.025)+22*I1088/1000</f>
        <v>0.30700000000000005</v>
      </c>
      <c r="K1088" s="7">
        <f t="shared" si="644"/>
        <v>10.131000000000002</v>
      </c>
      <c r="L1088" s="7" t="str">
        <f t="shared" si="649"/>
        <v/>
      </c>
      <c r="M1088" s="7" t="str">
        <f t="shared" si="645"/>
        <v/>
      </c>
      <c r="N1088" s="7" t="str">
        <f t="shared" si="646"/>
        <v/>
      </c>
      <c r="O1088" s="7" t="str">
        <f t="shared" si="650"/>
        <v/>
      </c>
      <c r="P1088" s="7" t="str">
        <f t="shared" si="648"/>
        <v/>
      </c>
    </row>
    <row r="1089" spans="1:19">
      <c r="A1089" s="23" t="s">
        <v>11</v>
      </c>
      <c r="B1089" s="23" t="s">
        <v>71</v>
      </c>
      <c r="C1089" t="s">
        <v>84</v>
      </c>
      <c r="D1089" s="55">
        <v>2.48</v>
      </c>
      <c r="E1089" s="55">
        <v>0.4</v>
      </c>
      <c r="F1089" s="55">
        <v>0.2</v>
      </c>
      <c r="K1089" s="7" t="str">
        <f t="shared" si="644"/>
        <v/>
      </c>
      <c r="L1089" s="7" t="str">
        <f t="shared" si="649"/>
        <v/>
      </c>
      <c r="M1089" s="7" t="str">
        <f t="shared" si="645"/>
        <v/>
      </c>
      <c r="N1089" s="7" t="str">
        <f t="shared" si="646"/>
        <v/>
      </c>
      <c r="O1089" s="7" t="str">
        <f t="shared" si="650"/>
        <v/>
      </c>
      <c r="P1089" s="7" t="str">
        <f t="shared" si="648"/>
        <v/>
      </c>
      <c r="S1089" s="7" t="str">
        <f t="shared" ref="S1089" si="656">IF(I1089=32,G1089*H1089*J1089,"")</f>
        <v/>
      </c>
    </row>
    <row r="1090" spans="1:19">
      <c r="A1090" s="46" t="s">
        <v>74</v>
      </c>
      <c r="B1090" s="23"/>
      <c r="D1090" s="55"/>
      <c r="E1090" s="55"/>
      <c r="F1090" s="55"/>
      <c r="G1090" s="9">
        <v>1</v>
      </c>
      <c r="H1090" s="9">
        <v>3</v>
      </c>
      <c r="I1090" s="9">
        <v>10</v>
      </c>
      <c r="J1090" s="9">
        <f>D1089+36*I1090/1000</f>
        <v>2.84</v>
      </c>
      <c r="K1090" s="7" t="str">
        <f t="shared" si="644"/>
        <v/>
      </c>
      <c r="L1090" s="7" t="str">
        <f t="shared" si="649"/>
        <v/>
      </c>
      <c r="M1090" s="7">
        <f t="shared" si="645"/>
        <v>8.52</v>
      </c>
      <c r="N1090" s="7" t="str">
        <f t="shared" si="646"/>
        <v/>
      </c>
      <c r="O1090" s="7" t="str">
        <f t="shared" si="650"/>
        <v/>
      </c>
      <c r="P1090" s="7" t="str">
        <f t="shared" si="648"/>
        <v/>
      </c>
    </row>
    <row r="1091" spans="1:19">
      <c r="A1091" s="46" t="s">
        <v>75</v>
      </c>
      <c r="B1091" s="23"/>
      <c r="D1091" s="55"/>
      <c r="E1091" s="55"/>
      <c r="F1091" s="55"/>
      <c r="G1091" s="9">
        <v>1</v>
      </c>
      <c r="H1091" s="9">
        <v>3</v>
      </c>
      <c r="I1091" s="9">
        <v>10</v>
      </c>
      <c r="J1091" s="9">
        <f>D1089+36*I1091/1000</f>
        <v>2.84</v>
      </c>
      <c r="K1091" s="7" t="str">
        <f t="shared" si="644"/>
        <v/>
      </c>
      <c r="L1091" s="7" t="str">
        <f t="shared" si="649"/>
        <v/>
      </c>
      <c r="M1091" s="7">
        <f t="shared" si="645"/>
        <v>8.52</v>
      </c>
      <c r="N1091" s="7" t="str">
        <f t="shared" si="646"/>
        <v/>
      </c>
      <c r="O1091" s="7" t="str">
        <f t="shared" si="650"/>
        <v/>
      </c>
      <c r="P1091" s="7" t="str">
        <f t="shared" si="648"/>
        <v/>
      </c>
    </row>
    <row r="1092" spans="1:19">
      <c r="A1092" s="46" t="s">
        <v>76</v>
      </c>
      <c r="B1092" s="23"/>
      <c r="D1092" s="55"/>
      <c r="E1092" s="55"/>
      <c r="F1092" s="55"/>
      <c r="G1092" s="9">
        <v>1</v>
      </c>
      <c r="H1092" s="9">
        <f>ROUNDUP((D1089/0.2)+10,0)</f>
        <v>23</v>
      </c>
      <c r="I1092" s="9">
        <v>6</v>
      </c>
      <c r="J1092" s="9">
        <f>2*(E1089-0.025+F1089-0.025)+20.5*I1092/1000</f>
        <v>1.2229999999999999</v>
      </c>
      <c r="K1092" s="7">
        <f t="shared" si="644"/>
        <v>28.128999999999998</v>
      </c>
      <c r="L1092" s="7" t="str">
        <f t="shared" si="649"/>
        <v/>
      </c>
      <c r="M1092" s="7" t="str">
        <f t="shared" si="645"/>
        <v/>
      </c>
      <c r="N1092" s="7" t="str">
        <f t="shared" si="646"/>
        <v/>
      </c>
      <c r="O1092" s="7" t="str">
        <f t="shared" si="650"/>
        <v/>
      </c>
      <c r="P1092" s="7" t="str">
        <f t="shared" si="648"/>
        <v/>
      </c>
    </row>
    <row r="1093" spans="1:19">
      <c r="A1093" s="46" t="s">
        <v>77</v>
      </c>
      <c r="B1093" s="23"/>
      <c r="D1093" s="55"/>
      <c r="E1093" s="55"/>
      <c r="F1093" s="55"/>
      <c r="G1093" s="9">
        <v>1</v>
      </c>
      <c r="H1093" s="9">
        <f>ROUNDUP((D1089/0.2)+10,0)</f>
        <v>23</v>
      </c>
      <c r="I1093" s="9">
        <v>6</v>
      </c>
      <c r="J1093" s="9">
        <f>(F1089-0.025)+22*I1093/1000</f>
        <v>0.30700000000000005</v>
      </c>
      <c r="K1093" s="7">
        <f t="shared" si="644"/>
        <v>7.0610000000000008</v>
      </c>
      <c r="L1093" s="7" t="str">
        <f t="shared" si="649"/>
        <v/>
      </c>
      <c r="M1093" s="7" t="str">
        <f t="shared" si="645"/>
        <v/>
      </c>
      <c r="N1093" s="7" t="str">
        <f t="shared" si="646"/>
        <v/>
      </c>
      <c r="O1093" s="7" t="str">
        <f t="shared" si="650"/>
        <v/>
      </c>
      <c r="P1093" s="7" t="str">
        <f t="shared" si="648"/>
        <v/>
      </c>
    </row>
    <row r="1094" spans="1:19">
      <c r="A1094" s="53" t="s">
        <v>11</v>
      </c>
      <c r="B1094" s="23" t="s">
        <v>117</v>
      </c>
      <c r="C1094" t="s">
        <v>84</v>
      </c>
      <c r="D1094" s="55">
        <v>7.25</v>
      </c>
      <c r="E1094" s="55">
        <v>0.4</v>
      </c>
      <c r="F1094" s="55">
        <v>0.2</v>
      </c>
      <c r="K1094" s="7" t="str">
        <f t="shared" si="644"/>
        <v/>
      </c>
      <c r="L1094" s="7" t="str">
        <f t="shared" si="649"/>
        <v/>
      </c>
      <c r="M1094" s="7" t="str">
        <f t="shared" si="645"/>
        <v/>
      </c>
      <c r="N1094" s="7" t="str">
        <f t="shared" si="646"/>
        <v/>
      </c>
      <c r="O1094" s="7" t="str">
        <f t="shared" si="650"/>
        <v/>
      </c>
      <c r="P1094" s="7" t="str">
        <f t="shared" si="648"/>
        <v/>
      </c>
      <c r="S1094" s="7" t="str">
        <f t="shared" ref="S1094" si="657">IF(I1094=32,G1094*H1094*J1094,"")</f>
        <v/>
      </c>
    </row>
    <row r="1095" spans="1:19">
      <c r="A1095" s="46" t="s">
        <v>74</v>
      </c>
      <c r="B1095" s="23"/>
      <c r="D1095" s="55"/>
      <c r="E1095" s="55"/>
      <c r="F1095" s="55"/>
      <c r="G1095" s="9">
        <v>1</v>
      </c>
      <c r="H1095" s="9">
        <v>3</v>
      </c>
      <c r="I1095" s="9">
        <v>10</v>
      </c>
      <c r="J1095" s="9">
        <f>D1094+36*I1095/1000</f>
        <v>7.61</v>
      </c>
      <c r="K1095" s="7" t="str">
        <f t="shared" si="644"/>
        <v/>
      </c>
      <c r="L1095" s="7" t="str">
        <f t="shared" si="649"/>
        <v/>
      </c>
      <c r="M1095" s="7">
        <f t="shared" si="645"/>
        <v>22.830000000000002</v>
      </c>
      <c r="N1095" s="7" t="str">
        <f t="shared" si="646"/>
        <v/>
      </c>
      <c r="O1095" s="7" t="str">
        <f t="shared" si="650"/>
        <v/>
      </c>
      <c r="P1095" s="7" t="str">
        <f t="shared" si="648"/>
        <v/>
      </c>
    </row>
    <row r="1096" spans="1:19">
      <c r="A1096" s="46" t="s">
        <v>75</v>
      </c>
      <c r="B1096" s="23"/>
      <c r="D1096" s="55"/>
      <c r="E1096" s="55"/>
      <c r="F1096" s="55"/>
      <c r="G1096" s="9">
        <v>1</v>
      </c>
      <c r="H1096" s="9">
        <v>3</v>
      </c>
      <c r="I1096" s="9">
        <v>10</v>
      </c>
      <c r="J1096" s="9">
        <f>D1094+36*I1096/1000</f>
        <v>7.61</v>
      </c>
      <c r="K1096" s="7" t="str">
        <f t="shared" si="644"/>
        <v/>
      </c>
      <c r="L1096" s="7" t="str">
        <f t="shared" si="649"/>
        <v/>
      </c>
      <c r="M1096" s="7">
        <f t="shared" si="645"/>
        <v>22.830000000000002</v>
      </c>
      <c r="N1096" s="7" t="str">
        <f t="shared" si="646"/>
        <v/>
      </c>
      <c r="O1096" s="7" t="str">
        <f t="shared" si="650"/>
        <v/>
      </c>
      <c r="P1096" s="7" t="str">
        <f t="shared" si="648"/>
        <v/>
      </c>
    </row>
    <row r="1097" spans="1:19">
      <c r="A1097" s="46" t="s">
        <v>76</v>
      </c>
      <c r="B1097" s="23"/>
      <c r="D1097" s="55"/>
      <c r="E1097" s="55"/>
      <c r="F1097" s="55"/>
      <c r="G1097" s="9">
        <v>1</v>
      </c>
      <c r="H1097" s="9">
        <f>ROUNDUP((D1094/0.2)+10,0)</f>
        <v>47</v>
      </c>
      <c r="I1097" s="9">
        <v>6</v>
      </c>
      <c r="J1097" s="9">
        <f>2*(E1094-0.025+F1094-0.025)+20.5*I1097/1000</f>
        <v>1.2229999999999999</v>
      </c>
      <c r="K1097" s="7">
        <f t="shared" si="644"/>
        <v>57.480999999999995</v>
      </c>
      <c r="L1097" s="7" t="str">
        <f t="shared" si="649"/>
        <v/>
      </c>
      <c r="M1097" s="7" t="str">
        <f t="shared" si="645"/>
        <v/>
      </c>
      <c r="N1097" s="7" t="str">
        <f t="shared" si="646"/>
        <v/>
      </c>
      <c r="O1097" s="7" t="str">
        <f t="shared" si="650"/>
        <v/>
      </c>
      <c r="P1097" s="7" t="str">
        <f t="shared" si="648"/>
        <v/>
      </c>
    </row>
    <row r="1098" spans="1:19">
      <c r="A1098" s="46" t="s">
        <v>77</v>
      </c>
      <c r="B1098" s="23"/>
      <c r="D1098" s="55"/>
      <c r="E1098" s="55"/>
      <c r="F1098" s="55"/>
      <c r="G1098" s="9">
        <v>1</v>
      </c>
      <c r="H1098" s="9">
        <f>ROUNDUP((D1094/0.2)+10,0)</f>
        <v>47</v>
      </c>
      <c r="I1098" s="9">
        <v>6</v>
      </c>
      <c r="J1098" s="9">
        <f>(F1094-0.025)+22*I1098/1000</f>
        <v>0.30700000000000005</v>
      </c>
      <c r="K1098" s="7">
        <f t="shared" si="644"/>
        <v>14.429000000000002</v>
      </c>
      <c r="L1098" s="7" t="str">
        <f t="shared" si="649"/>
        <v/>
      </c>
      <c r="M1098" s="7" t="str">
        <f t="shared" si="645"/>
        <v/>
      </c>
      <c r="N1098" s="7" t="str">
        <f t="shared" si="646"/>
        <v/>
      </c>
      <c r="O1098" s="7" t="str">
        <f t="shared" si="650"/>
        <v/>
      </c>
      <c r="P1098" s="7" t="str">
        <f t="shared" si="648"/>
        <v/>
      </c>
    </row>
    <row r="1099" spans="1:19">
      <c r="A1099" s="53" t="s">
        <v>11</v>
      </c>
      <c r="B1099" s="23" t="s">
        <v>69</v>
      </c>
      <c r="C1099" t="s">
        <v>84</v>
      </c>
      <c r="D1099" s="55">
        <v>2.38</v>
      </c>
      <c r="E1099" s="55">
        <v>0.4</v>
      </c>
      <c r="F1099" s="55">
        <v>0.2</v>
      </c>
      <c r="K1099" s="7" t="str">
        <f t="shared" si="644"/>
        <v/>
      </c>
      <c r="L1099" s="7" t="str">
        <f t="shared" si="649"/>
        <v/>
      </c>
      <c r="M1099" s="7" t="str">
        <f t="shared" si="645"/>
        <v/>
      </c>
      <c r="N1099" s="7" t="str">
        <f t="shared" si="646"/>
        <v/>
      </c>
      <c r="O1099" s="7" t="str">
        <f t="shared" si="650"/>
        <v/>
      </c>
      <c r="P1099" s="7" t="str">
        <f t="shared" si="648"/>
        <v/>
      </c>
      <c r="S1099" s="7" t="str">
        <f t="shared" ref="S1099" si="658">IF(I1099=32,G1099*H1099*J1099,"")</f>
        <v/>
      </c>
    </row>
    <row r="1100" spans="1:19">
      <c r="A1100" s="46" t="s">
        <v>74</v>
      </c>
      <c r="B1100" s="23"/>
      <c r="D1100" s="55"/>
      <c r="E1100" s="55"/>
      <c r="F1100" s="55"/>
      <c r="G1100" s="9">
        <v>1</v>
      </c>
      <c r="H1100" s="9">
        <v>3</v>
      </c>
      <c r="I1100" s="9">
        <v>10</v>
      </c>
      <c r="J1100" s="9">
        <f>D1099+36*I1100/1000</f>
        <v>2.7399999999999998</v>
      </c>
      <c r="K1100" s="7" t="str">
        <f t="shared" si="644"/>
        <v/>
      </c>
      <c r="L1100" s="7" t="str">
        <f t="shared" si="649"/>
        <v/>
      </c>
      <c r="M1100" s="7">
        <f t="shared" si="645"/>
        <v>8.2199999999999989</v>
      </c>
      <c r="N1100" s="7" t="str">
        <f t="shared" si="646"/>
        <v/>
      </c>
      <c r="O1100" s="7" t="str">
        <f t="shared" si="650"/>
        <v/>
      </c>
      <c r="P1100" s="7" t="str">
        <f t="shared" si="648"/>
        <v/>
      </c>
    </row>
    <row r="1101" spans="1:19">
      <c r="A1101" s="46" t="s">
        <v>75</v>
      </c>
      <c r="B1101" s="23"/>
      <c r="D1101" s="55"/>
      <c r="E1101" s="55"/>
      <c r="F1101" s="55"/>
      <c r="G1101" s="9">
        <v>1</v>
      </c>
      <c r="H1101" s="9">
        <v>3</v>
      </c>
      <c r="I1101" s="9">
        <v>10</v>
      </c>
      <c r="J1101" s="9">
        <f>D1099+36*I1101/1000</f>
        <v>2.7399999999999998</v>
      </c>
      <c r="K1101" s="7" t="str">
        <f t="shared" si="644"/>
        <v/>
      </c>
      <c r="L1101" s="7" t="str">
        <f t="shared" si="649"/>
        <v/>
      </c>
      <c r="M1101" s="7">
        <f t="shared" si="645"/>
        <v>8.2199999999999989</v>
      </c>
      <c r="N1101" s="7" t="str">
        <f t="shared" si="646"/>
        <v/>
      </c>
      <c r="O1101" s="7" t="str">
        <f t="shared" si="650"/>
        <v/>
      </c>
      <c r="P1101" s="7" t="str">
        <f t="shared" si="648"/>
        <v/>
      </c>
    </row>
    <row r="1102" spans="1:19">
      <c r="A1102" s="46" t="s">
        <v>76</v>
      </c>
      <c r="B1102" s="23"/>
      <c r="D1102" s="55"/>
      <c r="E1102" s="55"/>
      <c r="F1102" s="55"/>
      <c r="G1102" s="9">
        <v>1</v>
      </c>
      <c r="H1102" s="9">
        <f>ROUNDUP((D1099/0.2)+10,0)</f>
        <v>22</v>
      </c>
      <c r="I1102" s="9">
        <v>6</v>
      </c>
      <c r="J1102" s="9">
        <f>2*(E1099-0.025+F1099-0.025)+20.5*I1102/1000</f>
        <v>1.2229999999999999</v>
      </c>
      <c r="K1102" s="7">
        <f t="shared" si="644"/>
        <v>26.905999999999999</v>
      </c>
      <c r="L1102" s="7" t="str">
        <f t="shared" si="649"/>
        <v/>
      </c>
      <c r="M1102" s="7" t="str">
        <f t="shared" si="645"/>
        <v/>
      </c>
      <c r="N1102" s="7" t="str">
        <f t="shared" si="646"/>
        <v/>
      </c>
      <c r="O1102" s="7" t="str">
        <f t="shared" si="650"/>
        <v/>
      </c>
      <c r="P1102" s="7" t="str">
        <f t="shared" si="648"/>
        <v/>
      </c>
    </row>
    <row r="1103" spans="1:19">
      <c r="A1103" s="46" t="s">
        <v>77</v>
      </c>
      <c r="B1103" s="23"/>
      <c r="D1103" s="55"/>
      <c r="E1103" s="55"/>
      <c r="F1103" s="55"/>
      <c r="G1103" s="9">
        <v>1</v>
      </c>
      <c r="H1103" s="9">
        <f>ROUNDUP((D1099/0.2)+10,0)</f>
        <v>22</v>
      </c>
      <c r="I1103" s="9">
        <v>6</v>
      </c>
      <c r="J1103" s="9">
        <f>(F1099-0.025)+22*I1103/1000</f>
        <v>0.30700000000000005</v>
      </c>
      <c r="K1103" s="7">
        <f t="shared" si="644"/>
        <v>6.7540000000000013</v>
      </c>
      <c r="L1103" s="7" t="str">
        <f t="shared" si="649"/>
        <v/>
      </c>
      <c r="M1103" s="7" t="str">
        <f t="shared" si="645"/>
        <v/>
      </c>
      <c r="N1103" s="7" t="str">
        <f t="shared" si="646"/>
        <v/>
      </c>
      <c r="O1103" s="7" t="str">
        <f t="shared" si="650"/>
        <v/>
      </c>
      <c r="P1103" s="7" t="str">
        <f t="shared" si="648"/>
        <v/>
      </c>
    </row>
    <row r="1104" spans="1:19">
      <c r="A1104" s="53" t="s">
        <v>11</v>
      </c>
      <c r="B1104" s="23" t="s">
        <v>70</v>
      </c>
      <c r="C1104" t="s">
        <v>84</v>
      </c>
      <c r="D1104" s="55">
        <v>4.78</v>
      </c>
      <c r="E1104" s="55">
        <v>0.4</v>
      </c>
      <c r="F1104" s="55">
        <v>0.2</v>
      </c>
      <c r="K1104" s="7" t="str">
        <f t="shared" si="644"/>
        <v/>
      </c>
      <c r="L1104" s="7" t="str">
        <f t="shared" si="649"/>
        <v/>
      </c>
      <c r="M1104" s="7" t="str">
        <f t="shared" si="645"/>
        <v/>
      </c>
      <c r="N1104" s="7" t="str">
        <f t="shared" si="646"/>
        <v/>
      </c>
      <c r="O1104" s="7" t="str">
        <f t="shared" si="650"/>
        <v/>
      </c>
      <c r="P1104" s="7" t="str">
        <f t="shared" si="648"/>
        <v/>
      </c>
      <c r="S1104" s="7" t="str">
        <f t="shared" ref="S1104" si="659">IF(I1104=32,G1104*H1104*J1104,"")</f>
        <v/>
      </c>
    </row>
    <row r="1105" spans="1:19">
      <c r="A1105" s="46" t="s">
        <v>74</v>
      </c>
      <c r="B1105" s="23"/>
      <c r="D1105" s="55"/>
      <c r="E1105" s="55"/>
      <c r="F1105" s="55"/>
      <c r="G1105" s="9">
        <v>1</v>
      </c>
      <c r="H1105" s="9">
        <v>3</v>
      </c>
      <c r="I1105" s="9">
        <v>10</v>
      </c>
      <c r="J1105" s="9">
        <f>D1104+36*I1105/1000</f>
        <v>5.1400000000000006</v>
      </c>
      <c r="K1105" s="7" t="str">
        <f t="shared" si="644"/>
        <v/>
      </c>
      <c r="L1105" s="7" t="str">
        <f t="shared" si="649"/>
        <v/>
      </c>
      <c r="M1105" s="7">
        <f t="shared" si="645"/>
        <v>15.420000000000002</v>
      </c>
      <c r="N1105" s="7" t="str">
        <f t="shared" si="646"/>
        <v/>
      </c>
      <c r="O1105" s="7" t="str">
        <f t="shared" si="650"/>
        <v/>
      </c>
      <c r="P1105" s="7" t="str">
        <f t="shared" si="648"/>
        <v/>
      </c>
    </row>
    <row r="1106" spans="1:19">
      <c r="A1106" s="46" t="s">
        <v>75</v>
      </c>
      <c r="B1106" s="23"/>
      <c r="D1106" s="55"/>
      <c r="E1106" s="55"/>
      <c r="F1106" s="55"/>
      <c r="G1106" s="9">
        <v>1</v>
      </c>
      <c r="H1106" s="9">
        <v>3</v>
      </c>
      <c r="I1106" s="9">
        <v>10</v>
      </c>
      <c r="J1106" s="9">
        <f>D1104+36*I1106/1000</f>
        <v>5.1400000000000006</v>
      </c>
      <c r="K1106" s="7" t="str">
        <f t="shared" si="644"/>
        <v/>
      </c>
      <c r="L1106" s="7" t="str">
        <f t="shared" si="649"/>
        <v/>
      </c>
      <c r="M1106" s="7">
        <f t="shared" si="645"/>
        <v>15.420000000000002</v>
      </c>
      <c r="N1106" s="7" t="str">
        <f t="shared" si="646"/>
        <v/>
      </c>
      <c r="O1106" s="7" t="str">
        <f t="shared" si="650"/>
        <v/>
      </c>
      <c r="P1106" s="7" t="str">
        <f t="shared" si="648"/>
        <v/>
      </c>
    </row>
    <row r="1107" spans="1:19">
      <c r="A1107" s="46" t="s">
        <v>76</v>
      </c>
      <c r="B1107" s="23"/>
      <c r="D1107" s="55"/>
      <c r="E1107" s="55"/>
      <c r="F1107" s="55"/>
      <c r="G1107" s="9">
        <v>1</v>
      </c>
      <c r="H1107" s="9">
        <f>ROUNDUP((D1104/0.2)+10,0)</f>
        <v>34</v>
      </c>
      <c r="I1107" s="9">
        <v>6</v>
      </c>
      <c r="J1107" s="9">
        <f>2*(E1104-0.025+F1104-0.025)+20.5*I1107/1000</f>
        <v>1.2229999999999999</v>
      </c>
      <c r="K1107" s="7">
        <f t="shared" si="644"/>
        <v>41.581999999999994</v>
      </c>
      <c r="L1107" s="7" t="str">
        <f t="shared" si="649"/>
        <v/>
      </c>
      <c r="M1107" s="7" t="str">
        <f t="shared" si="645"/>
        <v/>
      </c>
      <c r="N1107" s="7" t="str">
        <f t="shared" si="646"/>
        <v/>
      </c>
      <c r="O1107" s="7" t="str">
        <f t="shared" si="650"/>
        <v/>
      </c>
      <c r="P1107" s="7" t="str">
        <f t="shared" si="648"/>
        <v/>
      </c>
    </row>
    <row r="1108" spans="1:19">
      <c r="A1108" s="46" t="s">
        <v>77</v>
      </c>
      <c r="B1108" s="23"/>
      <c r="D1108" s="55"/>
      <c r="E1108" s="55"/>
      <c r="F1108" s="55"/>
      <c r="G1108" s="9">
        <v>1</v>
      </c>
      <c r="H1108" s="9">
        <f>ROUNDUP((D1104/0.2)+10,0)</f>
        <v>34</v>
      </c>
      <c r="I1108" s="9">
        <v>6</v>
      </c>
      <c r="J1108" s="9">
        <f>(F1104-0.025)+22*I1108/1000</f>
        <v>0.30700000000000005</v>
      </c>
      <c r="K1108" s="7">
        <f t="shared" si="644"/>
        <v>10.438000000000002</v>
      </c>
      <c r="L1108" s="7" t="str">
        <f t="shared" si="649"/>
        <v/>
      </c>
      <c r="M1108" s="7" t="str">
        <f t="shared" si="645"/>
        <v/>
      </c>
      <c r="N1108" s="7" t="str">
        <f t="shared" si="646"/>
        <v/>
      </c>
      <c r="O1108" s="7" t="str">
        <f t="shared" si="650"/>
        <v/>
      </c>
      <c r="P1108" s="7" t="str">
        <f t="shared" si="648"/>
        <v/>
      </c>
    </row>
    <row r="1109" spans="1:19">
      <c r="A1109" s="53" t="s">
        <v>11</v>
      </c>
      <c r="B1109" s="23" t="s">
        <v>110</v>
      </c>
      <c r="C1109" t="s">
        <v>84</v>
      </c>
      <c r="D1109" s="55">
        <v>2.65</v>
      </c>
      <c r="E1109" s="55">
        <v>0.4</v>
      </c>
      <c r="F1109" s="55">
        <v>0.2</v>
      </c>
      <c r="K1109" s="7" t="str">
        <f t="shared" si="644"/>
        <v/>
      </c>
      <c r="L1109" s="7" t="str">
        <f t="shared" si="649"/>
        <v/>
      </c>
      <c r="M1109" s="7" t="str">
        <f t="shared" si="645"/>
        <v/>
      </c>
      <c r="N1109" s="7" t="str">
        <f t="shared" si="646"/>
        <v/>
      </c>
      <c r="O1109" s="7" t="str">
        <f t="shared" si="650"/>
        <v/>
      </c>
      <c r="P1109" s="7" t="str">
        <f t="shared" si="648"/>
        <v/>
      </c>
      <c r="S1109" s="7" t="str">
        <f t="shared" ref="S1109" si="660">IF(I1109=32,G1109*H1109*J1109,"")</f>
        <v/>
      </c>
    </row>
    <row r="1110" spans="1:19">
      <c r="A1110" s="46" t="s">
        <v>74</v>
      </c>
      <c r="B1110" s="23"/>
      <c r="D1110" s="55"/>
      <c r="E1110" s="55"/>
      <c r="F1110" s="55"/>
      <c r="G1110" s="9">
        <v>1</v>
      </c>
      <c r="H1110" s="9">
        <v>3</v>
      </c>
      <c r="I1110" s="9">
        <v>10</v>
      </c>
      <c r="J1110" s="9">
        <f>D1109+36*I1110/1000</f>
        <v>3.01</v>
      </c>
      <c r="K1110" s="7" t="str">
        <f t="shared" si="644"/>
        <v/>
      </c>
      <c r="L1110" s="7" t="str">
        <f t="shared" si="649"/>
        <v/>
      </c>
      <c r="M1110" s="7">
        <f t="shared" si="645"/>
        <v>9.0299999999999994</v>
      </c>
      <c r="N1110" s="7" t="str">
        <f t="shared" si="646"/>
        <v/>
      </c>
      <c r="O1110" s="7" t="str">
        <f t="shared" si="650"/>
        <v/>
      </c>
      <c r="P1110" s="7" t="str">
        <f t="shared" si="648"/>
        <v/>
      </c>
    </row>
    <row r="1111" spans="1:19">
      <c r="A1111" s="46" t="s">
        <v>75</v>
      </c>
      <c r="B1111" s="23"/>
      <c r="D1111" s="55"/>
      <c r="E1111" s="55"/>
      <c r="F1111" s="55"/>
      <c r="G1111" s="9">
        <v>1</v>
      </c>
      <c r="H1111" s="9">
        <v>3</v>
      </c>
      <c r="I1111" s="9">
        <v>10</v>
      </c>
      <c r="J1111" s="9">
        <f>D1109+36*I1111/1000</f>
        <v>3.01</v>
      </c>
      <c r="K1111" s="7" t="str">
        <f t="shared" si="644"/>
        <v/>
      </c>
      <c r="L1111" s="7" t="str">
        <f t="shared" si="649"/>
        <v/>
      </c>
      <c r="M1111" s="7">
        <f t="shared" si="645"/>
        <v>9.0299999999999994</v>
      </c>
      <c r="N1111" s="7" t="str">
        <f t="shared" si="646"/>
        <v/>
      </c>
      <c r="O1111" s="7" t="str">
        <f t="shared" si="650"/>
        <v/>
      </c>
      <c r="P1111" s="7" t="str">
        <f t="shared" si="648"/>
        <v/>
      </c>
    </row>
    <row r="1112" spans="1:19">
      <c r="A1112" s="46" t="s">
        <v>76</v>
      </c>
      <c r="B1112" s="23"/>
      <c r="D1112" s="55"/>
      <c r="E1112" s="55"/>
      <c r="F1112" s="55"/>
      <c r="G1112" s="9">
        <v>1</v>
      </c>
      <c r="H1112" s="9">
        <f>ROUNDUP((D1109/0.2)+10,0)</f>
        <v>24</v>
      </c>
      <c r="I1112" s="9">
        <v>6</v>
      </c>
      <c r="J1112" s="9">
        <f>2*(E1109-0.025+F1109-0.025)+20.5*I1112/1000</f>
        <v>1.2229999999999999</v>
      </c>
      <c r="K1112" s="7">
        <f t="shared" si="644"/>
        <v>29.351999999999997</v>
      </c>
      <c r="L1112" s="7" t="str">
        <f t="shared" si="649"/>
        <v/>
      </c>
      <c r="M1112" s="7" t="str">
        <f t="shared" si="645"/>
        <v/>
      </c>
      <c r="N1112" s="7" t="str">
        <f t="shared" si="646"/>
        <v/>
      </c>
      <c r="O1112" s="7" t="str">
        <f t="shared" si="650"/>
        <v/>
      </c>
      <c r="P1112" s="7" t="str">
        <f t="shared" si="648"/>
        <v/>
      </c>
    </row>
    <row r="1113" spans="1:19">
      <c r="A1113" s="46" t="s">
        <v>77</v>
      </c>
      <c r="B1113" s="23"/>
      <c r="D1113" s="55"/>
      <c r="E1113" s="55"/>
      <c r="F1113" s="55"/>
      <c r="G1113" s="9">
        <v>1</v>
      </c>
      <c r="H1113" s="9">
        <f>ROUNDUP((D1109/0.2)+10,0)</f>
        <v>24</v>
      </c>
      <c r="I1113" s="9">
        <v>6</v>
      </c>
      <c r="J1113" s="9">
        <f>(F1109-0.025)+22*I1113/1000</f>
        <v>0.30700000000000005</v>
      </c>
      <c r="K1113" s="7">
        <f t="shared" si="644"/>
        <v>7.3680000000000012</v>
      </c>
      <c r="L1113" s="7" t="str">
        <f t="shared" si="649"/>
        <v/>
      </c>
      <c r="M1113" s="7" t="str">
        <f t="shared" si="645"/>
        <v/>
      </c>
      <c r="N1113" s="7" t="str">
        <f t="shared" si="646"/>
        <v/>
      </c>
      <c r="O1113" s="7" t="str">
        <f t="shared" si="650"/>
        <v/>
      </c>
      <c r="P1113" s="7" t="str">
        <f t="shared" si="648"/>
        <v/>
      </c>
    </row>
    <row r="1114" spans="1:19">
      <c r="A1114" s="53" t="s">
        <v>11</v>
      </c>
      <c r="B1114" s="23" t="s">
        <v>111</v>
      </c>
      <c r="C1114" t="s">
        <v>84</v>
      </c>
      <c r="D1114" s="55">
        <v>4.5999999999999996</v>
      </c>
      <c r="E1114" s="55">
        <v>0.4</v>
      </c>
      <c r="F1114" s="55">
        <v>0.2</v>
      </c>
      <c r="K1114" s="7" t="str">
        <f t="shared" si="644"/>
        <v/>
      </c>
      <c r="L1114" s="7" t="str">
        <f t="shared" si="649"/>
        <v/>
      </c>
      <c r="M1114" s="7" t="str">
        <f t="shared" si="645"/>
        <v/>
      </c>
      <c r="N1114" s="7" t="str">
        <f t="shared" si="646"/>
        <v/>
      </c>
      <c r="O1114" s="7" t="str">
        <f t="shared" si="650"/>
        <v/>
      </c>
      <c r="P1114" s="7" t="str">
        <f t="shared" si="648"/>
        <v/>
      </c>
      <c r="S1114" s="7" t="str">
        <f t="shared" ref="S1114" si="661">IF(I1114=32,G1114*H1114*J1114,"")</f>
        <v/>
      </c>
    </row>
    <row r="1115" spans="1:19">
      <c r="A1115" s="46" t="s">
        <v>74</v>
      </c>
      <c r="B1115" s="23"/>
      <c r="D1115" s="55"/>
      <c r="E1115" s="55"/>
      <c r="F1115" s="55"/>
      <c r="G1115" s="9">
        <v>1</v>
      </c>
      <c r="H1115" s="9">
        <v>3</v>
      </c>
      <c r="I1115" s="9">
        <v>10</v>
      </c>
      <c r="J1115" s="9">
        <f>D1114+36*I1115/1000</f>
        <v>4.96</v>
      </c>
      <c r="K1115" s="7" t="str">
        <f t="shared" si="644"/>
        <v/>
      </c>
      <c r="L1115" s="7" t="str">
        <f t="shared" si="649"/>
        <v/>
      </c>
      <c r="M1115" s="7">
        <f t="shared" si="645"/>
        <v>14.879999999999999</v>
      </c>
      <c r="N1115" s="7" t="str">
        <f t="shared" si="646"/>
        <v/>
      </c>
      <c r="O1115" s="7" t="str">
        <f t="shared" si="650"/>
        <v/>
      </c>
      <c r="P1115" s="7" t="str">
        <f t="shared" si="648"/>
        <v/>
      </c>
    </row>
    <row r="1116" spans="1:19">
      <c r="A1116" s="46" t="s">
        <v>75</v>
      </c>
      <c r="B1116" s="23"/>
      <c r="D1116" s="55"/>
      <c r="E1116" s="55"/>
      <c r="F1116" s="55"/>
      <c r="G1116" s="9">
        <v>1</v>
      </c>
      <c r="H1116" s="9">
        <v>3</v>
      </c>
      <c r="I1116" s="9">
        <v>10</v>
      </c>
      <c r="J1116" s="9">
        <f>D1114+36*I1116/1000</f>
        <v>4.96</v>
      </c>
      <c r="K1116" s="7" t="str">
        <f t="shared" si="644"/>
        <v/>
      </c>
      <c r="L1116" s="7" t="str">
        <f t="shared" si="649"/>
        <v/>
      </c>
      <c r="M1116" s="7">
        <f t="shared" si="645"/>
        <v>14.879999999999999</v>
      </c>
      <c r="N1116" s="7" t="str">
        <f t="shared" si="646"/>
        <v/>
      </c>
      <c r="O1116" s="7" t="str">
        <f t="shared" si="650"/>
        <v/>
      </c>
      <c r="P1116" s="7" t="str">
        <f t="shared" si="648"/>
        <v/>
      </c>
    </row>
    <row r="1117" spans="1:19">
      <c r="A1117" s="46" t="s">
        <v>76</v>
      </c>
      <c r="B1117" s="23"/>
      <c r="D1117" s="55"/>
      <c r="E1117" s="55"/>
      <c r="F1117" s="55"/>
      <c r="G1117" s="9">
        <v>1</v>
      </c>
      <c r="H1117" s="9">
        <f>ROUNDUP((D1114/0.2)+10,0)</f>
        <v>33</v>
      </c>
      <c r="I1117" s="9">
        <v>6</v>
      </c>
      <c r="J1117" s="9">
        <f>2*(E1114-0.025+F1114-0.025)+20.5*I1117/1000</f>
        <v>1.2229999999999999</v>
      </c>
      <c r="K1117" s="7">
        <f t="shared" si="644"/>
        <v>40.358999999999995</v>
      </c>
      <c r="L1117" s="7" t="str">
        <f t="shared" si="649"/>
        <v/>
      </c>
      <c r="M1117" s="7" t="str">
        <f t="shared" si="645"/>
        <v/>
      </c>
      <c r="N1117" s="7" t="str">
        <f t="shared" si="646"/>
        <v/>
      </c>
      <c r="O1117" s="7" t="str">
        <f t="shared" si="650"/>
        <v/>
      </c>
      <c r="P1117" s="7" t="str">
        <f t="shared" ref="P1117:P1143" si="662">IF(I1117=16,G1117*H1117*J1117,"")</f>
        <v/>
      </c>
    </row>
    <row r="1118" spans="1:19">
      <c r="A1118" s="46" t="s">
        <v>77</v>
      </c>
      <c r="B1118" s="23"/>
      <c r="D1118" s="55"/>
      <c r="E1118" s="55"/>
      <c r="F1118" s="55"/>
      <c r="G1118" s="9">
        <v>1</v>
      </c>
      <c r="H1118" s="9">
        <f>ROUNDUP((D1114/0.2)+10,0)</f>
        <v>33</v>
      </c>
      <c r="I1118" s="9">
        <v>6</v>
      </c>
      <c r="J1118" s="9">
        <f>(F1114-0.025)+22*I1118/1000</f>
        <v>0.30700000000000005</v>
      </c>
      <c r="K1118" s="7">
        <f t="shared" si="644"/>
        <v>10.131000000000002</v>
      </c>
      <c r="L1118" s="7" t="str">
        <f t="shared" si="649"/>
        <v/>
      </c>
      <c r="M1118" s="7" t="str">
        <f t="shared" si="645"/>
        <v/>
      </c>
      <c r="N1118" s="7" t="str">
        <f t="shared" si="646"/>
        <v/>
      </c>
      <c r="O1118" s="7" t="str">
        <f t="shared" si="650"/>
        <v/>
      </c>
      <c r="P1118" s="7" t="str">
        <f t="shared" si="662"/>
        <v/>
      </c>
    </row>
    <row r="1119" spans="1:19">
      <c r="A1119" s="53" t="s">
        <v>25</v>
      </c>
      <c r="B1119" s="23" t="s">
        <v>80</v>
      </c>
      <c r="C1119" t="s">
        <v>84</v>
      </c>
      <c r="D1119" s="55">
        <f>3.82+0.4+0.82</f>
        <v>5.04</v>
      </c>
      <c r="E1119" s="55">
        <v>0.4</v>
      </c>
      <c r="F1119" s="55">
        <v>0.2</v>
      </c>
      <c r="K1119" s="7" t="str">
        <f t="shared" si="644"/>
        <v/>
      </c>
      <c r="L1119" s="7" t="str">
        <f t="shared" si="649"/>
        <v/>
      </c>
      <c r="M1119" s="7" t="str">
        <f t="shared" si="645"/>
        <v/>
      </c>
      <c r="N1119" s="7" t="str">
        <f t="shared" si="646"/>
        <v/>
      </c>
      <c r="O1119" s="7" t="str">
        <f t="shared" si="650"/>
        <v/>
      </c>
      <c r="P1119" s="7" t="str">
        <f t="shared" si="662"/>
        <v/>
      </c>
      <c r="S1119" s="7" t="str">
        <f t="shared" ref="S1119" si="663">IF(I1119=32,G1119*H1119*J1119,"")</f>
        <v/>
      </c>
    </row>
    <row r="1120" spans="1:19">
      <c r="A1120" s="46" t="s">
        <v>74</v>
      </c>
      <c r="B1120" s="23"/>
      <c r="D1120" s="55"/>
      <c r="E1120" s="55"/>
      <c r="F1120" s="55"/>
      <c r="G1120" s="9">
        <v>1</v>
      </c>
      <c r="H1120" s="9">
        <v>3</v>
      </c>
      <c r="I1120" s="9">
        <v>10</v>
      </c>
      <c r="J1120" s="9">
        <f>D1119+36*I1120/1000</f>
        <v>5.4</v>
      </c>
      <c r="K1120" s="7" t="str">
        <f t="shared" si="644"/>
        <v/>
      </c>
      <c r="L1120" s="7" t="str">
        <f t="shared" si="649"/>
        <v/>
      </c>
      <c r="M1120" s="7">
        <f t="shared" si="645"/>
        <v>16.200000000000003</v>
      </c>
      <c r="N1120" s="7" t="str">
        <f t="shared" si="646"/>
        <v/>
      </c>
      <c r="O1120" s="7" t="str">
        <f t="shared" si="650"/>
        <v/>
      </c>
      <c r="P1120" s="7" t="str">
        <f t="shared" si="662"/>
        <v/>
      </c>
    </row>
    <row r="1121" spans="1:19">
      <c r="A1121" s="46" t="s">
        <v>75</v>
      </c>
      <c r="B1121" s="23"/>
      <c r="D1121" s="55"/>
      <c r="E1121" s="55"/>
      <c r="F1121" s="55"/>
      <c r="G1121" s="9">
        <v>1</v>
      </c>
      <c r="H1121" s="9">
        <v>3</v>
      </c>
      <c r="I1121" s="9">
        <v>10</v>
      </c>
      <c r="J1121" s="9">
        <f>D1119+36*I1121/1000</f>
        <v>5.4</v>
      </c>
      <c r="K1121" s="7" t="str">
        <f t="shared" si="644"/>
        <v/>
      </c>
      <c r="L1121" s="7" t="str">
        <f t="shared" si="649"/>
        <v/>
      </c>
      <c r="M1121" s="7">
        <f t="shared" si="645"/>
        <v>16.200000000000003</v>
      </c>
      <c r="N1121" s="7" t="str">
        <f t="shared" si="646"/>
        <v/>
      </c>
      <c r="O1121" s="7" t="str">
        <f t="shared" si="650"/>
        <v/>
      </c>
      <c r="P1121" s="7" t="str">
        <f t="shared" si="662"/>
        <v/>
      </c>
    </row>
    <row r="1122" spans="1:19">
      <c r="A1122" s="46" t="s">
        <v>76</v>
      </c>
      <c r="B1122" s="23"/>
      <c r="D1122" s="55"/>
      <c r="E1122" s="55"/>
      <c r="F1122" s="55"/>
      <c r="G1122" s="9">
        <v>1</v>
      </c>
      <c r="H1122" s="9">
        <f>ROUNDUP((D1119/0.2)+10,0)</f>
        <v>36</v>
      </c>
      <c r="I1122" s="9">
        <v>6</v>
      </c>
      <c r="J1122" s="9">
        <f>2*(E1119-0.025+F1119-0.025)+20.5*I1122/1000</f>
        <v>1.2229999999999999</v>
      </c>
      <c r="K1122" s="7">
        <f t="shared" si="644"/>
        <v>44.027999999999992</v>
      </c>
      <c r="L1122" s="7" t="str">
        <f t="shared" si="649"/>
        <v/>
      </c>
      <c r="M1122" s="7" t="str">
        <f t="shared" si="645"/>
        <v/>
      </c>
      <c r="N1122" s="7" t="str">
        <f t="shared" si="646"/>
        <v/>
      </c>
      <c r="O1122" s="7" t="str">
        <f t="shared" si="650"/>
        <v/>
      </c>
      <c r="P1122" s="7" t="str">
        <f t="shared" si="662"/>
        <v/>
      </c>
    </row>
    <row r="1123" spans="1:19">
      <c r="A1123" s="46" t="s">
        <v>77</v>
      </c>
      <c r="B1123" s="23"/>
      <c r="D1123" s="55"/>
      <c r="E1123" s="55"/>
      <c r="F1123" s="55"/>
      <c r="G1123" s="9">
        <v>1</v>
      </c>
      <c r="H1123" s="9">
        <f>ROUNDUP((D1119/0.2)+10,0)</f>
        <v>36</v>
      </c>
      <c r="I1123" s="9">
        <v>6</v>
      </c>
      <c r="J1123" s="9">
        <f>(F1119-0.025)+22*I1123/1000</f>
        <v>0.30700000000000005</v>
      </c>
      <c r="K1123" s="7">
        <f t="shared" si="644"/>
        <v>11.052000000000001</v>
      </c>
      <c r="L1123" s="7" t="str">
        <f t="shared" si="649"/>
        <v/>
      </c>
      <c r="M1123" s="7" t="str">
        <f t="shared" si="645"/>
        <v/>
      </c>
      <c r="N1123" s="7" t="str">
        <f t="shared" si="646"/>
        <v/>
      </c>
      <c r="O1123" s="7" t="str">
        <f t="shared" si="650"/>
        <v/>
      </c>
      <c r="P1123" s="7" t="str">
        <f t="shared" si="662"/>
        <v/>
      </c>
    </row>
    <row r="1124" spans="1:19">
      <c r="A1124" s="23" t="s">
        <v>114</v>
      </c>
      <c r="B1124" s="23" t="s">
        <v>80</v>
      </c>
      <c r="C1124" t="s">
        <v>84</v>
      </c>
      <c r="D1124" s="55">
        <f>1.08+0.15+3.82</f>
        <v>5.05</v>
      </c>
      <c r="E1124" s="55">
        <v>0.4</v>
      </c>
      <c r="F1124" s="55">
        <v>0.2</v>
      </c>
      <c r="K1124" s="7" t="str">
        <f t="shared" si="644"/>
        <v/>
      </c>
      <c r="L1124" s="7" t="str">
        <f t="shared" si="649"/>
        <v/>
      </c>
      <c r="M1124" s="7" t="str">
        <f t="shared" si="645"/>
        <v/>
      </c>
      <c r="N1124" s="7" t="str">
        <f t="shared" si="646"/>
        <v/>
      </c>
      <c r="O1124" s="7" t="str">
        <f t="shared" si="650"/>
        <v/>
      </c>
      <c r="P1124" s="7" t="str">
        <f t="shared" si="662"/>
        <v/>
      </c>
      <c r="S1124" s="7" t="str">
        <f t="shared" ref="S1124" si="664">IF(I1124=32,G1124*H1124*J1124,"")</f>
        <v/>
      </c>
    </row>
    <row r="1125" spans="1:19">
      <c r="A1125" s="46" t="s">
        <v>74</v>
      </c>
      <c r="B1125" s="23"/>
      <c r="D1125" s="55"/>
      <c r="E1125" s="55"/>
      <c r="F1125" s="55"/>
      <c r="G1125" s="9">
        <v>1</v>
      </c>
      <c r="H1125" s="9">
        <v>3</v>
      </c>
      <c r="I1125" s="9">
        <v>10</v>
      </c>
      <c r="J1125" s="9">
        <f>D1124+36*I1125/1000</f>
        <v>5.41</v>
      </c>
      <c r="K1125" s="7" t="str">
        <f t="shared" si="644"/>
        <v/>
      </c>
      <c r="L1125" s="7" t="str">
        <f t="shared" si="649"/>
        <v/>
      </c>
      <c r="M1125" s="7">
        <f t="shared" si="645"/>
        <v>16.23</v>
      </c>
      <c r="N1125" s="7" t="str">
        <f t="shared" si="646"/>
        <v/>
      </c>
      <c r="O1125" s="7" t="str">
        <f t="shared" si="650"/>
        <v/>
      </c>
      <c r="P1125" s="7" t="str">
        <f t="shared" si="662"/>
        <v/>
      </c>
    </row>
    <row r="1126" spans="1:19">
      <c r="A1126" s="46" t="s">
        <v>75</v>
      </c>
      <c r="B1126" s="23"/>
      <c r="D1126" s="55"/>
      <c r="E1126" s="55"/>
      <c r="F1126" s="55"/>
      <c r="G1126" s="9">
        <v>1</v>
      </c>
      <c r="H1126" s="9">
        <v>3</v>
      </c>
      <c r="I1126" s="9">
        <v>10</v>
      </c>
      <c r="J1126" s="9">
        <f>D1124+36*I1126/1000</f>
        <v>5.41</v>
      </c>
      <c r="K1126" s="7" t="str">
        <f t="shared" si="644"/>
        <v/>
      </c>
      <c r="L1126" s="7" t="str">
        <f t="shared" si="649"/>
        <v/>
      </c>
      <c r="M1126" s="7">
        <f t="shared" si="645"/>
        <v>16.23</v>
      </c>
      <c r="N1126" s="7" t="str">
        <f t="shared" si="646"/>
        <v/>
      </c>
      <c r="O1126" s="7" t="str">
        <f t="shared" si="650"/>
        <v/>
      </c>
      <c r="P1126" s="7" t="str">
        <f t="shared" si="662"/>
        <v/>
      </c>
    </row>
    <row r="1127" spans="1:19">
      <c r="A1127" s="46" t="s">
        <v>76</v>
      </c>
      <c r="B1127" s="23"/>
      <c r="D1127" s="55"/>
      <c r="E1127" s="55"/>
      <c r="F1127" s="55"/>
      <c r="G1127" s="9">
        <v>1</v>
      </c>
      <c r="H1127" s="9">
        <f>ROUNDUP((D1124/0.2)+10,0)</f>
        <v>36</v>
      </c>
      <c r="I1127" s="9">
        <v>6</v>
      </c>
      <c r="J1127" s="9">
        <f>2*(E1124-0.025+F1124-0.025)+20.5*I1127/1000</f>
        <v>1.2229999999999999</v>
      </c>
      <c r="K1127" s="7">
        <f t="shared" si="644"/>
        <v>44.027999999999992</v>
      </c>
      <c r="L1127" s="7" t="str">
        <f t="shared" si="649"/>
        <v/>
      </c>
      <c r="M1127" s="7" t="str">
        <f t="shared" si="645"/>
        <v/>
      </c>
      <c r="N1127" s="7" t="str">
        <f t="shared" si="646"/>
        <v/>
      </c>
      <c r="O1127" s="7" t="str">
        <f t="shared" si="650"/>
        <v/>
      </c>
      <c r="P1127" s="7" t="str">
        <f t="shared" si="662"/>
        <v/>
      </c>
    </row>
    <row r="1128" spans="1:19">
      <c r="A1128" s="46" t="s">
        <v>77</v>
      </c>
      <c r="B1128" s="23"/>
      <c r="D1128" s="55"/>
      <c r="E1128" s="55"/>
      <c r="F1128" s="55"/>
      <c r="G1128" s="9">
        <v>1</v>
      </c>
      <c r="H1128" s="9">
        <f>ROUNDUP((D1124/0.2)+10,0)</f>
        <v>36</v>
      </c>
      <c r="I1128" s="9">
        <v>6</v>
      </c>
      <c r="J1128" s="9">
        <f>(F1124-0.025)+22*I1128/1000</f>
        <v>0.30700000000000005</v>
      </c>
      <c r="K1128" s="7">
        <f t="shared" si="644"/>
        <v>11.052000000000001</v>
      </c>
      <c r="L1128" s="7" t="str">
        <f t="shared" ref="L1128:L1143" si="665">IF(I1128=8,G1128*H1128*J1128,"")</f>
        <v/>
      </c>
      <c r="M1128" s="7" t="str">
        <f t="shared" si="645"/>
        <v/>
      </c>
      <c r="N1128" s="7" t="str">
        <f t="shared" si="646"/>
        <v/>
      </c>
      <c r="O1128" s="7" t="str">
        <f t="shared" si="650"/>
        <v/>
      </c>
      <c r="P1128" s="7" t="str">
        <f t="shared" si="662"/>
        <v/>
      </c>
    </row>
    <row r="1129" spans="1:19">
      <c r="A1129" s="23" t="s">
        <v>85</v>
      </c>
      <c r="B1129" s="23" t="s">
        <v>118</v>
      </c>
      <c r="C1129" t="s">
        <v>84</v>
      </c>
      <c r="D1129" s="55">
        <f>3.82+0.4</f>
        <v>4.22</v>
      </c>
      <c r="E1129" s="55">
        <v>0.4</v>
      </c>
      <c r="F1129" s="55">
        <v>0.2</v>
      </c>
      <c r="K1129" s="7" t="str">
        <f t="shared" si="644"/>
        <v/>
      </c>
      <c r="L1129" s="7" t="str">
        <f t="shared" si="665"/>
        <v/>
      </c>
      <c r="M1129" s="7" t="str">
        <f t="shared" si="645"/>
        <v/>
      </c>
      <c r="N1129" s="7" t="str">
        <f t="shared" si="646"/>
        <v/>
      </c>
      <c r="O1129" s="7" t="str">
        <f t="shared" si="650"/>
        <v/>
      </c>
      <c r="P1129" s="7" t="str">
        <f t="shared" si="662"/>
        <v/>
      </c>
      <c r="S1129" s="7" t="str">
        <f t="shared" ref="S1129" si="666">IF(I1129=32,G1129*H1129*J1129,"")</f>
        <v/>
      </c>
    </row>
    <row r="1130" spans="1:19">
      <c r="A1130" s="46" t="s">
        <v>74</v>
      </c>
      <c r="B1130" s="23"/>
      <c r="D1130" s="55"/>
      <c r="E1130" s="55"/>
      <c r="F1130" s="55"/>
      <c r="G1130" s="9">
        <v>1</v>
      </c>
      <c r="H1130" s="9">
        <v>3</v>
      </c>
      <c r="I1130" s="9">
        <v>10</v>
      </c>
      <c r="J1130" s="9">
        <f>D1129+36*I1130/1000</f>
        <v>4.58</v>
      </c>
      <c r="K1130" s="7" t="str">
        <f t="shared" si="644"/>
        <v/>
      </c>
      <c r="L1130" s="7" t="str">
        <f t="shared" si="665"/>
        <v/>
      </c>
      <c r="M1130" s="7">
        <f t="shared" si="645"/>
        <v>13.74</v>
      </c>
      <c r="N1130" s="7" t="str">
        <f t="shared" si="646"/>
        <v/>
      </c>
      <c r="O1130" s="7" t="str">
        <f t="shared" si="650"/>
        <v/>
      </c>
      <c r="P1130" s="7" t="str">
        <f t="shared" si="662"/>
        <v/>
      </c>
    </row>
    <row r="1131" spans="1:19">
      <c r="A1131" s="46" t="s">
        <v>75</v>
      </c>
      <c r="B1131" s="23"/>
      <c r="D1131" s="55"/>
      <c r="E1131" s="55"/>
      <c r="F1131" s="55"/>
      <c r="G1131" s="9">
        <v>1</v>
      </c>
      <c r="H1131" s="9">
        <v>3</v>
      </c>
      <c r="I1131" s="9">
        <v>10</v>
      </c>
      <c r="J1131" s="9">
        <f>D1129+36*I1131/1000</f>
        <v>4.58</v>
      </c>
      <c r="K1131" s="7" t="str">
        <f t="shared" si="644"/>
        <v/>
      </c>
      <c r="L1131" s="7" t="str">
        <f t="shared" si="665"/>
        <v/>
      </c>
      <c r="M1131" s="7">
        <f t="shared" si="645"/>
        <v>13.74</v>
      </c>
      <c r="N1131" s="7" t="str">
        <f t="shared" si="646"/>
        <v/>
      </c>
      <c r="O1131" s="7" t="str">
        <f t="shared" si="650"/>
        <v/>
      </c>
      <c r="P1131" s="7" t="str">
        <f t="shared" si="662"/>
        <v/>
      </c>
    </row>
    <row r="1132" spans="1:19">
      <c r="A1132" s="46" t="s">
        <v>76</v>
      </c>
      <c r="B1132" s="23"/>
      <c r="D1132" s="55"/>
      <c r="E1132" s="55"/>
      <c r="F1132" s="55"/>
      <c r="G1132" s="9">
        <v>1</v>
      </c>
      <c r="H1132" s="9">
        <f>ROUNDUP((D1129/0.2)+10,0)</f>
        <v>32</v>
      </c>
      <c r="I1132" s="9">
        <v>6</v>
      </c>
      <c r="J1132" s="9">
        <f>2*(E1129-0.025+F1129-0.025)+20.5*I1132/1000</f>
        <v>1.2229999999999999</v>
      </c>
      <c r="K1132" s="7">
        <f t="shared" si="644"/>
        <v>39.135999999999996</v>
      </c>
      <c r="L1132" s="7" t="str">
        <f t="shared" si="665"/>
        <v/>
      </c>
      <c r="M1132" s="7" t="str">
        <f t="shared" si="645"/>
        <v/>
      </c>
      <c r="N1132" s="7" t="str">
        <f t="shared" si="646"/>
        <v/>
      </c>
      <c r="O1132" s="7" t="str">
        <f t="shared" si="650"/>
        <v/>
      </c>
      <c r="P1132" s="7" t="str">
        <f t="shared" si="662"/>
        <v/>
      </c>
    </row>
    <row r="1133" spans="1:19">
      <c r="A1133" s="46" t="s">
        <v>77</v>
      </c>
      <c r="B1133" s="23"/>
      <c r="D1133" s="55"/>
      <c r="E1133" s="55"/>
      <c r="F1133" s="55"/>
      <c r="G1133" s="9">
        <v>1</v>
      </c>
      <c r="H1133" s="9">
        <f>ROUNDUP((D1129/0.2)+10,0)</f>
        <v>32</v>
      </c>
      <c r="I1133" s="9">
        <v>6</v>
      </c>
      <c r="J1133" s="9">
        <f>(F1129-0.025)+22*I1133/1000</f>
        <v>0.30700000000000005</v>
      </c>
      <c r="K1133" s="7">
        <f t="shared" si="644"/>
        <v>9.8240000000000016</v>
      </c>
      <c r="L1133" s="7" t="str">
        <f t="shared" si="665"/>
        <v/>
      </c>
      <c r="M1133" s="7" t="str">
        <f t="shared" si="645"/>
        <v/>
      </c>
      <c r="N1133" s="7" t="str">
        <f t="shared" si="646"/>
        <v/>
      </c>
      <c r="O1133" s="7" t="str">
        <f t="shared" si="650"/>
        <v/>
      </c>
      <c r="P1133" s="7" t="str">
        <f t="shared" si="662"/>
        <v/>
      </c>
    </row>
    <row r="1134" spans="1:19">
      <c r="A1134" s="53" t="s">
        <v>119</v>
      </c>
      <c r="B1134" s="23" t="s">
        <v>118</v>
      </c>
      <c r="C1134" t="s">
        <v>84</v>
      </c>
      <c r="D1134" s="55">
        <f>0.82+1.08</f>
        <v>1.9</v>
      </c>
      <c r="E1134" s="55">
        <v>0.4</v>
      </c>
      <c r="F1134" s="55">
        <v>0.2</v>
      </c>
      <c r="K1134" s="7" t="str">
        <f t="shared" si="644"/>
        <v/>
      </c>
      <c r="L1134" s="7" t="str">
        <f t="shared" si="665"/>
        <v/>
      </c>
      <c r="M1134" s="7" t="str">
        <f t="shared" si="645"/>
        <v/>
      </c>
      <c r="N1134" s="7" t="str">
        <f t="shared" si="646"/>
        <v/>
      </c>
      <c r="O1134" s="7" t="str">
        <f t="shared" si="650"/>
        <v/>
      </c>
      <c r="P1134" s="7" t="str">
        <f t="shared" si="662"/>
        <v/>
      </c>
      <c r="S1134" s="7" t="str">
        <f t="shared" ref="S1134" si="667">IF(I1134=32,G1134*H1134*J1134,"")</f>
        <v/>
      </c>
    </row>
    <row r="1135" spans="1:19">
      <c r="A1135" s="46" t="s">
        <v>74</v>
      </c>
      <c r="B1135" s="23"/>
      <c r="D1135" s="55"/>
      <c r="E1135" s="55"/>
      <c r="F1135" s="55"/>
      <c r="G1135" s="9">
        <v>1</v>
      </c>
      <c r="H1135" s="9">
        <v>3</v>
      </c>
      <c r="I1135" s="9">
        <v>10</v>
      </c>
      <c r="J1135" s="9">
        <f>D1134+36*I1135/1000</f>
        <v>2.2599999999999998</v>
      </c>
      <c r="K1135" s="7" t="str">
        <f t="shared" si="644"/>
        <v/>
      </c>
      <c r="L1135" s="7" t="str">
        <f t="shared" si="665"/>
        <v/>
      </c>
      <c r="M1135" s="7">
        <f t="shared" si="645"/>
        <v>6.7799999999999994</v>
      </c>
      <c r="N1135" s="7" t="str">
        <f t="shared" si="646"/>
        <v/>
      </c>
      <c r="O1135" s="7" t="str">
        <f t="shared" si="650"/>
        <v/>
      </c>
      <c r="P1135" s="7" t="str">
        <f t="shared" si="662"/>
        <v/>
      </c>
    </row>
    <row r="1136" spans="1:19">
      <c r="A1136" s="46" t="s">
        <v>75</v>
      </c>
      <c r="B1136" s="23"/>
      <c r="D1136" s="55"/>
      <c r="E1136" s="55"/>
      <c r="F1136" s="55"/>
      <c r="G1136" s="9">
        <v>1</v>
      </c>
      <c r="H1136" s="9">
        <v>3</v>
      </c>
      <c r="I1136" s="9">
        <v>10</v>
      </c>
      <c r="J1136" s="9">
        <f>D1134+36*I1136/1000</f>
        <v>2.2599999999999998</v>
      </c>
      <c r="K1136" s="7" t="str">
        <f t="shared" si="644"/>
        <v/>
      </c>
      <c r="L1136" s="7" t="str">
        <f t="shared" si="665"/>
        <v/>
      </c>
      <c r="M1136" s="7">
        <f t="shared" si="645"/>
        <v>6.7799999999999994</v>
      </c>
      <c r="N1136" s="7" t="str">
        <f t="shared" si="646"/>
        <v/>
      </c>
      <c r="O1136" s="7" t="str">
        <f t="shared" si="650"/>
        <v/>
      </c>
      <c r="P1136" s="7" t="str">
        <f t="shared" si="662"/>
        <v/>
      </c>
    </row>
    <row r="1137" spans="1:19">
      <c r="A1137" s="46" t="s">
        <v>76</v>
      </c>
      <c r="B1137" s="23"/>
      <c r="D1137" s="55"/>
      <c r="E1137" s="55"/>
      <c r="F1137" s="55"/>
      <c r="G1137" s="9">
        <v>1</v>
      </c>
      <c r="H1137" s="9">
        <f>ROUNDUP((D1134/0.2)+10,0)</f>
        <v>20</v>
      </c>
      <c r="I1137" s="9">
        <v>6</v>
      </c>
      <c r="J1137" s="9">
        <f>2*(E1134-0.025+F1134-0.025)+20.5*I1137/1000</f>
        <v>1.2229999999999999</v>
      </c>
      <c r="K1137" s="7">
        <f t="shared" si="644"/>
        <v>24.459999999999997</v>
      </c>
      <c r="L1137" s="7" t="str">
        <f t="shared" si="665"/>
        <v/>
      </c>
      <c r="M1137" s="7" t="str">
        <f t="shared" si="645"/>
        <v/>
      </c>
      <c r="N1137" s="7" t="str">
        <f t="shared" si="646"/>
        <v/>
      </c>
      <c r="O1137" s="7" t="str">
        <f t="shared" si="650"/>
        <v/>
      </c>
      <c r="P1137" s="7" t="str">
        <f t="shared" si="662"/>
        <v/>
      </c>
    </row>
    <row r="1138" spans="1:19">
      <c r="A1138" s="46" t="s">
        <v>77</v>
      </c>
      <c r="B1138" s="23"/>
      <c r="D1138" s="55"/>
      <c r="E1138" s="55"/>
      <c r="F1138" s="55"/>
      <c r="G1138" s="9">
        <v>1</v>
      </c>
      <c r="H1138" s="9">
        <f>ROUNDUP((D1134/0.2)+10,0)</f>
        <v>20</v>
      </c>
      <c r="I1138" s="9">
        <v>6</v>
      </c>
      <c r="J1138" s="9">
        <f>(F1134-0.025)+22*I1138/1000</f>
        <v>0.30700000000000005</v>
      </c>
      <c r="K1138" s="7">
        <f t="shared" si="644"/>
        <v>6.1400000000000006</v>
      </c>
      <c r="L1138" s="7" t="str">
        <f t="shared" si="665"/>
        <v/>
      </c>
      <c r="M1138" s="7" t="str">
        <f t="shared" si="645"/>
        <v/>
      </c>
      <c r="N1138" s="7" t="str">
        <f t="shared" si="646"/>
        <v/>
      </c>
      <c r="O1138" s="7" t="str">
        <f t="shared" si="650"/>
        <v/>
      </c>
      <c r="P1138" s="7" t="str">
        <f t="shared" si="662"/>
        <v/>
      </c>
    </row>
    <row r="1139" spans="1:19">
      <c r="A1139" s="53" t="s">
        <v>115</v>
      </c>
      <c r="B1139" s="23" t="s">
        <v>118</v>
      </c>
      <c r="C1139" t="s">
        <v>84</v>
      </c>
      <c r="D1139" s="55">
        <f>0.15+3.82</f>
        <v>3.9699999999999998</v>
      </c>
      <c r="E1139" s="55">
        <v>0.4</v>
      </c>
      <c r="F1139" s="55">
        <v>0.2</v>
      </c>
      <c r="K1139" s="7" t="str">
        <f t="shared" si="644"/>
        <v/>
      </c>
      <c r="L1139" s="7" t="str">
        <f t="shared" si="665"/>
        <v/>
      </c>
      <c r="M1139" s="7" t="str">
        <f t="shared" si="645"/>
        <v/>
      </c>
      <c r="N1139" s="7" t="str">
        <f t="shared" si="646"/>
        <v/>
      </c>
      <c r="O1139" s="7" t="str">
        <f t="shared" si="650"/>
        <v/>
      </c>
      <c r="P1139" s="7" t="str">
        <f t="shared" si="662"/>
        <v/>
      </c>
      <c r="S1139" s="7" t="str">
        <f t="shared" ref="S1139" si="668">IF(I1139=32,G1139*H1139*J1139,"")</f>
        <v/>
      </c>
    </row>
    <row r="1140" spans="1:19">
      <c r="A1140" s="46" t="s">
        <v>74</v>
      </c>
      <c r="B1140" s="23"/>
      <c r="D1140" s="55"/>
      <c r="E1140" s="55"/>
      <c r="F1140" s="55"/>
      <c r="G1140" s="9">
        <v>1</v>
      </c>
      <c r="H1140" s="9">
        <v>3</v>
      </c>
      <c r="I1140" s="9">
        <v>10</v>
      </c>
      <c r="J1140" s="9">
        <f>D1139+36*I1140/1000</f>
        <v>4.33</v>
      </c>
      <c r="K1140" s="7" t="str">
        <f t="shared" si="644"/>
        <v/>
      </c>
      <c r="L1140" s="7" t="str">
        <f t="shared" si="665"/>
        <v/>
      </c>
      <c r="M1140" s="7">
        <f t="shared" si="645"/>
        <v>12.99</v>
      </c>
      <c r="N1140" s="7" t="str">
        <f t="shared" si="646"/>
        <v/>
      </c>
      <c r="O1140" s="7" t="str">
        <f t="shared" si="650"/>
        <v/>
      </c>
      <c r="P1140" s="7" t="str">
        <f t="shared" si="662"/>
        <v/>
      </c>
    </row>
    <row r="1141" spans="1:19">
      <c r="A1141" s="46" t="s">
        <v>75</v>
      </c>
      <c r="B1141" s="23"/>
      <c r="D1141" s="55"/>
      <c r="E1141" s="55"/>
      <c r="F1141" s="55"/>
      <c r="G1141" s="9">
        <v>1</v>
      </c>
      <c r="H1141" s="9">
        <v>3</v>
      </c>
      <c r="I1141" s="9">
        <v>10</v>
      </c>
      <c r="J1141" s="9">
        <f>D1139+36*I1141/1000</f>
        <v>4.33</v>
      </c>
      <c r="K1141" s="7" t="str">
        <f t="shared" si="644"/>
        <v/>
      </c>
      <c r="L1141" s="7" t="str">
        <f t="shared" si="665"/>
        <v/>
      </c>
      <c r="M1141" s="7">
        <f t="shared" si="645"/>
        <v>12.99</v>
      </c>
      <c r="N1141" s="7" t="str">
        <f t="shared" si="646"/>
        <v/>
      </c>
      <c r="O1141" s="7" t="str">
        <f t="shared" si="650"/>
        <v/>
      </c>
      <c r="P1141" s="7" t="str">
        <f t="shared" si="662"/>
        <v/>
      </c>
    </row>
    <row r="1142" spans="1:19">
      <c r="A1142" s="46" t="s">
        <v>76</v>
      </c>
      <c r="B1142" s="23"/>
      <c r="D1142" s="55"/>
      <c r="E1142" s="55"/>
      <c r="F1142" s="55"/>
      <c r="G1142" s="9">
        <v>1</v>
      </c>
      <c r="H1142" s="9">
        <f>ROUNDUP((D1139/0.2)+10,0)</f>
        <v>30</v>
      </c>
      <c r="I1142" s="9">
        <v>6</v>
      </c>
      <c r="J1142" s="9">
        <f>2*(E1139-0.025+F1139-0.025)+20.5*I1142/1000</f>
        <v>1.2229999999999999</v>
      </c>
      <c r="K1142" s="7">
        <f t="shared" si="644"/>
        <v>36.69</v>
      </c>
      <c r="L1142" s="7" t="str">
        <f t="shared" si="665"/>
        <v/>
      </c>
      <c r="M1142" s="7" t="str">
        <f t="shared" si="645"/>
        <v/>
      </c>
      <c r="N1142" s="7" t="str">
        <f t="shared" si="646"/>
        <v/>
      </c>
      <c r="O1142" s="7" t="str">
        <f t="shared" si="650"/>
        <v/>
      </c>
      <c r="P1142" s="7" t="str">
        <f t="shared" si="662"/>
        <v/>
      </c>
    </row>
    <row r="1143" spans="1:19">
      <c r="A1143" s="46" t="s">
        <v>77</v>
      </c>
      <c r="B1143" s="23"/>
      <c r="D1143" s="55"/>
      <c r="E1143" s="55"/>
      <c r="F1143" s="55"/>
      <c r="G1143" s="9">
        <v>1</v>
      </c>
      <c r="H1143" s="9">
        <f>ROUNDUP((D1139/0.2)+10,0)</f>
        <v>30</v>
      </c>
      <c r="I1143" s="9">
        <v>6</v>
      </c>
      <c r="J1143" s="9">
        <f>(F1139-0.025)+22*I1143/1000</f>
        <v>0.30700000000000005</v>
      </c>
      <c r="K1143" s="7">
        <f t="shared" si="644"/>
        <v>9.2100000000000009</v>
      </c>
      <c r="L1143" s="7" t="str">
        <f t="shared" si="665"/>
        <v/>
      </c>
      <c r="M1143" s="7" t="str">
        <f t="shared" si="645"/>
        <v/>
      </c>
      <c r="N1143" s="7" t="str">
        <f t="shared" si="646"/>
        <v/>
      </c>
      <c r="O1143" s="7" t="str">
        <f t="shared" si="650"/>
        <v/>
      </c>
      <c r="P1143" s="7" t="str">
        <f t="shared" si="662"/>
        <v/>
      </c>
    </row>
    <row r="1144" spans="1:19">
      <c r="A1144" s="155" t="s">
        <v>138</v>
      </c>
      <c r="B1144" s="155"/>
      <c r="C1144" s="155"/>
      <c r="D1144" s="155"/>
      <c r="E1144" s="155"/>
      <c r="F1144" s="156"/>
      <c r="L1144" s="7" t="str">
        <f t="shared" ref="L1144" si="669">IF(I1144=8,G1144*H1144*J1144,"")</f>
        <v/>
      </c>
      <c r="M1144" s="7" t="str">
        <f t="shared" ref="M1144" si="670">IF(I1144=10,G1144*H1144*J1144,"")</f>
        <v/>
      </c>
    </row>
    <row r="1145" spans="1:19" s="45" customFormat="1">
      <c r="A1145" s="172" t="s">
        <v>120</v>
      </c>
      <c r="B1145" s="172"/>
      <c r="C1145" s="172"/>
      <c r="D1145" s="172"/>
      <c r="E1145" s="172"/>
      <c r="F1145" s="173"/>
      <c r="G1145" s="44"/>
      <c r="H1145" s="44"/>
      <c r="I1145" s="44"/>
      <c r="J1145" s="44"/>
      <c r="K1145" s="65"/>
      <c r="L1145" s="65"/>
      <c r="M1145" s="65"/>
      <c r="N1145" s="65"/>
      <c r="O1145" s="65"/>
      <c r="P1145" s="65"/>
      <c r="Q1145" s="65"/>
      <c r="R1145" s="65"/>
      <c r="S1145" s="65"/>
    </row>
    <row r="1146" spans="1:19">
      <c r="B1146" s="2" t="s">
        <v>2</v>
      </c>
      <c r="C1146" s="2" t="s">
        <v>3</v>
      </c>
      <c r="L1146" s="7" t="str">
        <f>IF(I1146=8,G1146*H1146*J1146,"")</f>
        <v/>
      </c>
      <c r="M1146" s="7" t="str">
        <f>IF(I1146=10,G1146*H1146*J1146,"")</f>
        <v/>
      </c>
    </row>
    <row r="1147" spans="1:19">
      <c r="B1147" s="50" t="s">
        <v>121</v>
      </c>
      <c r="C1147" s="51" t="s">
        <v>122</v>
      </c>
      <c r="D1147">
        <f>4.78+2.65+4.6+0.3*2</f>
        <v>12.629999999999999</v>
      </c>
      <c r="E1147">
        <f>3.82+0.4+0.82+1.8+0.15+3.82+0.3*2</f>
        <v>11.41</v>
      </c>
      <c r="L1147" s="7" t="str">
        <f>IF(I1147=8,G1147*H1147*J1147,"")</f>
        <v/>
      </c>
      <c r="M1147" s="7" t="str">
        <f>IF(I1147=10,G1147*H1147*J1147,"")</f>
        <v/>
      </c>
    </row>
    <row r="1148" spans="1:19">
      <c r="B1148" t="s">
        <v>57</v>
      </c>
      <c r="C1148" s="51"/>
      <c r="G1148" s="9">
        <v>1</v>
      </c>
      <c r="H1148" s="9">
        <f>ROUNDUP((D1147/0.15),0)</f>
        <v>85</v>
      </c>
      <c r="I1148" s="9">
        <v>8</v>
      </c>
      <c r="J1148" s="9">
        <f>D1147+1</f>
        <v>13.629999999999999</v>
      </c>
      <c r="L1148" s="7">
        <f>IF(I1148=8,G1148*H1148*J1148,"")</f>
        <v>1158.55</v>
      </c>
      <c r="M1148" s="7" t="str">
        <f>IF(I1148=10,G1148*H1148*J1148,"")</f>
        <v/>
      </c>
    </row>
    <row r="1149" spans="1:19">
      <c r="B1149" t="s">
        <v>58</v>
      </c>
      <c r="C1149" s="51"/>
      <c r="G1149" s="9">
        <v>1</v>
      </c>
      <c r="H1149" s="9">
        <f>ROUNDUP((E1147/0.15),0)</f>
        <v>77</v>
      </c>
      <c r="I1149" s="9">
        <v>8</v>
      </c>
      <c r="J1149" s="9">
        <f>E1147+1</f>
        <v>12.41</v>
      </c>
      <c r="L1149" s="7">
        <f t="shared" ref="L1149" si="671">IF(I1149=8,G1149*H1149*J1149,"")</f>
        <v>955.57</v>
      </c>
      <c r="M1149" s="7" t="str">
        <f t="shared" ref="M1149" si="672">IF(I1149=10,G1149*H1149*J1149,"")</f>
        <v/>
      </c>
    </row>
    <row r="1150" spans="1:19" s="45" customFormat="1">
      <c r="A1150" s="172" t="s">
        <v>123</v>
      </c>
      <c r="B1150" s="172"/>
      <c r="C1150" s="172"/>
      <c r="D1150" s="172"/>
      <c r="E1150" s="172"/>
      <c r="F1150" s="173"/>
      <c r="G1150" s="44"/>
      <c r="H1150" s="44"/>
      <c r="I1150" s="44"/>
      <c r="J1150" s="44"/>
      <c r="K1150" s="65"/>
      <c r="L1150" s="65"/>
      <c r="M1150" s="65"/>
      <c r="N1150" s="65"/>
      <c r="O1150" s="65"/>
      <c r="P1150" s="65"/>
      <c r="Q1150" s="65"/>
      <c r="R1150" s="65"/>
      <c r="S1150" s="65"/>
    </row>
    <row r="1151" spans="1:19">
      <c r="B1151" s="50" t="s">
        <v>121</v>
      </c>
      <c r="C1151" s="51" t="s">
        <v>54</v>
      </c>
      <c r="D1151">
        <f>2.32+7.25+2.48+0.3*2</f>
        <v>12.65</v>
      </c>
      <c r="E1151">
        <f>3.82+0.4+0.82+1.8+0.15+3.82+0.3*2</f>
        <v>11.41</v>
      </c>
      <c r="L1151" s="7" t="str">
        <f>IF(I1151=8,G1151*H1151*J1151,"")</f>
        <v/>
      </c>
      <c r="M1151" s="7" t="str">
        <f>IF(I1151=10,G1151*H1151*J1151,"")</f>
        <v/>
      </c>
    </row>
    <row r="1152" spans="1:19">
      <c r="B1152" t="s">
        <v>57</v>
      </c>
      <c r="C1152" s="51"/>
      <c r="G1152" s="9">
        <v>1</v>
      </c>
      <c r="H1152" s="9">
        <f>ROUNDUP((D1151/0.15)*2,0)</f>
        <v>169</v>
      </c>
      <c r="I1152" s="9">
        <v>8</v>
      </c>
      <c r="J1152" s="9">
        <f>D1151+1</f>
        <v>13.65</v>
      </c>
      <c r="L1152" s="7">
        <f>IF(I1152=8,G1152*H1152*J1152,"")</f>
        <v>2306.85</v>
      </c>
      <c r="M1152" s="7" t="str">
        <f>IF(I1152=10,G1152*H1152*J1152,"")</f>
        <v/>
      </c>
    </row>
    <row r="1153" spans="1:19" ht="14.4" thickBot="1">
      <c r="B1153" t="s">
        <v>58</v>
      </c>
      <c r="C1153" s="51"/>
      <c r="G1153" s="9">
        <v>1</v>
      </c>
      <c r="H1153" s="9">
        <f>ROUNDUP((E1151/0.15)*2,0)</f>
        <v>153</v>
      </c>
      <c r="I1153" s="9">
        <v>8</v>
      </c>
      <c r="J1153" s="9">
        <f>E1151+1</f>
        <v>12.41</v>
      </c>
      <c r="L1153" s="7">
        <f t="shared" ref="L1153" si="673">IF(I1153=8,G1153*H1153*J1153,"")</f>
        <v>1898.73</v>
      </c>
      <c r="M1153" s="7" t="str">
        <f t="shared" ref="M1153" si="674">IF(I1153=10,G1153*H1153*J1153,"")</f>
        <v/>
      </c>
    </row>
    <row r="1154" spans="1:19" ht="16.2" thickTop="1">
      <c r="A1154" s="174"/>
      <c r="B1154" s="175"/>
      <c r="C1154" s="175"/>
      <c r="D1154" s="175"/>
      <c r="E1154" s="175"/>
      <c r="F1154" s="176"/>
      <c r="G1154" s="34" t="s">
        <v>59</v>
      </c>
      <c r="H1154" s="34"/>
      <c r="I1154" s="34"/>
      <c r="J1154" s="34"/>
      <c r="K1154" s="28">
        <f t="shared" ref="K1154:S1154" si="675">SUM(K787:K1153)</f>
        <v>3108.0280000000002</v>
      </c>
      <c r="L1154" s="28">
        <f t="shared" si="675"/>
        <v>6319.6999999999989</v>
      </c>
      <c r="M1154" s="28">
        <f t="shared" si="675"/>
        <v>738.29999999999984</v>
      </c>
      <c r="N1154" s="28">
        <f t="shared" si="675"/>
        <v>1000.8579999999996</v>
      </c>
      <c r="O1154" s="28">
        <f t="shared" si="675"/>
        <v>250.34400000000011</v>
      </c>
      <c r="P1154" s="28">
        <f t="shared" si="675"/>
        <v>0</v>
      </c>
      <c r="Q1154" s="28">
        <f t="shared" si="675"/>
        <v>0</v>
      </c>
      <c r="R1154" s="28">
        <f t="shared" si="675"/>
        <v>0</v>
      </c>
      <c r="S1154" s="28">
        <f t="shared" si="675"/>
        <v>0</v>
      </c>
    </row>
    <row r="1155" spans="1:19" ht="15.6">
      <c r="A1155" s="177"/>
      <c r="B1155" s="178"/>
      <c r="C1155" s="178"/>
      <c r="D1155" s="178"/>
      <c r="E1155" s="178"/>
      <c r="F1155" s="179"/>
      <c r="G1155" s="35" t="s">
        <v>60</v>
      </c>
      <c r="H1155" s="35"/>
      <c r="I1155" s="35"/>
      <c r="J1155" s="35"/>
      <c r="K1155" s="29">
        <f>6*6/162</f>
        <v>0.22222222222222221</v>
      </c>
      <c r="L1155" s="33">
        <f>8*8/162</f>
        <v>0.39506172839506171</v>
      </c>
      <c r="M1155" s="30">
        <f>10*10/162</f>
        <v>0.61728395061728392</v>
      </c>
      <c r="N1155" s="30">
        <f>12*12/162</f>
        <v>0.88888888888888884</v>
      </c>
      <c r="O1155" s="30">
        <f>14*14/162</f>
        <v>1.2098765432098766</v>
      </c>
      <c r="P1155" s="30">
        <f>16*16/162</f>
        <v>1.5802469135802468</v>
      </c>
      <c r="Q1155" s="30">
        <v>2.4660000000000002</v>
      </c>
      <c r="R1155" s="30">
        <v>3.8540000000000001</v>
      </c>
      <c r="S1155" s="31">
        <v>6.3150000000000004</v>
      </c>
    </row>
    <row r="1156" spans="1:19" ht="15.6">
      <c r="A1156" s="177"/>
      <c r="B1156" s="178"/>
      <c r="C1156" s="178"/>
      <c r="D1156" s="178"/>
      <c r="E1156" s="178"/>
      <c r="F1156" s="179"/>
      <c r="G1156" s="35" t="s">
        <v>61</v>
      </c>
      <c r="H1156" s="35"/>
      <c r="I1156" s="35"/>
      <c r="J1156" s="35"/>
      <c r="K1156" s="32">
        <f t="shared" ref="K1156:S1156" si="676">K1155*K1154</f>
        <v>690.67288888888891</v>
      </c>
      <c r="L1156" s="32">
        <f t="shared" si="676"/>
        <v>2496.6716049382712</v>
      </c>
      <c r="M1156" s="32">
        <f t="shared" si="676"/>
        <v>455.74074074074059</v>
      </c>
      <c r="N1156" s="32">
        <f t="shared" si="676"/>
        <v>889.65155555555521</v>
      </c>
      <c r="O1156" s="32">
        <f t="shared" si="676"/>
        <v>302.88533333333345</v>
      </c>
      <c r="P1156" s="32">
        <f t="shared" si="676"/>
        <v>0</v>
      </c>
      <c r="Q1156" s="32">
        <f t="shared" si="676"/>
        <v>0</v>
      </c>
      <c r="R1156" s="32">
        <f t="shared" si="676"/>
        <v>0</v>
      </c>
      <c r="S1156" s="32">
        <f t="shared" si="676"/>
        <v>0</v>
      </c>
    </row>
    <row r="1157" spans="1:19" ht="16.2" thickBot="1">
      <c r="A1157" s="180"/>
      <c r="B1157" s="181"/>
      <c r="C1157" s="181"/>
      <c r="D1157" s="181"/>
      <c r="E1157" s="181"/>
      <c r="F1157" s="182"/>
      <c r="G1157" s="52" t="s">
        <v>62</v>
      </c>
      <c r="H1157" s="35"/>
      <c r="I1157" s="35"/>
      <c r="J1157" s="35"/>
      <c r="K1157" s="169">
        <f>SUM(K1156:S1156)</f>
        <v>4835.6221234567893</v>
      </c>
      <c r="L1157" s="170"/>
      <c r="M1157" s="170"/>
      <c r="N1157" s="170"/>
      <c r="O1157" s="170"/>
      <c r="P1157" s="170"/>
      <c r="Q1157" s="170"/>
      <c r="R1157" s="170"/>
      <c r="S1157" s="171"/>
    </row>
    <row r="1158" spans="1:19" ht="14.4" thickTop="1">
      <c r="G1158" s="183" t="s">
        <v>152</v>
      </c>
      <c r="H1158" s="184"/>
      <c r="I1158" s="184"/>
      <c r="J1158" s="185"/>
      <c r="K1158" s="129">
        <f>K1156*1.1</f>
        <v>759.74017777777783</v>
      </c>
      <c r="L1158" s="129">
        <f t="shared" ref="L1158:S1158" si="677">L1156*1.1</f>
        <v>2746.3387654320986</v>
      </c>
      <c r="M1158" s="129">
        <f t="shared" si="677"/>
        <v>501.31481481481467</v>
      </c>
      <c r="N1158" s="129">
        <f t="shared" si="677"/>
        <v>978.61671111111082</v>
      </c>
      <c r="O1158" s="129">
        <f t="shared" si="677"/>
        <v>333.17386666666681</v>
      </c>
      <c r="P1158" s="129">
        <f t="shared" si="677"/>
        <v>0</v>
      </c>
      <c r="Q1158" s="129">
        <f t="shared" si="677"/>
        <v>0</v>
      </c>
      <c r="R1158" s="129">
        <f t="shared" si="677"/>
        <v>0</v>
      </c>
      <c r="S1158" s="129">
        <f t="shared" si="677"/>
        <v>0</v>
      </c>
    </row>
    <row r="1159" spans="1:19">
      <c r="K1159" s="127">
        <f>1440-K1158</f>
        <v>680.25982222222217</v>
      </c>
      <c r="L1159" s="127">
        <f>-L1158+2910</f>
        <v>163.66123456790137</v>
      </c>
      <c r="M1159" s="127">
        <f t="shared" ref="M1159:S1159" si="678">-M1158</f>
        <v>-501.31481481481467</v>
      </c>
      <c r="N1159" s="127">
        <f t="shared" si="678"/>
        <v>-978.61671111111082</v>
      </c>
      <c r="O1159" s="127">
        <f t="shared" si="678"/>
        <v>-333.17386666666681</v>
      </c>
      <c r="P1159" s="127">
        <f t="shared" si="678"/>
        <v>0</v>
      </c>
      <c r="Q1159" s="127">
        <f t="shared" si="678"/>
        <v>0</v>
      </c>
      <c r="R1159" s="127">
        <f t="shared" si="678"/>
        <v>0</v>
      </c>
      <c r="S1159" s="127">
        <f t="shared" si="678"/>
        <v>0</v>
      </c>
    </row>
    <row r="1160" spans="1:19">
      <c r="K1160" s="128"/>
      <c r="L1160" s="128"/>
    </row>
  </sheetData>
  <mergeCells count="30">
    <mergeCell ref="G1158:J1158"/>
    <mergeCell ref="A1154:F1157"/>
    <mergeCell ref="K1157:S1157"/>
    <mergeCell ref="A1057:C1057"/>
    <mergeCell ref="A1144:F1144"/>
    <mergeCell ref="A1145:F1145"/>
    <mergeCell ref="A1150:F1150"/>
    <mergeCell ref="A786:C786"/>
    <mergeCell ref="A857:C857"/>
    <mergeCell ref="A785:S785"/>
    <mergeCell ref="A959:C959"/>
    <mergeCell ref="A177:C177"/>
    <mergeCell ref="K781:S781"/>
    <mergeCell ref="A465:F465"/>
    <mergeCell ref="A469:F469"/>
    <mergeCell ref="A470:F470"/>
    <mergeCell ref="A778:F781"/>
    <mergeCell ref="A460:F460"/>
    <mergeCell ref="A601:F601"/>
    <mergeCell ref="A4:C4"/>
    <mergeCell ref="A75:C75"/>
    <mergeCell ref="A275:C275"/>
    <mergeCell ref="A459:F459"/>
    <mergeCell ref="K1:S1"/>
    <mergeCell ref="A1:F2"/>
    <mergeCell ref="G1:G2"/>
    <mergeCell ref="H1:H2"/>
    <mergeCell ref="I1:I2"/>
    <mergeCell ref="J1:J2"/>
    <mergeCell ref="A362:C362"/>
  </mergeCells>
  <printOptions horizontalCentered="1"/>
  <pageMargins left="0.25" right="0.25" top="0.75" bottom="0.75" header="0.3" footer="0.3"/>
  <pageSetup paperSize="8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2"/>
  <sheetViews>
    <sheetView zoomScale="85" zoomScaleNormal="85" workbookViewId="0">
      <pane ySplit="2" topLeftCell="A39" activePane="bottomLeft" state="frozen"/>
      <selection pane="bottomLeft" activeCell="I16" sqref="I16"/>
    </sheetView>
  </sheetViews>
  <sheetFormatPr defaultRowHeight="13.8"/>
  <sheetData>
    <row r="1" spans="1:19" ht="34.5" customHeight="1" thickTop="1">
      <c r="A1" s="160" t="s">
        <v>26</v>
      </c>
      <c r="B1" s="160"/>
      <c r="C1" s="160"/>
      <c r="D1" s="161"/>
      <c r="E1" s="161"/>
      <c r="F1" s="161"/>
      <c r="G1" s="163" t="s">
        <v>27</v>
      </c>
      <c r="H1" s="163" t="s">
        <v>28</v>
      </c>
      <c r="I1" s="163" t="s">
        <v>29</v>
      </c>
      <c r="J1" s="165" t="s">
        <v>30</v>
      </c>
      <c r="K1" s="157" t="s">
        <v>31</v>
      </c>
      <c r="L1" s="158"/>
      <c r="M1" s="158"/>
      <c r="N1" s="158"/>
      <c r="O1" s="158"/>
      <c r="P1" s="158"/>
      <c r="Q1" s="158"/>
      <c r="R1" s="158"/>
      <c r="S1" s="159"/>
    </row>
    <row r="2" spans="1:19" ht="34.5" customHeight="1">
      <c r="A2" s="162"/>
      <c r="B2" s="162"/>
      <c r="C2" s="162"/>
      <c r="D2" s="162"/>
      <c r="E2" s="162"/>
      <c r="F2" s="162"/>
      <c r="G2" s="164"/>
      <c r="H2" s="164"/>
      <c r="I2" s="164"/>
      <c r="J2" s="166"/>
      <c r="K2" s="36" t="s">
        <v>32</v>
      </c>
      <c r="L2" s="10" t="s">
        <v>33</v>
      </c>
      <c r="M2" s="10" t="s">
        <v>34</v>
      </c>
      <c r="N2" s="10" t="s">
        <v>35</v>
      </c>
      <c r="O2" s="10" t="s">
        <v>36</v>
      </c>
      <c r="P2" s="10" t="s">
        <v>37</v>
      </c>
      <c r="Q2" s="10" t="s">
        <v>38</v>
      </c>
      <c r="R2" s="10" t="s">
        <v>39</v>
      </c>
      <c r="S2" s="10" t="s">
        <v>40</v>
      </c>
    </row>
    <row r="3" spans="1:19" ht="18" customHeight="1">
      <c r="A3" s="11">
        <v>21</v>
      </c>
      <c r="B3" s="5" t="s">
        <v>65</v>
      </c>
      <c r="C3" s="5"/>
      <c r="D3" s="5"/>
      <c r="E3" s="5"/>
      <c r="F3" s="5"/>
      <c r="G3" s="8"/>
      <c r="H3" s="8"/>
      <c r="I3" s="8"/>
      <c r="J3" s="8"/>
      <c r="K3" s="6"/>
      <c r="L3" s="6"/>
      <c r="M3" s="6"/>
      <c r="N3" s="6"/>
      <c r="O3" s="6"/>
      <c r="P3" s="6"/>
      <c r="Q3" s="6"/>
      <c r="R3" s="6"/>
      <c r="S3" s="6"/>
    </row>
    <row r="4" spans="1:19">
      <c r="A4" s="154" t="s">
        <v>5</v>
      </c>
      <c r="B4" s="154"/>
      <c r="C4" s="154"/>
      <c r="D4" s="3"/>
      <c r="E4" s="3"/>
      <c r="F4" s="3"/>
      <c r="G4" s="9"/>
      <c r="H4" s="9"/>
      <c r="I4" s="9"/>
      <c r="J4" s="9"/>
      <c r="K4" s="7"/>
      <c r="L4" s="7"/>
      <c r="M4" s="7"/>
      <c r="N4" s="7"/>
      <c r="O4" s="7"/>
      <c r="P4" s="7"/>
      <c r="Q4" s="7"/>
      <c r="R4" s="7"/>
      <c r="S4" s="7"/>
    </row>
    <row r="5" spans="1:19">
      <c r="K5" s="7" t="str">
        <f>IF(I5=6,G5*H5*J5,"")</f>
        <v/>
      </c>
      <c r="L5" s="7" t="str">
        <f>IF(I5=8,G5*H5*J5,"")</f>
        <v/>
      </c>
      <c r="M5" s="7" t="str">
        <f>IF(I5=10,G5*H5*J5,"")</f>
        <v/>
      </c>
      <c r="N5" s="7" t="str">
        <f>IF(I5=12,G5*H5*J5,"")</f>
        <v/>
      </c>
      <c r="O5" s="7" t="str">
        <f>IF(I5=14,G5*H5*J5,"")</f>
        <v/>
      </c>
      <c r="P5" s="7" t="str">
        <f>IF(I5=16,G5*H5*J5,"")</f>
        <v/>
      </c>
      <c r="Q5" s="7" t="str">
        <f>IF(I5=20,G5*H5*J5,"")</f>
        <v/>
      </c>
      <c r="R5" s="7" t="str">
        <f>IF(I5=25,G5*H5*J5,"")</f>
        <v/>
      </c>
      <c r="S5" s="7" t="str">
        <f>IF(I5=32,G5*H5*J5,"")</f>
        <v/>
      </c>
    </row>
    <row r="6" spans="1:19">
      <c r="E6" t="s">
        <v>106</v>
      </c>
      <c r="K6" s="7" t="str">
        <f t="shared" ref="K6:K54" si="0">IF(I6=6,G6*H6*J6,"")</f>
        <v/>
      </c>
      <c r="L6" s="7" t="str">
        <f t="shared" ref="L6:L54" si="1">IF(I6=8,G6*H6*J6,"")</f>
        <v/>
      </c>
      <c r="M6" s="7" t="str">
        <f t="shared" ref="M6:M54" si="2">IF(I6=10,G6*H6*J6,"")</f>
        <v/>
      </c>
      <c r="N6" s="7" t="str">
        <f t="shared" ref="N6:N54" si="3">IF(I6=12,G6*H6*J6,"")</f>
        <v/>
      </c>
      <c r="O6" s="7" t="str">
        <f t="shared" ref="O6:O54" si="4">IF(I6=14,G6*H6*J6,"")</f>
        <v/>
      </c>
      <c r="P6" s="7" t="str">
        <f t="shared" ref="P6:P54" si="5">IF(I6=16,G6*H6*J6,"")</f>
        <v/>
      </c>
      <c r="Q6" s="7" t="str">
        <f t="shared" ref="Q6:Q54" si="6">IF(I6=20,G6*H6*J6,"")</f>
        <v/>
      </c>
      <c r="R6" s="7" t="str">
        <f t="shared" ref="R6:R54" si="7">IF(I6=25,G6*H6*J6,"")</f>
        <v/>
      </c>
      <c r="S6" s="7" t="str">
        <f t="shared" ref="S6:S54" si="8">IF(I6=32,G6*H6*J6,"")</f>
        <v/>
      </c>
    </row>
    <row r="7" spans="1:19">
      <c r="A7" t="s">
        <v>156</v>
      </c>
      <c r="G7">
        <v>2</v>
      </c>
      <c r="H7">
        <v>6</v>
      </c>
      <c r="I7">
        <v>12</v>
      </c>
      <c r="J7">
        <f>1-0.05+34*I7/1000</f>
        <v>1.3579999999999999</v>
      </c>
      <c r="K7" s="7" t="str">
        <f t="shared" si="0"/>
        <v/>
      </c>
      <c r="L7" s="7" t="str">
        <f t="shared" si="1"/>
        <v/>
      </c>
      <c r="M7" s="7" t="str">
        <f t="shared" si="2"/>
        <v/>
      </c>
      <c r="N7" s="7">
        <f t="shared" si="3"/>
        <v>16.295999999999999</v>
      </c>
      <c r="O7" s="7" t="str">
        <f t="shared" si="4"/>
        <v/>
      </c>
      <c r="P7" s="7" t="str">
        <f t="shared" si="5"/>
        <v/>
      </c>
      <c r="Q7" s="7" t="str">
        <f t="shared" si="6"/>
        <v/>
      </c>
      <c r="R7" s="7" t="str">
        <f t="shared" si="7"/>
        <v/>
      </c>
      <c r="S7" s="7" t="str">
        <f t="shared" si="8"/>
        <v/>
      </c>
    </row>
    <row r="8" spans="1:19">
      <c r="A8" t="s">
        <v>157</v>
      </c>
      <c r="G8">
        <v>2</v>
      </c>
      <c r="H8">
        <v>6</v>
      </c>
      <c r="I8">
        <v>12</v>
      </c>
      <c r="J8">
        <f>1-0.05+34*I8/1000</f>
        <v>1.3579999999999999</v>
      </c>
      <c r="K8" s="7" t="str">
        <f t="shared" si="0"/>
        <v/>
      </c>
      <c r="L8" s="7" t="str">
        <f t="shared" si="1"/>
        <v/>
      </c>
      <c r="M8" s="7" t="str">
        <f t="shared" si="2"/>
        <v/>
      </c>
      <c r="N8" s="7">
        <f t="shared" si="3"/>
        <v>16.295999999999999</v>
      </c>
      <c r="O8" s="7" t="str">
        <f t="shared" si="4"/>
        <v/>
      </c>
      <c r="P8" s="7" t="str">
        <f t="shared" si="5"/>
        <v/>
      </c>
      <c r="Q8" s="7" t="str">
        <f t="shared" si="6"/>
        <v/>
      </c>
      <c r="R8" s="7" t="str">
        <f t="shared" si="7"/>
        <v/>
      </c>
      <c r="S8" s="7" t="str">
        <f t="shared" si="8"/>
        <v/>
      </c>
    </row>
    <row r="9" spans="1:19">
      <c r="E9" t="s">
        <v>154</v>
      </c>
      <c r="K9" s="7" t="str">
        <f t="shared" si="0"/>
        <v/>
      </c>
      <c r="L9" s="7" t="str">
        <f t="shared" si="1"/>
        <v/>
      </c>
      <c r="M9" s="7" t="str">
        <f t="shared" si="2"/>
        <v/>
      </c>
      <c r="N9" s="7" t="str">
        <f t="shared" si="3"/>
        <v/>
      </c>
      <c r="O9" s="7" t="str">
        <f t="shared" si="4"/>
        <v/>
      </c>
      <c r="P9" s="7" t="str">
        <f t="shared" si="5"/>
        <v/>
      </c>
      <c r="Q9" s="7" t="str">
        <f t="shared" si="6"/>
        <v/>
      </c>
      <c r="R9" s="7" t="str">
        <f t="shared" si="7"/>
        <v/>
      </c>
      <c r="S9" s="7" t="str">
        <f t="shared" si="8"/>
        <v/>
      </c>
    </row>
    <row r="10" spans="1:19">
      <c r="A10" t="s">
        <v>156</v>
      </c>
      <c r="G10">
        <v>1</v>
      </c>
      <c r="H10">
        <v>7</v>
      </c>
      <c r="I10">
        <v>12</v>
      </c>
      <c r="J10">
        <f>1.1-0.05+34*I10/1000</f>
        <v>1.458</v>
      </c>
      <c r="K10" s="7" t="str">
        <f t="shared" si="0"/>
        <v/>
      </c>
      <c r="L10" s="7" t="str">
        <f t="shared" si="1"/>
        <v/>
      </c>
      <c r="M10" s="7" t="str">
        <f t="shared" si="2"/>
        <v/>
      </c>
      <c r="N10" s="7">
        <f t="shared" si="3"/>
        <v>10.206</v>
      </c>
      <c r="O10" s="7" t="str">
        <f t="shared" si="4"/>
        <v/>
      </c>
      <c r="P10" s="7" t="str">
        <f t="shared" si="5"/>
        <v/>
      </c>
      <c r="Q10" s="7" t="str">
        <f t="shared" si="6"/>
        <v/>
      </c>
      <c r="R10" s="7" t="str">
        <f t="shared" si="7"/>
        <v/>
      </c>
      <c r="S10" s="7" t="str">
        <f t="shared" si="8"/>
        <v/>
      </c>
    </row>
    <row r="11" spans="1:19">
      <c r="A11" t="s">
        <v>157</v>
      </c>
      <c r="G11">
        <v>1</v>
      </c>
      <c r="H11">
        <v>7</v>
      </c>
      <c r="I11">
        <v>12</v>
      </c>
      <c r="J11">
        <f>1.1-0.05+34*I11/1000</f>
        <v>1.458</v>
      </c>
      <c r="K11" s="7" t="str">
        <f t="shared" si="0"/>
        <v/>
      </c>
      <c r="L11" s="7" t="str">
        <f t="shared" si="1"/>
        <v/>
      </c>
      <c r="M11" s="7" t="str">
        <f t="shared" si="2"/>
        <v/>
      </c>
      <c r="N11" s="7">
        <f t="shared" si="3"/>
        <v>10.206</v>
      </c>
      <c r="O11" s="7" t="str">
        <f t="shared" si="4"/>
        <v/>
      </c>
      <c r="P11" s="7" t="str">
        <f t="shared" si="5"/>
        <v/>
      </c>
      <c r="Q11" s="7" t="str">
        <f t="shared" si="6"/>
        <v/>
      </c>
      <c r="R11" s="7" t="str">
        <f t="shared" si="7"/>
        <v/>
      </c>
      <c r="S11" s="7" t="str">
        <f t="shared" si="8"/>
        <v/>
      </c>
    </row>
    <row r="12" spans="1:19">
      <c r="E12" t="s">
        <v>155</v>
      </c>
      <c r="K12" s="7" t="str">
        <f t="shared" si="0"/>
        <v/>
      </c>
      <c r="L12" s="7" t="str">
        <f t="shared" si="1"/>
        <v/>
      </c>
      <c r="M12" s="7" t="str">
        <f t="shared" si="2"/>
        <v/>
      </c>
      <c r="N12" s="7" t="str">
        <f t="shared" si="3"/>
        <v/>
      </c>
      <c r="O12" s="7" t="str">
        <f t="shared" si="4"/>
        <v/>
      </c>
      <c r="P12" s="7" t="str">
        <f t="shared" si="5"/>
        <v/>
      </c>
      <c r="Q12" s="7" t="str">
        <f t="shared" si="6"/>
        <v/>
      </c>
      <c r="R12" s="7" t="str">
        <f t="shared" si="7"/>
        <v/>
      </c>
      <c r="S12" s="7" t="str">
        <f t="shared" si="8"/>
        <v/>
      </c>
    </row>
    <row r="13" spans="1:19">
      <c r="A13" t="s">
        <v>156</v>
      </c>
      <c r="G13">
        <v>8</v>
      </c>
      <c r="H13">
        <v>8</v>
      </c>
      <c r="I13">
        <v>12</v>
      </c>
      <c r="J13">
        <f>1.2-0.05+34*I13/1000</f>
        <v>1.5579999999999998</v>
      </c>
      <c r="K13" s="7" t="str">
        <f t="shared" si="0"/>
        <v/>
      </c>
      <c r="L13" s="7" t="str">
        <f t="shared" si="1"/>
        <v/>
      </c>
      <c r="M13" s="7" t="str">
        <f t="shared" si="2"/>
        <v/>
      </c>
      <c r="N13" s="7">
        <f t="shared" si="3"/>
        <v>99.711999999999989</v>
      </c>
      <c r="O13" s="7" t="str">
        <f t="shared" si="4"/>
        <v/>
      </c>
      <c r="P13" s="7" t="str">
        <f t="shared" si="5"/>
        <v/>
      </c>
      <c r="Q13" s="7" t="str">
        <f t="shared" si="6"/>
        <v/>
      </c>
      <c r="R13" s="7" t="str">
        <f t="shared" si="7"/>
        <v/>
      </c>
      <c r="S13" s="7" t="str">
        <f t="shared" si="8"/>
        <v/>
      </c>
    </row>
    <row r="14" spans="1:19">
      <c r="A14" t="s">
        <v>157</v>
      </c>
      <c r="G14">
        <v>8</v>
      </c>
      <c r="H14">
        <v>8</v>
      </c>
      <c r="I14">
        <v>12</v>
      </c>
      <c r="J14">
        <f>1.2-0.05+34*I14/1000</f>
        <v>1.5579999999999998</v>
      </c>
      <c r="K14" s="7" t="str">
        <f t="shared" si="0"/>
        <v/>
      </c>
      <c r="L14" s="7" t="str">
        <f t="shared" si="1"/>
        <v/>
      </c>
      <c r="M14" s="7" t="str">
        <f t="shared" si="2"/>
        <v/>
      </c>
      <c r="N14" s="7">
        <f t="shared" si="3"/>
        <v>99.711999999999989</v>
      </c>
      <c r="O14" s="7" t="str">
        <f t="shared" si="4"/>
        <v/>
      </c>
      <c r="P14" s="7" t="str">
        <f t="shared" si="5"/>
        <v/>
      </c>
      <c r="Q14" s="7" t="str">
        <f t="shared" si="6"/>
        <v/>
      </c>
      <c r="R14" s="7" t="str">
        <f t="shared" si="7"/>
        <v/>
      </c>
      <c r="S14" s="7" t="str">
        <f t="shared" si="8"/>
        <v/>
      </c>
    </row>
    <row r="15" spans="1:19">
      <c r="E15" t="s">
        <v>105</v>
      </c>
      <c r="K15" s="7" t="str">
        <f t="shared" si="0"/>
        <v/>
      </c>
      <c r="L15" s="7" t="str">
        <f t="shared" si="1"/>
        <v/>
      </c>
      <c r="M15" s="7" t="str">
        <f t="shared" si="2"/>
        <v/>
      </c>
      <c r="N15" s="7" t="str">
        <f t="shared" si="3"/>
        <v/>
      </c>
      <c r="O15" s="7" t="str">
        <f t="shared" si="4"/>
        <v/>
      </c>
      <c r="P15" s="7" t="str">
        <f t="shared" si="5"/>
        <v/>
      </c>
      <c r="Q15" s="7" t="str">
        <f t="shared" si="6"/>
        <v/>
      </c>
      <c r="R15" s="7" t="str">
        <f t="shared" si="7"/>
        <v/>
      </c>
      <c r="S15" s="7" t="str">
        <f t="shared" si="8"/>
        <v/>
      </c>
    </row>
    <row r="16" spans="1:19">
      <c r="A16" t="s">
        <v>156</v>
      </c>
      <c r="G16">
        <v>12</v>
      </c>
      <c r="H16">
        <v>11</v>
      </c>
      <c r="I16">
        <v>12</v>
      </c>
      <c r="J16">
        <f>1.5-0.05+34*I16/1000</f>
        <v>1.8579999999999999</v>
      </c>
      <c r="K16" s="7" t="str">
        <f t="shared" si="0"/>
        <v/>
      </c>
      <c r="L16" s="7" t="str">
        <f t="shared" si="1"/>
        <v/>
      </c>
      <c r="M16" s="7" t="str">
        <f t="shared" si="2"/>
        <v/>
      </c>
      <c r="N16" s="7">
        <f t="shared" si="3"/>
        <v>245.25599999999997</v>
      </c>
      <c r="O16" s="7" t="str">
        <f t="shared" si="4"/>
        <v/>
      </c>
      <c r="P16" s="7" t="str">
        <f t="shared" si="5"/>
        <v/>
      </c>
      <c r="Q16" s="7" t="str">
        <f t="shared" si="6"/>
        <v/>
      </c>
      <c r="R16" s="7" t="str">
        <f t="shared" si="7"/>
        <v/>
      </c>
      <c r="S16" s="7" t="str">
        <f t="shared" si="8"/>
        <v/>
      </c>
    </row>
    <row r="17" spans="1:20">
      <c r="A17" t="s">
        <v>157</v>
      </c>
      <c r="G17">
        <v>12</v>
      </c>
      <c r="H17">
        <v>11</v>
      </c>
      <c r="I17">
        <v>12</v>
      </c>
      <c r="J17">
        <f>1.5-0.05+34*I17/1000</f>
        <v>1.8579999999999999</v>
      </c>
      <c r="K17" s="7" t="str">
        <f t="shared" si="0"/>
        <v/>
      </c>
      <c r="L17" s="7" t="str">
        <f t="shared" si="1"/>
        <v/>
      </c>
      <c r="M17" s="7" t="str">
        <f t="shared" si="2"/>
        <v/>
      </c>
      <c r="N17" s="7">
        <f t="shared" si="3"/>
        <v>245.25599999999997</v>
      </c>
      <c r="O17" s="7" t="str">
        <f t="shared" si="4"/>
        <v/>
      </c>
      <c r="P17" s="7" t="str">
        <f t="shared" si="5"/>
        <v/>
      </c>
      <c r="Q17" s="7" t="str">
        <f t="shared" si="6"/>
        <v/>
      </c>
      <c r="R17" s="7" t="str">
        <f t="shared" si="7"/>
        <v/>
      </c>
      <c r="S17" s="7" t="str">
        <f t="shared" si="8"/>
        <v/>
      </c>
    </row>
    <row r="18" spans="1:20">
      <c r="A18" s="154" t="s">
        <v>158</v>
      </c>
      <c r="B18" s="154"/>
      <c r="C18" s="154"/>
      <c r="D18" s="3"/>
      <c r="E18" s="3"/>
      <c r="F18" s="3"/>
      <c r="G18" s="9"/>
      <c r="H18" s="9"/>
      <c r="I18" s="9"/>
      <c r="J18" s="9"/>
      <c r="K18" s="7" t="str">
        <f t="shared" si="0"/>
        <v/>
      </c>
      <c r="L18" s="7" t="str">
        <f t="shared" si="1"/>
        <v/>
      </c>
      <c r="M18" s="7" t="str">
        <f t="shared" si="2"/>
        <v/>
      </c>
      <c r="N18" s="7" t="str">
        <f t="shared" si="3"/>
        <v/>
      </c>
      <c r="O18" s="7" t="str">
        <f t="shared" si="4"/>
        <v/>
      </c>
      <c r="P18" s="7" t="str">
        <f t="shared" si="5"/>
        <v/>
      </c>
      <c r="Q18" s="7" t="str">
        <f t="shared" si="6"/>
        <v/>
      </c>
      <c r="R18" s="7" t="str">
        <f t="shared" si="7"/>
        <v/>
      </c>
      <c r="S18" s="7" t="str">
        <f t="shared" si="8"/>
        <v/>
      </c>
    </row>
    <row r="19" spans="1:20">
      <c r="K19" s="7" t="str">
        <f t="shared" si="0"/>
        <v/>
      </c>
      <c r="L19" s="7" t="str">
        <f t="shared" si="1"/>
        <v/>
      </c>
      <c r="M19" s="7" t="str">
        <f t="shared" si="2"/>
        <v/>
      </c>
      <c r="N19" s="7" t="str">
        <f t="shared" si="3"/>
        <v/>
      </c>
      <c r="O19" s="7" t="str">
        <f t="shared" si="4"/>
        <v/>
      </c>
      <c r="P19" s="7" t="str">
        <f t="shared" si="5"/>
        <v/>
      </c>
      <c r="Q19" s="7" t="str">
        <f t="shared" si="6"/>
        <v/>
      </c>
      <c r="R19" s="7" t="str">
        <f t="shared" si="7"/>
        <v/>
      </c>
      <c r="S19" s="7" t="str">
        <f t="shared" si="8"/>
        <v/>
      </c>
      <c r="T19" t="s">
        <v>160</v>
      </c>
    </row>
    <row r="20" spans="1:20">
      <c r="E20" t="s">
        <v>24</v>
      </c>
      <c r="K20" s="7" t="str">
        <f t="shared" si="0"/>
        <v/>
      </c>
      <c r="L20" s="7" t="str">
        <f t="shared" si="1"/>
        <v/>
      </c>
      <c r="M20" s="7" t="str">
        <f t="shared" si="2"/>
        <v/>
      </c>
      <c r="N20" s="7" t="str">
        <f t="shared" si="3"/>
        <v/>
      </c>
      <c r="O20" s="7" t="str">
        <f t="shared" si="4"/>
        <v/>
      </c>
      <c r="P20" s="7" t="str">
        <f t="shared" si="5"/>
        <v/>
      </c>
      <c r="Q20" s="7" t="str">
        <f t="shared" si="6"/>
        <v/>
      </c>
      <c r="R20" s="7" t="str">
        <f t="shared" si="7"/>
        <v/>
      </c>
      <c r="S20" s="7" t="str">
        <f t="shared" si="8"/>
        <v/>
      </c>
      <c r="T20">
        <v>1.4</v>
      </c>
    </row>
    <row r="21" spans="1:20">
      <c r="A21" t="s">
        <v>159</v>
      </c>
      <c r="G21">
        <v>12</v>
      </c>
      <c r="H21">
        <v>6</v>
      </c>
      <c r="I21">
        <v>14</v>
      </c>
      <c r="J21">
        <f>(T20-0.1-0.05)+70*I21/1000+18*I21/1000</f>
        <v>2.4819999999999993</v>
      </c>
      <c r="K21" s="7" t="str">
        <f t="shared" si="0"/>
        <v/>
      </c>
      <c r="L21" s="7" t="str">
        <f t="shared" si="1"/>
        <v/>
      </c>
      <c r="M21" s="7" t="str">
        <f t="shared" si="2"/>
        <v/>
      </c>
      <c r="N21" s="7" t="str">
        <f t="shared" si="3"/>
        <v/>
      </c>
      <c r="O21" s="7">
        <f t="shared" si="4"/>
        <v>178.70399999999995</v>
      </c>
      <c r="P21" s="7" t="str">
        <f t="shared" si="5"/>
        <v/>
      </c>
      <c r="Q21" s="7" t="str">
        <f t="shared" si="6"/>
        <v/>
      </c>
      <c r="R21" s="7" t="str">
        <f t="shared" si="7"/>
        <v/>
      </c>
      <c r="S21" s="7" t="str">
        <f t="shared" si="8"/>
        <v/>
      </c>
    </row>
    <row r="22" spans="1:20">
      <c r="A22" t="s">
        <v>76</v>
      </c>
      <c r="G22">
        <v>12</v>
      </c>
      <c r="H22">
        <f>ROUNDUP(1.2/0.15,0)+2</f>
        <v>10</v>
      </c>
      <c r="I22">
        <v>6</v>
      </c>
      <c r="J22">
        <f>(2*(0.25+0.35)-0.05+20.5*I22/1000)</f>
        <v>1.2729999999999999</v>
      </c>
      <c r="K22" s="7">
        <f t="shared" si="0"/>
        <v>152.76</v>
      </c>
      <c r="L22" s="7" t="str">
        <f t="shared" si="1"/>
        <v/>
      </c>
      <c r="M22" s="7" t="str">
        <f t="shared" si="2"/>
        <v/>
      </c>
      <c r="N22" s="7" t="str">
        <f t="shared" si="3"/>
        <v/>
      </c>
      <c r="O22" s="7" t="str">
        <f t="shared" si="4"/>
        <v/>
      </c>
      <c r="P22" s="7" t="str">
        <f t="shared" si="5"/>
        <v/>
      </c>
      <c r="Q22" s="7" t="str">
        <f t="shared" si="6"/>
        <v/>
      </c>
      <c r="R22" s="7" t="str">
        <f t="shared" si="7"/>
        <v/>
      </c>
      <c r="S22" s="7" t="str">
        <f t="shared" si="8"/>
        <v/>
      </c>
    </row>
    <row r="23" spans="1:20">
      <c r="A23" t="s">
        <v>77</v>
      </c>
      <c r="G23">
        <v>12</v>
      </c>
      <c r="H23">
        <f>ROUNDUP(1.2/0.15,0)+2</f>
        <v>10</v>
      </c>
      <c r="I23">
        <v>6</v>
      </c>
      <c r="J23">
        <f>0.25-0.05+22*I23/1000</f>
        <v>0.33200000000000002</v>
      </c>
      <c r="K23" s="7">
        <f t="shared" si="0"/>
        <v>39.840000000000003</v>
      </c>
      <c r="L23" s="7" t="str">
        <f t="shared" si="1"/>
        <v/>
      </c>
      <c r="M23" s="7" t="str">
        <f t="shared" si="2"/>
        <v/>
      </c>
      <c r="N23" s="7" t="str">
        <f t="shared" si="3"/>
        <v/>
      </c>
      <c r="O23" s="7" t="str">
        <f t="shared" si="4"/>
        <v/>
      </c>
      <c r="P23" s="7" t="str">
        <f t="shared" si="5"/>
        <v/>
      </c>
      <c r="Q23" s="7" t="str">
        <f t="shared" si="6"/>
        <v/>
      </c>
      <c r="R23" s="7" t="str">
        <f t="shared" si="7"/>
        <v/>
      </c>
      <c r="S23" s="7" t="str">
        <f t="shared" si="8"/>
        <v/>
      </c>
    </row>
    <row r="24" spans="1:20">
      <c r="E24" t="s">
        <v>42</v>
      </c>
      <c r="K24" s="7" t="str">
        <f t="shared" si="0"/>
        <v/>
      </c>
      <c r="L24" s="7" t="str">
        <f t="shared" si="1"/>
        <v/>
      </c>
      <c r="M24" s="7" t="str">
        <f t="shared" si="2"/>
        <v/>
      </c>
      <c r="N24" s="7" t="str">
        <f t="shared" si="3"/>
        <v/>
      </c>
      <c r="O24" s="7" t="str">
        <f t="shared" si="4"/>
        <v/>
      </c>
      <c r="P24" s="7" t="str">
        <f t="shared" si="5"/>
        <v/>
      </c>
      <c r="Q24" s="7" t="str">
        <f t="shared" si="6"/>
        <v/>
      </c>
      <c r="R24" s="7" t="str">
        <f t="shared" si="7"/>
        <v/>
      </c>
      <c r="S24" s="7" t="str">
        <f t="shared" si="8"/>
        <v/>
      </c>
    </row>
    <row r="25" spans="1:20">
      <c r="A25" t="s">
        <v>159</v>
      </c>
      <c r="G25">
        <v>7</v>
      </c>
      <c r="H25">
        <v>6</v>
      </c>
      <c r="I25">
        <v>14</v>
      </c>
      <c r="J25">
        <f>(T20-0.1-0.05)+70*I21/1000+18*I21/1000</f>
        <v>2.4819999999999993</v>
      </c>
      <c r="K25" s="7" t="str">
        <f t="shared" si="0"/>
        <v/>
      </c>
      <c r="L25" s="7" t="str">
        <f t="shared" si="1"/>
        <v/>
      </c>
      <c r="M25" s="7" t="str">
        <f t="shared" si="2"/>
        <v/>
      </c>
      <c r="N25" s="7" t="str">
        <f t="shared" si="3"/>
        <v/>
      </c>
      <c r="O25" s="7">
        <f t="shared" si="4"/>
        <v>104.24399999999997</v>
      </c>
      <c r="P25" s="7" t="str">
        <f t="shared" si="5"/>
        <v/>
      </c>
      <c r="Q25" s="7" t="str">
        <f t="shared" si="6"/>
        <v/>
      </c>
      <c r="R25" s="7" t="str">
        <f t="shared" si="7"/>
        <v/>
      </c>
      <c r="S25" s="7" t="str">
        <f t="shared" si="8"/>
        <v/>
      </c>
    </row>
    <row r="26" spans="1:20">
      <c r="A26" t="s">
        <v>76</v>
      </c>
      <c r="G26">
        <v>7</v>
      </c>
      <c r="H26">
        <f>ROUNDUP(1.2/0.15,0)+2</f>
        <v>10</v>
      </c>
      <c r="I26">
        <v>6</v>
      </c>
      <c r="J26">
        <f>(2*(0.4+0.4)-0.05+20.5*I26/1000)</f>
        <v>1.673</v>
      </c>
      <c r="K26" s="7">
        <f t="shared" si="0"/>
        <v>117.11</v>
      </c>
      <c r="L26" s="7" t="str">
        <f t="shared" si="1"/>
        <v/>
      </c>
      <c r="M26" s="7" t="str">
        <f t="shared" si="2"/>
        <v/>
      </c>
      <c r="N26" s="7" t="str">
        <f t="shared" si="3"/>
        <v/>
      </c>
      <c r="O26" s="7" t="str">
        <f t="shared" si="4"/>
        <v/>
      </c>
      <c r="P26" s="7" t="str">
        <f t="shared" si="5"/>
        <v/>
      </c>
      <c r="Q26" s="7" t="str">
        <f t="shared" si="6"/>
        <v/>
      </c>
      <c r="R26" s="7" t="str">
        <f t="shared" si="7"/>
        <v/>
      </c>
      <c r="S26" s="7" t="str">
        <f t="shared" si="8"/>
        <v/>
      </c>
    </row>
    <row r="27" spans="1:20">
      <c r="A27" t="s">
        <v>77</v>
      </c>
      <c r="G27">
        <v>7</v>
      </c>
      <c r="H27">
        <f>ROUNDUP(1.2/0.15,0)+2</f>
        <v>10</v>
      </c>
      <c r="I27">
        <v>6</v>
      </c>
      <c r="J27">
        <f>0.4-0.05+22*I27/1000</f>
        <v>0.48200000000000004</v>
      </c>
      <c r="K27" s="7">
        <f t="shared" si="0"/>
        <v>33.74</v>
      </c>
      <c r="L27" s="7" t="str">
        <f t="shared" si="1"/>
        <v/>
      </c>
      <c r="M27" s="7" t="str">
        <f t="shared" si="2"/>
        <v/>
      </c>
      <c r="N27" s="7" t="str">
        <f t="shared" si="3"/>
        <v/>
      </c>
      <c r="O27" s="7" t="str">
        <f t="shared" si="4"/>
        <v/>
      </c>
      <c r="P27" s="7" t="str">
        <f t="shared" si="5"/>
        <v/>
      </c>
      <c r="Q27" s="7" t="str">
        <f t="shared" si="6"/>
        <v/>
      </c>
      <c r="R27" s="7" t="str">
        <f t="shared" si="7"/>
        <v/>
      </c>
      <c r="S27" s="7" t="str">
        <f t="shared" si="8"/>
        <v/>
      </c>
    </row>
    <row r="28" spans="1:20">
      <c r="E28" t="s">
        <v>43</v>
      </c>
      <c r="K28" s="7" t="str">
        <f t="shared" si="0"/>
        <v/>
      </c>
      <c r="L28" s="7" t="str">
        <f t="shared" si="1"/>
        <v/>
      </c>
      <c r="M28" s="7" t="str">
        <f t="shared" si="2"/>
        <v/>
      </c>
      <c r="N28" s="7" t="str">
        <f t="shared" si="3"/>
        <v/>
      </c>
      <c r="O28" s="7" t="str">
        <f t="shared" si="4"/>
        <v/>
      </c>
      <c r="P28" s="7" t="str">
        <f t="shared" si="5"/>
        <v/>
      </c>
      <c r="Q28" s="7" t="str">
        <f t="shared" si="6"/>
        <v/>
      </c>
      <c r="R28" s="7" t="str">
        <f t="shared" si="7"/>
        <v/>
      </c>
      <c r="S28" s="7" t="str">
        <f t="shared" si="8"/>
        <v/>
      </c>
    </row>
    <row r="29" spans="1:20">
      <c r="A29" t="s">
        <v>159</v>
      </c>
      <c r="G29">
        <v>4</v>
      </c>
      <c r="H29">
        <v>6</v>
      </c>
      <c r="I29">
        <v>14</v>
      </c>
      <c r="J29">
        <f>(T20-0.1-0.05)+70*I21/1000+18*I21/1000</f>
        <v>2.4819999999999993</v>
      </c>
      <c r="K29" s="7" t="str">
        <f t="shared" si="0"/>
        <v/>
      </c>
      <c r="L29" s="7" t="str">
        <f t="shared" si="1"/>
        <v/>
      </c>
      <c r="M29" s="7" t="str">
        <f t="shared" si="2"/>
        <v/>
      </c>
      <c r="N29" s="7" t="str">
        <f t="shared" si="3"/>
        <v/>
      </c>
      <c r="O29" s="7">
        <f t="shared" si="4"/>
        <v>59.567999999999984</v>
      </c>
      <c r="P29" s="7" t="str">
        <f t="shared" si="5"/>
        <v/>
      </c>
      <c r="Q29" s="7" t="str">
        <f t="shared" si="6"/>
        <v/>
      </c>
      <c r="R29" s="7" t="str">
        <f t="shared" si="7"/>
        <v/>
      </c>
      <c r="S29" s="7" t="str">
        <f t="shared" si="8"/>
        <v/>
      </c>
    </row>
    <row r="30" spans="1:20">
      <c r="A30" t="s">
        <v>76</v>
      </c>
      <c r="G30">
        <v>4</v>
      </c>
      <c r="H30">
        <f>ROUNDUP(1.2/0.15,0)+2</f>
        <v>10</v>
      </c>
      <c r="I30">
        <v>6</v>
      </c>
      <c r="J30">
        <f>(2*(0.3+0.3)-0.05+20.5*I30/1000)</f>
        <v>1.2729999999999999</v>
      </c>
      <c r="K30" s="7">
        <f t="shared" si="0"/>
        <v>50.919999999999995</v>
      </c>
      <c r="L30" s="7" t="str">
        <f t="shared" si="1"/>
        <v/>
      </c>
      <c r="M30" s="7" t="str">
        <f t="shared" si="2"/>
        <v/>
      </c>
      <c r="N30" s="7" t="str">
        <f t="shared" si="3"/>
        <v/>
      </c>
      <c r="O30" s="7" t="str">
        <f t="shared" si="4"/>
        <v/>
      </c>
      <c r="P30" s="7" t="str">
        <f t="shared" si="5"/>
        <v/>
      </c>
      <c r="Q30" s="7" t="str">
        <f t="shared" si="6"/>
        <v/>
      </c>
      <c r="R30" s="7" t="str">
        <f t="shared" si="7"/>
        <v/>
      </c>
      <c r="S30" s="7" t="str">
        <f t="shared" si="8"/>
        <v/>
      </c>
    </row>
    <row r="31" spans="1:20">
      <c r="A31" t="s">
        <v>77</v>
      </c>
      <c r="G31">
        <v>4</v>
      </c>
      <c r="H31">
        <f>ROUNDUP(1.2/0.15,0)+2</f>
        <v>10</v>
      </c>
      <c r="I31">
        <v>6</v>
      </c>
      <c r="J31">
        <f>0.3-0.05+22*I31/1000</f>
        <v>0.38200000000000001</v>
      </c>
      <c r="K31" s="7">
        <f t="shared" si="0"/>
        <v>15.280000000000001</v>
      </c>
      <c r="L31" s="7" t="str">
        <f t="shared" si="1"/>
        <v/>
      </c>
      <c r="M31" s="7" t="str">
        <f t="shared" si="2"/>
        <v/>
      </c>
      <c r="N31" s="7" t="str">
        <f t="shared" si="3"/>
        <v/>
      </c>
      <c r="O31" s="7" t="str">
        <f t="shared" si="4"/>
        <v/>
      </c>
      <c r="P31" s="7" t="str">
        <f t="shared" si="5"/>
        <v/>
      </c>
      <c r="Q31" s="7" t="str">
        <f t="shared" si="6"/>
        <v/>
      </c>
      <c r="R31" s="7" t="str">
        <f t="shared" si="7"/>
        <v/>
      </c>
      <c r="S31" s="7" t="str">
        <f t="shared" si="8"/>
        <v/>
      </c>
    </row>
    <row r="32" spans="1:20">
      <c r="A32" s="154" t="s">
        <v>161</v>
      </c>
      <c r="B32" s="154"/>
      <c r="C32" s="154"/>
      <c r="D32" s="3"/>
      <c r="E32" s="3"/>
      <c r="F32" s="3"/>
      <c r="G32" s="9"/>
      <c r="H32" s="9"/>
      <c r="I32" s="9"/>
      <c r="J32" s="9"/>
      <c r="K32" s="7" t="str">
        <f t="shared" si="0"/>
        <v/>
      </c>
      <c r="L32" s="7" t="str">
        <f t="shared" si="1"/>
        <v/>
      </c>
      <c r="M32" s="7" t="str">
        <f t="shared" si="2"/>
        <v/>
      </c>
      <c r="N32" s="7" t="str">
        <f t="shared" si="3"/>
        <v/>
      </c>
      <c r="O32" s="7" t="str">
        <f t="shared" si="4"/>
        <v/>
      </c>
      <c r="P32" s="7" t="str">
        <f t="shared" si="5"/>
        <v/>
      </c>
      <c r="Q32" s="7" t="str">
        <f t="shared" si="6"/>
        <v/>
      </c>
      <c r="R32" s="7" t="str">
        <f t="shared" si="7"/>
        <v/>
      </c>
      <c r="S32" s="7" t="str">
        <f t="shared" si="8"/>
        <v/>
      </c>
    </row>
    <row r="33" spans="1:19">
      <c r="D33">
        <f>69.64-4*0.25-5*0.4-8*0.3</f>
        <v>64.239999999999995</v>
      </c>
      <c r="E33">
        <v>0.4</v>
      </c>
      <c r="F33">
        <v>0.2</v>
      </c>
      <c r="K33" s="7" t="str">
        <f t="shared" si="0"/>
        <v/>
      </c>
      <c r="L33" s="7" t="str">
        <f t="shared" si="1"/>
        <v/>
      </c>
      <c r="M33" s="7" t="str">
        <f t="shared" si="2"/>
        <v/>
      </c>
      <c r="N33" s="7" t="str">
        <f t="shared" si="3"/>
        <v/>
      </c>
      <c r="O33" s="7" t="str">
        <f t="shared" si="4"/>
        <v/>
      </c>
      <c r="P33" s="7" t="str">
        <f t="shared" si="5"/>
        <v/>
      </c>
      <c r="Q33" s="7" t="str">
        <f t="shared" si="6"/>
        <v/>
      </c>
      <c r="R33" s="7" t="str">
        <f t="shared" si="7"/>
        <v/>
      </c>
      <c r="S33" s="7" t="str">
        <f t="shared" si="8"/>
        <v/>
      </c>
    </row>
    <row r="34" spans="1:19">
      <c r="A34" t="s">
        <v>159</v>
      </c>
      <c r="G34">
        <v>1</v>
      </c>
      <c r="H34">
        <v>6</v>
      </c>
      <c r="I34">
        <v>10</v>
      </c>
      <c r="J34">
        <f>D33+ROUNDUP(D33/12,0)</f>
        <v>70.239999999999995</v>
      </c>
      <c r="K34" s="7" t="str">
        <f t="shared" si="0"/>
        <v/>
      </c>
      <c r="L34" s="7" t="str">
        <f t="shared" si="1"/>
        <v/>
      </c>
      <c r="M34" s="7">
        <f t="shared" si="2"/>
        <v>421.43999999999994</v>
      </c>
      <c r="N34" s="7" t="str">
        <f t="shared" si="3"/>
        <v/>
      </c>
      <c r="O34" s="7" t="str">
        <f t="shared" si="4"/>
        <v/>
      </c>
      <c r="P34" s="7" t="str">
        <f t="shared" si="5"/>
        <v/>
      </c>
      <c r="Q34" s="7" t="str">
        <f t="shared" si="6"/>
        <v/>
      </c>
      <c r="R34" s="7" t="str">
        <f t="shared" si="7"/>
        <v/>
      </c>
      <c r="S34" s="7" t="str">
        <f t="shared" si="8"/>
        <v/>
      </c>
    </row>
    <row r="35" spans="1:19">
      <c r="A35" t="s">
        <v>76</v>
      </c>
      <c r="G35">
        <v>1</v>
      </c>
      <c r="H35">
        <f>ROUNDUP((J34-0.3*(12+7+4))/0.2,0)</f>
        <v>317</v>
      </c>
      <c r="I35">
        <v>6</v>
      </c>
      <c r="J35">
        <f>2*(E33+F33)-0.05+20.5*I35/1000</f>
        <v>1.2730000000000001</v>
      </c>
      <c r="K35" s="7">
        <f t="shared" si="0"/>
        <v>403.54100000000005</v>
      </c>
      <c r="L35" s="7" t="str">
        <f t="shared" si="1"/>
        <v/>
      </c>
      <c r="M35" s="7" t="str">
        <f t="shared" si="2"/>
        <v/>
      </c>
      <c r="N35" s="7" t="str">
        <f t="shared" si="3"/>
        <v/>
      </c>
      <c r="O35" s="7" t="str">
        <f t="shared" si="4"/>
        <v/>
      </c>
      <c r="P35" s="7" t="str">
        <f t="shared" si="5"/>
        <v/>
      </c>
      <c r="Q35" s="7" t="str">
        <f t="shared" si="6"/>
        <v/>
      </c>
      <c r="R35" s="7" t="str">
        <f t="shared" si="7"/>
        <v/>
      </c>
      <c r="S35" s="7" t="str">
        <f t="shared" si="8"/>
        <v/>
      </c>
    </row>
    <row r="36" spans="1:19">
      <c r="A36" t="s">
        <v>162</v>
      </c>
      <c r="G36">
        <v>1</v>
      </c>
      <c r="H36">
        <f>ROUNDUP((J34-0.3*(12+7+4))/0.2,0)</f>
        <v>317</v>
      </c>
      <c r="I36">
        <v>6</v>
      </c>
      <c r="J36">
        <f>F33-0.05+22*I36/1000</f>
        <v>0.28200000000000003</v>
      </c>
      <c r="K36" s="7">
        <f t="shared" si="0"/>
        <v>89.394000000000005</v>
      </c>
      <c r="L36" s="7" t="str">
        <f t="shared" si="1"/>
        <v/>
      </c>
      <c r="M36" s="7" t="str">
        <f t="shared" si="2"/>
        <v/>
      </c>
      <c r="N36" s="7" t="str">
        <f t="shared" si="3"/>
        <v/>
      </c>
      <c r="O36" s="7" t="str">
        <f t="shared" si="4"/>
        <v/>
      </c>
      <c r="P36" s="7" t="str">
        <f t="shared" si="5"/>
        <v/>
      </c>
      <c r="Q36" s="7" t="str">
        <f t="shared" si="6"/>
        <v/>
      </c>
      <c r="R36" s="7" t="str">
        <f t="shared" si="7"/>
        <v/>
      </c>
      <c r="S36" s="7" t="str">
        <f t="shared" si="8"/>
        <v/>
      </c>
    </row>
    <row r="37" spans="1:19">
      <c r="A37" s="154" t="s">
        <v>163</v>
      </c>
      <c r="B37" s="154"/>
      <c r="C37" s="154"/>
      <c r="D37" s="3"/>
      <c r="E37" s="3"/>
      <c r="F37" s="3"/>
      <c r="G37" s="9"/>
      <c r="H37" s="9"/>
      <c r="I37" s="9"/>
      <c r="J37" s="9"/>
      <c r="K37" s="7" t="str">
        <f t="shared" si="0"/>
        <v/>
      </c>
      <c r="L37" s="7" t="str">
        <f t="shared" si="1"/>
        <v/>
      </c>
      <c r="M37" s="7" t="str">
        <f t="shared" si="2"/>
        <v/>
      </c>
      <c r="N37" s="7" t="str">
        <f t="shared" si="3"/>
        <v/>
      </c>
      <c r="O37" s="7" t="str">
        <f t="shared" si="4"/>
        <v/>
      </c>
      <c r="P37" s="7" t="str">
        <f t="shared" si="5"/>
        <v/>
      </c>
      <c r="Q37" s="7" t="str">
        <f t="shared" si="6"/>
        <v/>
      </c>
      <c r="R37" s="7" t="str">
        <f t="shared" si="7"/>
        <v/>
      </c>
      <c r="S37" s="7" t="str">
        <f t="shared" si="8"/>
        <v/>
      </c>
    </row>
    <row r="38" spans="1:19">
      <c r="A38" t="s">
        <v>13</v>
      </c>
      <c r="D38">
        <v>48.68</v>
      </c>
      <c r="E38">
        <v>0.2</v>
      </c>
      <c r="F38">
        <v>0.5</v>
      </c>
      <c r="K38" s="7" t="str">
        <f t="shared" si="0"/>
        <v/>
      </c>
      <c r="L38" s="7" t="str">
        <f t="shared" si="1"/>
        <v/>
      </c>
      <c r="M38" s="7" t="str">
        <f t="shared" si="2"/>
        <v/>
      </c>
      <c r="N38" s="7" t="str">
        <f t="shared" si="3"/>
        <v/>
      </c>
      <c r="O38" s="7" t="str">
        <f t="shared" si="4"/>
        <v/>
      </c>
      <c r="P38" s="7" t="str">
        <f t="shared" si="5"/>
        <v/>
      </c>
      <c r="Q38" s="7" t="str">
        <f t="shared" si="6"/>
        <v/>
      </c>
      <c r="R38" s="7" t="str">
        <f t="shared" si="7"/>
        <v/>
      </c>
      <c r="S38" s="7" t="str">
        <f t="shared" si="8"/>
        <v/>
      </c>
    </row>
    <row r="39" spans="1:19">
      <c r="A39" t="s">
        <v>164</v>
      </c>
      <c r="G39" s="70">
        <v>1</v>
      </c>
      <c r="H39">
        <v>3</v>
      </c>
      <c r="I39">
        <v>12</v>
      </c>
      <c r="J39">
        <f>D38</f>
        <v>48.68</v>
      </c>
      <c r="K39" s="7" t="str">
        <f t="shared" si="0"/>
        <v/>
      </c>
      <c r="L39" s="7" t="str">
        <f t="shared" si="1"/>
        <v/>
      </c>
      <c r="M39" s="7" t="str">
        <f t="shared" si="2"/>
        <v/>
      </c>
      <c r="N39" s="7">
        <f t="shared" si="3"/>
        <v>146.04</v>
      </c>
      <c r="O39" s="7" t="str">
        <f t="shared" si="4"/>
        <v/>
      </c>
      <c r="P39" s="7" t="str">
        <f t="shared" si="5"/>
        <v/>
      </c>
      <c r="Q39" s="7" t="str">
        <f t="shared" si="6"/>
        <v/>
      </c>
      <c r="R39" s="7" t="str">
        <f t="shared" si="7"/>
        <v/>
      </c>
      <c r="S39" s="7" t="str">
        <f t="shared" si="8"/>
        <v/>
      </c>
    </row>
    <row r="40" spans="1:19">
      <c r="A40" t="s">
        <v>165</v>
      </c>
      <c r="G40" s="70">
        <v>1</v>
      </c>
      <c r="H40">
        <v>3</v>
      </c>
      <c r="I40">
        <v>10</v>
      </c>
      <c r="J40">
        <f>D38</f>
        <v>48.68</v>
      </c>
      <c r="K40" s="7" t="str">
        <f t="shared" si="0"/>
        <v/>
      </c>
      <c r="L40" s="7" t="str">
        <f t="shared" si="1"/>
        <v/>
      </c>
      <c r="M40" s="7">
        <f t="shared" si="2"/>
        <v>146.04</v>
      </c>
      <c r="N40" s="7" t="str">
        <f t="shared" si="3"/>
        <v/>
      </c>
      <c r="O40" s="7" t="str">
        <f t="shared" si="4"/>
        <v/>
      </c>
      <c r="P40" s="7" t="str">
        <f t="shared" si="5"/>
        <v/>
      </c>
      <c r="Q40" s="7" t="str">
        <f t="shared" si="6"/>
        <v/>
      </c>
      <c r="R40" s="7" t="str">
        <f t="shared" si="7"/>
        <v/>
      </c>
      <c r="S40" s="7" t="str">
        <f t="shared" si="8"/>
        <v/>
      </c>
    </row>
    <row r="41" spans="1:19">
      <c r="A41" t="s">
        <v>76</v>
      </c>
      <c r="G41" s="70">
        <v>1</v>
      </c>
      <c r="H41">
        <f>ROUNDUP(D38/0.2,0)</f>
        <v>244</v>
      </c>
      <c r="I41">
        <v>6</v>
      </c>
      <c r="J41">
        <f>2*(E38+F38)-0.05+20.5*I41/1000</f>
        <v>1.4729999999999999</v>
      </c>
      <c r="K41" s="7">
        <f t="shared" si="0"/>
        <v>359.41199999999998</v>
      </c>
      <c r="L41" s="7" t="str">
        <f t="shared" si="1"/>
        <v/>
      </c>
      <c r="M41" s="7" t="str">
        <f t="shared" si="2"/>
        <v/>
      </c>
      <c r="N41" s="7" t="str">
        <f t="shared" si="3"/>
        <v/>
      </c>
      <c r="O41" s="7" t="str">
        <f t="shared" si="4"/>
        <v/>
      </c>
      <c r="P41" s="7" t="str">
        <f t="shared" si="5"/>
        <v/>
      </c>
      <c r="Q41" s="7" t="str">
        <f t="shared" si="6"/>
        <v/>
      </c>
      <c r="R41" s="7" t="str">
        <f t="shared" si="7"/>
        <v/>
      </c>
      <c r="S41" s="7" t="str">
        <f t="shared" si="8"/>
        <v/>
      </c>
    </row>
    <row r="42" spans="1:19">
      <c r="A42" t="s">
        <v>77</v>
      </c>
      <c r="G42" s="70">
        <v>1</v>
      </c>
      <c r="H42">
        <f>ROUNDUP(D38/0.2,0)</f>
        <v>244</v>
      </c>
      <c r="I42">
        <v>6</v>
      </c>
      <c r="J42">
        <f>F38-0.05+22*I42/1000</f>
        <v>0.58200000000000007</v>
      </c>
      <c r="K42" s="7">
        <f t="shared" si="0"/>
        <v>142.00800000000001</v>
      </c>
      <c r="L42" s="7" t="str">
        <f t="shared" si="1"/>
        <v/>
      </c>
      <c r="M42" s="7" t="str">
        <f t="shared" si="2"/>
        <v/>
      </c>
      <c r="N42" s="7" t="str">
        <f t="shared" si="3"/>
        <v/>
      </c>
      <c r="O42" s="7" t="str">
        <f t="shared" si="4"/>
        <v/>
      </c>
      <c r="P42" s="7" t="str">
        <f t="shared" si="5"/>
        <v/>
      </c>
      <c r="Q42" s="7" t="str">
        <f t="shared" si="6"/>
        <v/>
      </c>
      <c r="R42" s="7" t="str">
        <f t="shared" si="7"/>
        <v/>
      </c>
      <c r="S42" s="7" t="str">
        <f t="shared" si="8"/>
        <v/>
      </c>
    </row>
    <row r="43" spans="1:19">
      <c r="A43" t="s">
        <v>14</v>
      </c>
      <c r="D43">
        <v>32.11</v>
      </c>
      <c r="E43">
        <v>0.2</v>
      </c>
      <c r="F43">
        <v>0.4</v>
      </c>
      <c r="K43" s="7" t="str">
        <f t="shared" si="0"/>
        <v/>
      </c>
      <c r="L43" s="7" t="str">
        <f t="shared" si="1"/>
        <v/>
      </c>
      <c r="M43" s="7" t="str">
        <f t="shared" si="2"/>
        <v/>
      </c>
      <c r="N43" s="7" t="str">
        <f t="shared" si="3"/>
        <v/>
      </c>
      <c r="O43" s="7" t="str">
        <f t="shared" si="4"/>
        <v/>
      </c>
      <c r="P43" s="7" t="str">
        <f t="shared" si="5"/>
        <v/>
      </c>
      <c r="Q43" s="7" t="str">
        <f t="shared" si="6"/>
        <v/>
      </c>
      <c r="R43" s="7" t="str">
        <f t="shared" si="7"/>
        <v/>
      </c>
      <c r="S43" s="7" t="str">
        <f t="shared" si="8"/>
        <v/>
      </c>
    </row>
    <row r="44" spans="1:19">
      <c r="A44" t="s">
        <v>164</v>
      </c>
      <c r="G44">
        <v>1</v>
      </c>
      <c r="H44">
        <v>3</v>
      </c>
      <c r="I44">
        <v>12</v>
      </c>
      <c r="J44">
        <f>D43</f>
        <v>32.11</v>
      </c>
      <c r="K44" s="7" t="str">
        <f t="shared" si="0"/>
        <v/>
      </c>
      <c r="L44" s="7" t="str">
        <f t="shared" si="1"/>
        <v/>
      </c>
      <c r="M44" s="7" t="str">
        <f t="shared" si="2"/>
        <v/>
      </c>
      <c r="N44" s="7">
        <f t="shared" si="3"/>
        <v>96.33</v>
      </c>
      <c r="O44" s="7" t="str">
        <f t="shared" si="4"/>
        <v/>
      </c>
      <c r="P44" s="7" t="str">
        <f t="shared" si="5"/>
        <v/>
      </c>
      <c r="Q44" s="7" t="str">
        <f t="shared" si="6"/>
        <v/>
      </c>
      <c r="R44" s="7" t="str">
        <f t="shared" si="7"/>
        <v/>
      </c>
      <c r="S44" s="7" t="str">
        <f t="shared" si="8"/>
        <v/>
      </c>
    </row>
    <row r="45" spans="1:19">
      <c r="A45" t="s">
        <v>165</v>
      </c>
      <c r="G45">
        <v>1</v>
      </c>
      <c r="H45">
        <v>3</v>
      </c>
      <c r="I45">
        <v>10</v>
      </c>
      <c r="J45">
        <f>D43</f>
        <v>32.11</v>
      </c>
      <c r="K45" s="7" t="str">
        <f t="shared" si="0"/>
        <v/>
      </c>
      <c r="L45" s="7" t="str">
        <f t="shared" si="1"/>
        <v/>
      </c>
      <c r="M45" s="7">
        <f t="shared" si="2"/>
        <v>96.33</v>
      </c>
      <c r="N45" s="7" t="str">
        <f t="shared" si="3"/>
        <v/>
      </c>
      <c r="O45" s="7" t="str">
        <f t="shared" si="4"/>
        <v/>
      </c>
      <c r="P45" s="7" t="str">
        <f t="shared" si="5"/>
        <v/>
      </c>
      <c r="Q45" s="7" t="str">
        <f t="shared" si="6"/>
        <v/>
      </c>
      <c r="R45" s="7" t="str">
        <f t="shared" si="7"/>
        <v/>
      </c>
      <c r="S45" s="7" t="str">
        <f t="shared" si="8"/>
        <v/>
      </c>
    </row>
    <row r="46" spans="1:19">
      <c r="A46" t="s">
        <v>76</v>
      </c>
      <c r="G46">
        <v>1</v>
      </c>
      <c r="H46">
        <f>ROUNDUP(D43/0.2,0)</f>
        <v>161</v>
      </c>
      <c r="I46">
        <v>6</v>
      </c>
      <c r="J46">
        <f>2*(E43+F43)-0.05+20.5*I46/1000</f>
        <v>1.2730000000000001</v>
      </c>
      <c r="K46" s="7">
        <f t="shared" si="0"/>
        <v>204.95300000000003</v>
      </c>
      <c r="L46" s="7" t="str">
        <f t="shared" si="1"/>
        <v/>
      </c>
      <c r="M46" s="7" t="str">
        <f t="shared" si="2"/>
        <v/>
      </c>
      <c r="N46" s="7" t="str">
        <f t="shared" si="3"/>
        <v/>
      </c>
      <c r="O46" s="7" t="str">
        <f t="shared" si="4"/>
        <v/>
      </c>
      <c r="P46" s="7" t="str">
        <f t="shared" si="5"/>
        <v/>
      </c>
      <c r="Q46" s="7" t="str">
        <f t="shared" si="6"/>
        <v/>
      </c>
      <c r="R46" s="7" t="str">
        <f t="shared" si="7"/>
        <v/>
      </c>
      <c r="S46" s="7" t="str">
        <f t="shared" si="8"/>
        <v/>
      </c>
    </row>
    <row r="47" spans="1:19">
      <c r="A47" t="s">
        <v>77</v>
      </c>
      <c r="G47">
        <v>1</v>
      </c>
      <c r="H47">
        <f>ROUNDUP(D43/0.2,0)</f>
        <v>161</v>
      </c>
      <c r="I47">
        <v>6</v>
      </c>
      <c r="J47">
        <f>F43-0.05+22*I47/1000</f>
        <v>0.48200000000000004</v>
      </c>
      <c r="K47" s="7">
        <f t="shared" si="0"/>
        <v>77.602000000000004</v>
      </c>
      <c r="L47" s="7" t="str">
        <f t="shared" si="1"/>
        <v/>
      </c>
      <c r="M47" s="7" t="str">
        <f t="shared" si="2"/>
        <v/>
      </c>
      <c r="N47" s="7" t="str">
        <f t="shared" si="3"/>
        <v/>
      </c>
      <c r="O47" s="7" t="str">
        <f t="shared" si="4"/>
        <v/>
      </c>
      <c r="P47" s="7" t="str">
        <f t="shared" si="5"/>
        <v/>
      </c>
      <c r="Q47" s="7" t="str">
        <f t="shared" si="6"/>
        <v/>
      </c>
      <c r="R47" s="7" t="str">
        <f t="shared" si="7"/>
        <v/>
      </c>
      <c r="S47" s="7" t="str">
        <f t="shared" si="8"/>
        <v/>
      </c>
    </row>
    <row r="48" spans="1:19">
      <c r="A48" s="154" t="s">
        <v>166</v>
      </c>
      <c r="B48" s="154"/>
      <c r="C48" s="154"/>
      <c r="D48" s="3"/>
      <c r="E48" s="3"/>
      <c r="F48" s="3"/>
      <c r="G48" s="9"/>
      <c r="H48" s="9"/>
      <c r="I48" s="9"/>
      <c r="J48" s="9"/>
      <c r="K48" s="7" t="str">
        <f t="shared" si="0"/>
        <v/>
      </c>
      <c r="L48" s="7" t="str">
        <f t="shared" si="1"/>
        <v/>
      </c>
      <c r="M48" s="7" t="str">
        <f t="shared" si="2"/>
        <v/>
      </c>
      <c r="N48" s="7" t="str">
        <f t="shared" si="3"/>
        <v/>
      </c>
      <c r="O48" s="7" t="str">
        <f t="shared" si="4"/>
        <v/>
      </c>
      <c r="P48" s="7" t="str">
        <f t="shared" si="5"/>
        <v/>
      </c>
      <c r="Q48" s="7" t="str">
        <f t="shared" si="6"/>
        <v/>
      </c>
      <c r="R48" s="7" t="str">
        <f t="shared" si="7"/>
        <v/>
      </c>
      <c r="S48" s="7" t="str">
        <f t="shared" si="8"/>
        <v/>
      </c>
    </row>
    <row r="49" spans="1:19">
      <c r="A49" t="s">
        <v>167</v>
      </c>
      <c r="E49">
        <v>10.4</v>
      </c>
      <c r="F49">
        <v>11.64</v>
      </c>
      <c r="K49" s="7" t="str">
        <f t="shared" si="0"/>
        <v/>
      </c>
      <c r="L49" s="7" t="str">
        <f t="shared" si="1"/>
        <v/>
      </c>
      <c r="M49" s="7" t="str">
        <f t="shared" si="2"/>
        <v/>
      </c>
      <c r="N49" s="7" t="str">
        <f t="shared" si="3"/>
        <v/>
      </c>
      <c r="O49" s="7" t="str">
        <f t="shared" si="4"/>
        <v/>
      </c>
      <c r="P49" s="7" t="str">
        <f t="shared" si="5"/>
        <v/>
      </c>
      <c r="Q49" s="7" t="str">
        <f t="shared" si="6"/>
        <v/>
      </c>
      <c r="R49" s="7" t="str">
        <f t="shared" si="7"/>
        <v/>
      </c>
      <c r="S49" s="7" t="str">
        <f t="shared" si="8"/>
        <v/>
      </c>
    </row>
    <row r="50" spans="1:19">
      <c r="A50" t="s">
        <v>168</v>
      </c>
      <c r="G50">
        <v>1</v>
      </c>
      <c r="H50">
        <f>ROUNDUP(E49/0.15,0)</f>
        <v>70</v>
      </c>
      <c r="I50">
        <v>8</v>
      </c>
      <c r="J50">
        <f>E49</f>
        <v>10.4</v>
      </c>
      <c r="K50" s="7" t="str">
        <f t="shared" si="0"/>
        <v/>
      </c>
      <c r="L50" s="7">
        <f t="shared" si="1"/>
        <v>728</v>
      </c>
      <c r="M50" s="7" t="str">
        <f t="shared" si="2"/>
        <v/>
      </c>
      <c r="N50" s="7" t="str">
        <f t="shared" si="3"/>
        <v/>
      </c>
      <c r="O50" s="7" t="str">
        <f t="shared" si="4"/>
        <v/>
      </c>
      <c r="P50" s="7" t="str">
        <f t="shared" si="5"/>
        <v/>
      </c>
      <c r="Q50" s="7" t="str">
        <f t="shared" si="6"/>
        <v/>
      </c>
      <c r="R50" s="7" t="str">
        <f t="shared" si="7"/>
        <v/>
      </c>
      <c r="S50" s="7" t="str">
        <f t="shared" si="8"/>
        <v/>
      </c>
    </row>
    <row r="51" spans="1:19">
      <c r="A51" t="s">
        <v>169</v>
      </c>
      <c r="G51">
        <v>1</v>
      </c>
      <c r="H51">
        <f>ROUNDUP(F49/0.15,0)</f>
        <v>78</v>
      </c>
      <c r="I51">
        <v>8</v>
      </c>
      <c r="J51">
        <f>F49+1</f>
        <v>12.64</v>
      </c>
      <c r="K51" s="7" t="str">
        <f t="shared" si="0"/>
        <v/>
      </c>
      <c r="L51" s="7">
        <f t="shared" si="1"/>
        <v>985.92000000000007</v>
      </c>
      <c r="M51" s="7" t="str">
        <f t="shared" si="2"/>
        <v/>
      </c>
      <c r="N51" s="7" t="str">
        <f t="shared" si="3"/>
        <v/>
      </c>
      <c r="O51" s="7" t="str">
        <f t="shared" si="4"/>
        <v/>
      </c>
      <c r="P51" s="7" t="str">
        <f t="shared" si="5"/>
        <v/>
      </c>
      <c r="Q51" s="7" t="str">
        <f t="shared" si="6"/>
        <v/>
      </c>
      <c r="R51" s="7" t="str">
        <f t="shared" si="7"/>
        <v/>
      </c>
      <c r="S51" s="7" t="str">
        <f t="shared" si="8"/>
        <v/>
      </c>
    </row>
    <row r="52" spans="1:19">
      <c r="A52" t="s">
        <v>170</v>
      </c>
      <c r="E52">
        <v>10.4</v>
      </c>
      <c r="F52">
        <v>12.11</v>
      </c>
      <c r="K52" s="7" t="str">
        <f t="shared" si="0"/>
        <v/>
      </c>
      <c r="L52" s="7" t="str">
        <f t="shared" si="1"/>
        <v/>
      </c>
      <c r="M52" s="7" t="str">
        <f t="shared" si="2"/>
        <v/>
      </c>
      <c r="N52" s="7" t="str">
        <f t="shared" si="3"/>
        <v/>
      </c>
      <c r="O52" s="7" t="str">
        <f t="shared" si="4"/>
        <v/>
      </c>
      <c r="P52" s="7" t="str">
        <f t="shared" si="5"/>
        <v/>
      </c>
      <c r="Q52" s="7" t="str">
        <f t="shared" si="6"/>
        <v/>
      </c>
      <c r="R52" s="7" t="str">
        <f t="shared" si="7"/>
        <v/>
      </c>
      <c r="S52" s="7" t="str">
        <f t="shared" si="8"/>
        <v/>
      </c>
    </row>
    <row r="53" spans="1:19">
      <c r="A53" t="s">
        <v>168</v>
      </c>
      <c r="G53">
        <v>2</v>
      </c>
      <c r="H53">
        <f>ROUNDUP(E52/0.15,0)</f>
        <v>70</v>
      </c>
      <c r="I53">
        <v>8</v>
      </c>
      <c r="J53">
        <f>E52</f>
        <v>10.4</v>
      </c>
      <c r="K53" s="7" t="str">
        <f t="shared" si="0"/>
        <v/>
      </c>
      <c r="L53" s="7">
        <f t="shared" si="1"/>
        <v>1456</v>
      </c>
      <c r="M53" s="7" t="str">
        <f t="shared" si="2"/>
        <v/>
      </c>
      <c r="N53" s="7" t="str">
        <f t="shared" si="3"/>
        <v/>
      </c>
      <c r="O53" s="7" t="str">
        <f t="shared" si="4"/>
        <v/>
      </c>
      <c r="P53" s="7" t="str">
        <f t="shared" si="5"/>
        <v/>
      </c>
      <c r="Q53" s="7" t="str">
        <f t="shared" si="6"/>
        <v/>
      </c>
      <c r="R53" s="7" t="str">
        <f t="shared" si="7"/>
        <v/>
      </c>
      <c r="S53" s="7" t="str">
        <f t="shared" si="8"/>
        <v/>
      </c>
    </row>
    <row r="54" spans="1:19" ht="14.4" thickBot="1">
      <c r="A54" t="s">
        <v>169</v>
      </c>
      <c r="G54">
        <v>2</v>
      </c>
      <c r="H54">
        <f>ROUNDUP(F52/0.15,0)</f>
        <v>81</v>
      </c>
      <c r="I54">
        <v>8</v>
      </c>
      <c r="J54">
        <f>F52+1</f>
        <v>13.11</v>
      </c>
      <c r="K54" s="7" t="str">
        <f t="shared" si="0"/>
        <v/>
      </c>
      <c r="L54" s="7">
        <f t="shared" si="1"/>
        <v>2123.8199999999997</v>
      </c>
      <c r="M54" s="7" t="str">
        <f t="shared" si="2"/>
        <v/>
      </c>
      <c r="N54" s="7" t="str">
        <f t="shared" si="3"/>
        <v/>
      </c>
      <c r="O54" s="7" t="str">
        <f t="shared" si="4"/>
        <v/>
      </c>
      <c r="P54" s="7" t="str">
        <f t="shared" si="5"/>
        <v/>
      </c>
      <c r="Q54" s="7" t="str">
        <f t="shared" si="6"/>
        <v/>
      </c>
      <c r="R54" s="7" t="str">
        <f t="shared" si="7"/>
        <v/>
      </c>
      <c r="S54" s="7" t="str">
        <f t="shared" si="8"/>
        <v/>
      </c>
    </row>
    <row r="55" spans="1:19" ht="16.2" thickTop="1">
      <c r="A55" s="174"/>
      <c r="B55" s="175"/>
      <c r="C55" s="175"/>
      <c r="D55" s="175"/>
      <c r="E55" s="175"/>
      <c r="F55" s="176"/>
      <c r="G55" s="34" t="s">
        <v>59</v>
      </c>
      <c r="H55" s="34"/>
      <c r="I55" s="34"/>
      <c r="J55" s="34"/>
      <c r="K55" s="28">
        <f>SUM(K5:K54)</f>
        <v>1686.5600000000002</v>
      </c>
      <c r="L55" s="28">
        <f t="shared" ref="L55:S55" si="9">SUM(L5:L54)</f>
        <v>5293.74</v>
      </c>
      <c r="M55" s="28">
        <f t="shared" si="9"/>
        <v>663.81</v>
      </c>
      <c r="N55" s="28">
        <f t="shared" si="9"/>
        <v>985.31</v>
      </c>
      <c r="O55" s="28">
        <f t="shared" si="9"/>
        <v>342.51599999999991</v>
      </c>
      <c r="P55" s="28">
        <f t="shared" si="9"/>
        <v>0</v>
      </c>
      <c r="Q55" s="28">
        <f t="shared" si="9"/>
        <v>0</v>
      </c>
      <c r="R55" s="28">
        <f t="shared" si="9"/>
        <v>0</v>
      </c>
      <c r="S55" s="28">
        <f t="shared" si="9"/>
        <v>0</v>
      </c>
    </row>
    <row r="56" spans="1:19" ht="15.6">
      <c r="A56" s="177"/>
      <c r="B56" s="178"/>
      <c r="C56" s="178"/>
      <c r="D56" s="178"/>
      <c r="E56" s="178"/>
      <c r="F56" s="179"/>
      <c r="G56" s="35" t="s">
        <v>60</v>
      </c>
      <c r="H56" s="35"/>
      <c r="I56" s="35"/>
      <c r="J56" s="35"/>
      <c r="K56" s="29">
        <f>6*6/162</f>
        <v>0.22222222222222221</v>
      </c>
      <c r="L56" s="33">
        <f>8*8/162</f>
        <v>0.39506172839506171</v>
      </c>
      <c r="M56" s="30">
        <f>10*10/162</f>
        <v>0.61728395061728392</v>
      </c>
      <c r="N56" s="30">
        <f>12*12/162</f>
        <v>0.88888888888888884</v>
      </c>
      <c r="O56" s="30">
        <f>14*14/162</f>
        <v>1.2098765432098766</v>
      </c>
      <c r="P56" s="30">
        <f>16*16/162</f>
        <v>1.5802469135802468</v>
      </c>
      <c r="Q56" s="30">
        <v>2.4660000000000002</v>
      </c>
      <c r="R56" s="30">
        <v>3.8540000000000001</v>
      </c>
      <c r="S56" s="31">
        <v>6.3150000000000004</v>
      </c>
    </row>
    <row r="57" spans="1:19" ht="15.6">
      <c r="A57" s="177"/>
      <c r="B57" s="178"/>
      <c r="C57" s="178"/>
      <c r="D57" s="178"/>
      <c r="E57" s="178"/>
      <c r="F57" s="179"/>
      <c r="G57" s="35" t="s">
        <v>61</v>
      </c>
      <c r="H57" s="35"/>
      <c r="I57" s="35"/>
      <c r="J57" s="35"/>
      <c r="K57" s="32">
        <f t="shared" ref="K57:S57" si="10">K56*K55</f>
        <v>374.79111111111115</v>
      </c>
      <c r="L57" s="32">
        <f t="shared" si="10"/>
        <v>2091.3540740740737</v>
      </c>
      <c r="M57" s="32">
        <f t="shared" si="10"/>
        <v>409.75925925925918</v>
      </c>
      <c r="N57" s="32">
        <f t="shared" si="10"/>
        <v>875.831111111111</v>
      </c>
      <c r="O57" s="32">
        <f t="shared" si="10"/>
        <v>414.40207407407399</v>
      </c>
      <c r="P57" s="32">
        <f t="shared" si="10"/>
        <v>0</v>
      </c>
      <c r="Q57" s="32">
        <f t="shared" si="10"/>
        <v>0</v>
      </c>
      <c r="R57" s="32">
        <f t="shared" si="10"/>
        <v>0</v>
      </c>
      <c r="S57" s="32">
        <f t="shared" si="10"/>
        <v>0</v>
      </c>
    </row>
    <row r="58" spans="1:19" ht="16.2" thickBot="1">
      <c r="A58" s="180"/>
      <c r="B58" s="181"/>
      <c r="C58" s="181"/>
      <c r="D58" s="181"/>
      <c r="E58" s="181"/>
      <c r="F58" s="182"/>
      <c r="G58" s="52" t="s">
        <v>62</v>
      </c>
      <c r="H58" s="35"/>
      <c r="I58" s="35"/>
      <c r="J58" s="35"/>
      <c r="K58" s="169">
        <f>SUM(K57:S57)</f>
        <v>4166.1376296296294</v>
      </c>
      <c r="L58" s="170"/>
      <c r="M58" s="170"/>
      <c r="N58" s="170"/>
      <c r="O58" s="170"/>
      <c r="P58" s="170"/>
      <c r="Q58" s="170"/>
      <c r="R58" s="170"/>
      <c r="S58" s="171"/>
    </row>
    <row r="59" spans="1:19" ht="16.2" thickTop="1">
      <c r="A59" s="77"/>
      <c r="B59" s="77"/>
      <c r="C59" s="77"/>
      <c r="D59" s="77"/>
      <c r="E59" s="77"/>
      <c r="F59" s="77"/>
      <c r="G59" s="35" t="s">
        <v>171</v>
      </c>
      <c r="H59" s="35"/>
      <c r="I59" s="35"/>
      <c r="J59" s="35"/>
      <c r="K59" s="32">
        <f>K57*1.1</f>
        <v>412.27022222222229</v>
      </c>
      <c r="L59" s="32">
        <f t="shared" ref="L59:S59" si="11">L57*1.1</f>
        <v>2300.4894814814811</v>
      </c>
      <c r="M59" s="32">
        <f t="shared" si="11"/>
        <v>450.73518518518512</v>
      </c>
      <c r="N59" s="32">
        <f t="shared" si="11"/>
        <v>963.41422222222218</v>
      </c>
      <c r="O59" s="32">
        <f t="shared" si="11"/>
        <v>455.84228148148145</v>
      </c>
      <c r="P59" s="32">
        <f t="shared" si="11"/>
        <v>0</v>
      </c>
      <c r="Q59" s="32">
        <f t="shared" si="11"/>
        <v>0</v>
      </c>
      <c r="R59" s="32">
        <f t="shared" si="11"/>
        <v>0</v>
      </c>
      <c r="S59" s="32">
        <f t="shared" si="11"/>
        <v>0</v>
      </c>
    </row>
    <row r="60" spans="1:19" ht="15.6">
      <c r="A60" s="77"/>
      <c r="B60" s="77"/>
      <c r="C60" s="77"/>
      <c r="D60" s="77"/>
      <c r="E60" s="77"/>
      <c r="F60" s="77"/>
      <c r="G60" s="35" t="s">
        <v>172</v>
      </c>
      <c r="H60" s="35"/>
      <c r="I60" s="35"/>
      <c r="J60" s="35"/>
      <c r="K60" s="32">
        <v>1440</v>
      </c>
      <c r="L60" s="32">
        <v>2520</v>
      </c>
      <c r="M60" s="32">
        <v>1360</v>
      </c>
      <c r="N60" s="32">
        <v>2040</v>
      </c>
      <c r="O60" s="32">
        <v>2120</v>
      </c>
      <c r="P60" s="32">
        <f t="shared" ref="P60:S62" si="12">P58</f>
        <v>0</v>
      </c>
      <c r="Q60" s="32">
        <f t="shared" si="12"/>
        <v>0</v>
      </c>
      <c r="R60" s="32">
        <f t="shared" si="12"/>
        <v>0</v>
      </c>
      <c r="S60" s="32">
        <f t="shared" si="12"/>
        <v>0</v>
      </c>
    </row>
    <row r="61" spans="1:19" ht="15.6">
      <c r="A61" s="77"/>
      <c r="B61" s="77"/>
      <c r="C61" s="77"/>
      <c r="D61" s="77"/>
      <c r="E61" s="77"/>
      <c r="F61" s="77"/>
      <c r="G61" s="130" t="s">
        <v>173</v>
      </c>
      <c r="H61" s="130"/>
      <c r="I61" s="130"/>
      <c r="J61" s="130"/>
      <c r="K61" s="131">
        <f>K60-K59</f>
        <v>1027.7297777777776</v>
      </c>
      <c r="L61" s="131">
        <f t="shared" ref="L61:O61" si="13">L60-L59</f>
        <v>219.51051851851889</v>
      </c>
      <c r="M61" s="131">
        <f t="shared" si="13"/>
        <v>909.26481481481483</v>
      </c>
      <c r="N61" s="131">
        <f t="shared" si="13"/>
        <v>1076.5857777777778</v>
      </c>
      <c r="O61" s="131">
        <f t="shared" si="13"/>
        <v>1664.1577185185185</v>
      </c>
      <c r="P61" s="131"/>
      <c r="Q61" s="131"/>
      <c r="R61" s="131"/>
      <c r="S61" s="131"/>
    </row>
    <row r="62" spans="1:19" ht="15.6">
      <c r="A62" s="77"/>
      <c r="B62" s="77"/>
      <c r="C62" s="77"/>
      <c r="D62" s="77"/>
      <c r="E62" s="77"/>
      <c r="F62" s="77"/>
      <c r="G62" s="35"/>
      <c r="H62" s="35"/>
      <c r="I62" s="35"/>
      <c r="J62" s="35"/>
      <c r="K62" s="32">
        <f>1440-K57</f>
        <v>1065.2088888888889</v>
      </c>
      <c r="L62" s="32">
        <f>L60-L57</f>
        <v>428.64592592592635</v>
      </c>
      <c r="M62" s="32">
        <f>M60-M57</f>
        <v>950.24074074074088</v>
      </c>
      <c r="N62" s="32">
        <f>N60-N57</f>
        <v>1164.1688888888889</v>
      </c>
      <c r="O62" s="32">
        <f>O60-O57</f>
        <v>1705.5979259259261</v>
      </c>
      <c r="P62" s="32">
        <f t="shared" si="12"/>
        <v>0</v>
      </c>
      <c r="Q62" s="32">
        <f t="shared" si="12"/>
        <v>0</v>
      </c>
      <c r="R62" s="32">
        <f t="shared" si="12"/>
        <v>0</v>
      </c>
      <c r="S62" s="32">
        <f t="shared" si="12"/>
        <v>0</v>
      </c>
    </row>
    <row r="63" spans="1:19" ht="15.6">
      <c r="A63" s="77"/>
      <c r="B63" s="77"/>
      <c r="C63" s="77"/>
      <c r="D63" s="77"/>
      <c r="E63" s="77"/>
      <c r="F63" s="77"/>
      <c r="G63" s="52" t="s">
        <v>62</v>
      </c>
      <c r="H63" s="35"/>
      <c r="I63" s="35"/>
      <c r="J63" s="35"/>
      <c r="K63" s="169">
        <f>SUM(K62:S62)</f>
        <v>5313.8623703703706</v>
      </c>
      <c r="L63" s="170"/>
      <c r="M63" s="170"/>
      <c r="N63" s="170"/>
      <c r="O63" s="170"/>
      <c r="P63" s="170"/>
      <c r="Q63" s="170"/>
      <c r="R63" s="170"/>
      <c r="S63" s="171"/>
    </row>
    <row r="66" spans="1:19">
      <c r="A66" t="s">
        <v>170</v>
      </c>
      <c r="E66">
        <v>10.4</v>
      </c>
      <c r="F66">
        <v>12.11</v>
      </c>
      <c r="K66" s="7" t="str">
        <f t="shared" ref="K66:K68" si="14">IF(I66=6,G66*H66*J66,"")</f>
        <v/>
      </c>
      <c r="L66" s="7" t="str">
        <f t="shared" ref="L66:L68" si="15">IF(I66=8,G66*H66*J66,"")</f>
        <v/>
      </c>
      <c r="M66" s="7" t="str">
        <f t="shared" ref="M66:M68" si="16">IF(I66=10,G66*H66*J66,"")</f>
        <v/>
      </c>
      <c r="N66" s="7" t="str">
        <f t="shared" ref="N66:N68" si="17">IF(I66=12,G66*H66*J66,"")</f>
        <v/>
      </c>
      <c r="O66" s="7" t="str">
        <f t="shared" ref="O66:O68" si="18">IF(I66=14,G66*H66*J66,"")</f>
        <v/>
      </c>
      <c r="P66" s="7" t="str">
        <f t="shared" ref="P66:P68" si="19">IF(I66=16,G66*H66*J66,"")</f>
        <v/>
      </c>
      <c r="Q66" s="7" t="str">
        <f t="shared" ref="Q66:Q68" si="20">IF(I66=20,G66*H66*J66,"")</f>
        <v/>
      </c>
      <c r="R66" s="7" t="str">
        <f t="shared" ref="R66:R68" si="21">IF(I66=25,G66*H66*J66,"")</f>
        <v/>
      </c>
      <c r="S66" s="7" t="str">
        <f t="shared" ref="S66:S68" si="22">IF(I66=32,G66*H66*J66,"")</f>
        <v/>
      </c>
    </row>
    <row r="67" spans="1:19">
      <c r="A67" t="s">
        <v>168</v>
      </c>
      <c r="G67">
        <v>1</v>
      </c>
      <c r="H67">
        <f>ROUNDUP(E66/0.15,0)</f>
        <v>70</v>
      </c>
      <c r="I67">
        <v>8</v>
      </c>
      <c r="J67">
        <f>E66</f>
        <v>10.4</v>
      </c>
      <c r="K67" s="7" t="str">
        <f t="shared" si="14"/>
        <v/>
      </c>
      <c r="L67" s="7">
        <f t="shared" si="15"/>
        <v>728</v>
      </c>
      <c r="M67" s="7" t="str">
        <f t="shared" si="16"/>
        <v/>
      </c>
      <c r="N67" s="7" t="str">
        <f t="shared" si="17"/>
        <v/>
      </c>
      <c r="O67" s="7" t="str">
        <f t="shared" si="18"/>
        <v/>
      </c>
      <c r="P67" s="7" t="str">
        <f t="shared" si="19"/>
        <v/>
      </c>
      <c r="Q67" s="7" t="str">
        <f t="shared" si="20"/>
        <v/>
      </c>
      <c r="R67" s="7" t="str">
        <f t="shared" si="21"/>
        <v/>
      </c>
      <c r="S67" s="7" t="str">
        <f t="shared" si="22"/>
        <v/>
      </c>
    </row>
    <row r="68" spans="1:19">
      <c r="A68" t="s">
        <v>169</v>
      </c>
      <c r="G68">
        <v>1</v>
      </c>
      <c r="H68">
        <f>ROUNDUP(F66/0.15,0)</f>
        <v>81</v>
      </c>
      <c r="I68">
        <v>8</v>
      </c>
      <c r="J68">
        <f>F66+1</f>
        <v>13.11</v>
      </c>
      <c r="K68" s="7" t="str">
        <f t="shared" si="14"/>
        <v/>
      </c>
      <c r="L68" s="7">
        <f t="shared" si="15"/>
        <v>1061.9099999999999</v>
      </c>
      <c r="M68" s="7" t="str">
        <f t="shared" si="16"/>
        <v/>
      </c>
      <c r="N68" s="7" t="str">
        <f t="shared" si="17"/>
        <v/>
      </c>
      <c r="O68" s="7" t="str">
        <f t="shared" si="18"/>
        <v/>
      </c>
      <c r="P68" s="7" t="str">
        <f t="shared" si="19"/>
        <v/>
      </c>
      <c r="Q68" s="7" t="str">
        <f t="shared" si="20"/>
        <v/>
      </c>
      <c r="R68" s="7" t="str">
        <f t="shared" si="21"/>
        <v/>
      </c>
      <c r="S68" s="7" t="str">
        <f t="shared" si="22"/>
        <v/>
      </c>
    </row>
    <row r="70" spans="1:19">
      <c r="L70">
        <f>L67+L68</f>
        <v>1789.9099999999999</v>
      </c>
    </row>
    <row r="71" spans="1:19" ht="15.6">
      <c r="L71" s="33">
        <f>8*8/162</f>
        <v>0.39506172839506171</v>
      </c>
    </row>
    <row r="72" spans="1:19">
      <c r="L72" s="5">
        <f>L70*L71</f>
        <v>707.12493827160483</v>
      </c>
    </row>
  </sheetData>
  <mergeCells count="14">
    <mergeCell ref="K58:S58"/>
    <mergeCell ref="K63:S63"/>
    <mergeCell ref="A4:C4"/>
    <mergeCell ref="A18:C18"/>
    <mergeCell ref="A32:C32"/>
    <mergeCell ref="A37:C37"/>
    <mergeCell ref="A48:C48"/>
    <mergeCell ref="A55:F58"/>
    <mergeCell ref="K1:S1"/>
    <mergeCell ref="A1:F2"/>
    <mergeCell ref="G1:G2"/>
    <mergeCell ref="H1:H2"/>
    <mergeCell ref="I1:I2"/>
    <mergeCell ref="J1:J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11"/>
  <sheetViews>
    <sheetView tabSelected="1" topLeftCell="A383" zoomScale="70" zoomScaleNormal="70" workbookViewId="0">
      <selection activeCell="M412" sqref="M412"/>
    </sheetView>
  </sheetViews>
  <sheetFormatPr defaultRowHeight="13.8"/>
  <sheetData>
    <row r="1" spans="1:14" ht="40.5" customHeight="1">
      <c r="A1" s="15" t="s">
        <v>64</v>
      </c>
      <c r="B1" s="53"/>
      <c r="C1" s="53"/>
      <c r="D1" s="1"/>
      <c r="E1" s="1"/>
      <c r="F1" s="1"/>
      <c r="G1" s="1"/>
    </row>
    <row r="2" spans="1:14" ht="11.25" hidden="1" customHeight="1">
      <c r="A2" s="13"/>
      <c r="B2" s="53"/>
      <c r="C2" s="53"/>
      <c r="D2" s="1"/>
      <c r="E2" s="1"/>
      <c r="F2" s="1"/>
      <c r="G2" s="1"/>
    </row>
    <row r="3" spans="1:14" hidden="1">
      <c r="A3" s="13"/>
      <c r="B3" s="53"/>
      <c r="C3" s="53"/>
      <c r="D3" s="1"/>
      <c r="E3" s="1"/>
      <c r="F3" s="1"/>
      <c r="G3" s="1"/>
    </row>
    <row r="4" spans="1:14" ht="72" customHeight="1">
      <c r="A4" s="142"/>
      <c r="B4" s="142"/>
      <c r="C4" s="143" t="s">
        <v>63</v>
      </c>
      <c r="D4" s="143"/>
      <c r="E4" s="143"/>
      <c r="F4" s="143"/>
      <c r="G4" s="143"/>
      <c r="H4" s="143"/>
      <c r="I4" s="143"/>
      <c r="J4" s="143"/>
      <c r="K4" s="143"/>
      <c r="L4" s="143"/>
      <c r="M4" s="143"/>
    </row>
    <row r="5" spans="1:14" ht="30.75" customHeight="1">
      <c r="A5" s="14"/>
      <c r="B5" s="133"/>
      <c r="C5" s="114"/>
      <c r="D5" s="20"/>
      <c r="E5" s="143" t="s">
        <v>47</v>
      </c>
      <c r="F5" s="143"/>
      <c r="G5" s="143"/>
      <c r="H5" s="143"/>
      <c r="I5" s="143"/>
      <c r="J5" s="143"/>
      <c r="K5" s="20"/>
      <c r="L5" s="20"/>
      <c r="M5" s="14"/>
    </row>
    <row r="6" spans="1:14" ht="15.75" customHeight="1">
      <c r="A6" s="145" t="s">
        <v>0</v>
      </c>
      <c r="B6" s="145" t="s">
        <v>23</v>
      </c>
      <c r="C6" s="145"/>
      <c r="D6" s="145"/>
      <c r="E6" s="145"/>
      <c r="F6" s="145"/>
      <c r="G6" s="151" t="s">
        <v>51</v>
      </c>
      <c r="H6" s="146" t="s">
        <v>1</v>
      </c>
      <c r="I6" s="147" t="s">
        <v>15</v>
      </c>
      <c r="J6" s="147" t="s">
        <v>16</v>
      </c>
      <c r="K6" s="148" t="s">
        <v>17</v>
      </c>
      <c r="L6" s="146" t="s">
        <v>18</v>
      </c>
      <c r="M6" s="149" t="s">
        <v>19</v>
      </c>
    </row>
    <row r="7" spans="1:14" ht="15.75" customHeight="1">
      <c r="A7" s="145"/>
      <c r="B7" s="145"/>
      <c r="C7" s="145"/>
      <c r="D7" s="145"/>
      <c r="E7" s="145"/>
      <c r="F7" s="145"/>
      <c r="G7" s="151"/>
      <c r="H7" s="146"/>
      <c r="I7" s="147"/>
      <c r="J7" s="147"/>
      <c r="K7" s="148"/>
      <c r="L7" s="146"/>
      <c r="M7" s="146"/>
    </row>
    <row r="8" spans="1:14" ht="24" customHeight="1">
      <c r="A8" s="150" t="s">
        <v>48</v>
      </c>
      <c r="B8" s="150"/>
      <c r="C8" s="150"/>
      <c r="D8" s="150"/>
      <c r="E8" s="150"/>
      <c r="F8" s="150"/>
      <c r="G8" s="150"/>
      <c r="H8" s="150"/>
      <c r="I8" s="150"/>
      <c r="J8" s="150"/>
      <c r="K8" s="150"/>
      <c r="L8" s="150"/>
      <c r="M8" s="150"/>
    </row>
    <row r="9" spans="1:14" ht="147" customHeight="1">
      <c r="A9" s="16">
        <v>1</v>
      </c>
      <c r="B9" s="144" t="s">
        <v>49</v>
      </c>
      <c r="C9" s="144"/>
      <c r="D9" s="144"/>
      <c r="E9" s="144"/>
      <c r="F9" s="144"/>
      <c r="G9" s="100" t="s">
        <v>50</v>
      </c>
      <c r="H9" s="18">
        <v>1</v>
      </c>
      <c r="I9" s="17"/>
      <c r="J9" s="17"/>
      <c r="K9" s="17"/>
      <c r="L9" s="17"/>
      <c r="M9" s="18">
        <v>1</v>
      </c>
    </row>
    <row r="10" spans="1:14" ht="25.5" customHeight="1">
      <c r="A10" s="152" t="s">
        <v>92</v>
      </c>
      <c r="B10" s="152"/>
      <c r="C10" s="152"/>
      <c r="D10" s="152"/>
      <c r="E10" s="152"/>
      <c r="F10" s="152"/>
      <c r="G10" s="152"/>
      <c r="H10" s="152"/>
      <c r="I10" s="152"/>
      <c r="J10" s="152"/>
      <c r="K10" s="152"/>
      <c r="L10" s="152"/>
      <c r="M10" s="152"/>
    </row>
    <row r="11" spans="1:14" ht="35.25" customHeight="1">
      <c r="A11" s="19">
        <v>3</v>
      </c>
      <c r="B11" s="153" t="s">
        <v>52</v>
      </c>
      <c r="C11" s="153"/>
      <c r="D11" s="153"/>
      <c r="E11" s="153"/>
      <c r="F11" s="153"/>
      <c r="G11" s="153"/>
      <c r="H11" s="153"/>
      <c r="I11" s="153"/>
      <c r="J11" s="153"/>
      <c r="K11" s="153"/>
      <c r="L11" s="153"/>
      <c r="M11" s="153"/>
    </row>
    <row r="12" spans="1:14" s="45" customFormat="1" ht="13.8" customHeight="1">
      <c r="A12" s="91"/>
      <c r="B12" s="115"/>
      <c r="C12" s="115"/>
      <c r="D12" s="92"/>
      <c r="E12" s="92"/>
      <c r="F12" s="92"/>
      <c r="G12" s="92"/>
      <c r="H12" s="92"/>
      <c r="I12" s="92"/>
      <c r="J12" s="92"/>
      <c r="K12" s="92"/>
      <c r="L12" s="92"/>
      <c r="M12" s="92"/>
      <c r="N12" s="45" t="s">
        <v>46</v>
      </c>
    </row>
    <row r="13" spans="1:14" s="45" customFormat="1" ht="13.8" customHeight="1">
      <c r="A13" s="91"/>
      <c r="B13" s="2" t="s">
        <v>2</v>
      </c>
      <c r="C13" s="2" t="s">
        <v>3</v>
      </c>
      <c r="D13" s="92"/>
      <c r="E13" s="92"/>
      <c r="F13" s="92"/>
      <c r="G13" s="92"/>
      <c r="H13" s="92"/>
      <c r="I13" s="92"/>
      <c r="J13" s="92"/>
      <c r="K13" s="92"/>
      <c r="L13" s="92"/>
      <c r="M13" s="92"/>
      <c r="N13" s="45">
        <v>1.48</v>
      </c>
    </row>
    <row r="14" spans="1:14" s="45" customFormat="1" ht="13.8" customHeight="1">
      <c r="A14" s="91"/>
      <c r="B14" s="115" t="s">
        <v>4</v>
      </c>
      <c r="C14" s="116" t="s">
        <v>53</v>
      </c>
      <c r="D14" s="92"/>
      <c r="E14" s="92"/>
      <c r="F14" s="92"/>
      <c r="G14" s="92" t="s">
        <v>22</v>
      </c>
      <c r="H14" s="93">
        <v>1</v>
      </c>
      <c r="I14" s="94">
        <v>25.4</v>
      </c>
      <c r="J14" s="94">
        <v>1.6</v>
      </c>
      <c r="K14" s="94">
        <f>$N$13</f>
        <v>1.48</v>
      </c>
      <c r="L14" s="94">
        <f>K14*J14*I14*H14</f>
        <v>60.147199999999991</v>
      </c>
      <c r="M14" s="94"/>
    </row>
    <row r="15" spans="1:14" s="45" customFormat="1" ht="13.8" customHeight="1">
      <c r="A15" s="91"/>
      <c r="B15" s="115" t="s">
        <v>10</v>
      </c>
      <c r="C15" s="116" t="s">
        <v>53</v>
      </c>
      <c r="D15" s="92"/>
      <c r="E15" s="92"/>
      <c r="F15" s="92"/>
      <c r="G15" s="92" t="s">
        <v>22</v>
      </c>
      <c r="H15" s="93">
        <v>1</v>
      </c>
      <c r="I15" s="94">
        <v>25.4</v>
      </c>
      <c r="J15" s="94">
        <v>1.6</v>
      </c>
      <c r="K15" s="94">
        <f>$N$13+0.5</f>
        <v>1.98</v>
      </c>
      <c r="L15" s="94">
        <f t="shared" ref="L15:L21" si="0">K15*J15*I15*H15</f>
        <v>80.467200000000005</v>
      </c>
      <c r="M15" s="94"/>
    </row>
    <row r="16" spans="1:14" s="45" customFormat="1" ht="13.8" customHeight="1">
      <c r="A16" s="91"/>
      <c r="B16" s="115" t="s">
        <v>90</v>
      </c>
      <c r="C16" s="116" t="s">
        <v>80</v>
      </c>
      <c r="D16" s="92"/>
      <c r="E16" s="92"/>
      <c r="F16" s="92"/>
      <c r="G16" s="92" t="s">
        <v>22</v>
      </c>
      <c r="H16" s="93">
        <v>1</v>
      </c>
      <c r="I16" s="94">
        <v>11.4</v>
      </c>
      <c r="J16" s="94">
        <v>1.6</v>
      </c>
      <c r="K16" s="94">
        <f>$N$13</f>
        <v>1.48</v>
      </c>
      <c r="L16" s="94">
        <f t="shared" si="0"/>
        <v>26.995200000000001</v>
      </c>
      <c r="M16" s="94"/>
    </row>
    <row r="17" spans="1:14" s="45" customFormat="1" ht="13.8" customHeight="1">
      <c r="A17" s="91"/>
      <c r="B17" s="115" t="s">
        <v>90</v>
      </c>
      <c r="C17" s="116" t="s">
        <v>87</v>
      </c>
      <c r="D17" s="92"/>
      <c r="E17" s="92"/>
      <c r="F17" s="92"/>
      <c r="G17" s="92" t="s">
        <v>22</v>
      </c>
      <c r="H17" s="93">
        <v>1</v>
      </c>
      <c r="I17" s="94">
        <v>11.4</v>
      </c>
      <c r="J17" s="94">
        <v>1.6</v>
      </c>
      <c r="K17" s="94">
        <f>$N$13</f>
        <v>1.48</v>
      </c>
      <c r="L17" s="94">
        <f t="shared" si="0"/>
        <v>26.995200000000001</v>
      </c>
      <c r="M17" s="94"/>
    </row>
    <row r="18" spans="1:14" s="45" customFormat="1" ht="13.8" customHeight="1">
      <c r="A18" s="91"/>
      <c r="B18" s="115" t="s">
        <v>81</v>
      </c>
      <c r="C18" s="116" t="s">
        <v>91</v>
      </c>
      <c r="D18" s="92"/>
      <c r="E18" s="92"/>
      <c r="F18" s="92"/>
      <c r="G18" s="92" t="s">
        <v>22</v>
      </c>
      <c r="H18" s="93">
        <v>1</v>
      </c>
      <c r="I18" s="94">
        <v>2.75</v>
      </c>
      <c r="J18" s="94">
        <v>1.6</v>
      </c>
      <c r="K18" s="94">
        <f>$N$13+0.5</f>
        <v>1.98</v>
      </c>
      <c r="L18" s="94">
        <f t="shared" si="0"/>
        <v>8.7119999999999997</v>
      </c>
      <c r="M18" s="94"/>
    </row>
    <row r="19" spans="1:14" s="45" customFormat="1" ht="13.8" customHeight="1">
      <c r="A19" s="91"/>
      <c r="B19" s="115" t="s">
        <v>81</v>
      </c>
      <c r="C19" s="116" t="s">
        <v>82</v>
      </c>
      <c r="D19" s="92"/>
      <c r="E19" s="92"/>
      <c r="F19" s="92"/>
      <c r="G19" s="92" t="s">
        <v>22</v>
      </c>
      <c r="H19" s="93">
        <v>1</v>
      </c>
      <c r="I19" s="94">
        <v>2.75</v>
      </c>
      <c r="J19" s="94">
        <v>1.6</v>
      </c>
      <c r="K19" s="94">
        <f>$N$13</f>
        <v>1.48</v>
      </c>
      <c r="L19" s="94">
        <f t="shared" si="0"/>
        <v>6.5119999999999996</v>
      </c>
      <c r="M19" s="94"/>
    </row>
    <row r="20" spans="1:14" s="45" customFormat="1" ht="13.8" customHeight="1">
      <c r="A20" s="91"/>
      <c r="B20" s="115" t="s">
        <v>81</v>
      </c>
      <c r="C20" s="116" t="s">
        <v>79</v>
      </c>
      <c r="D20" s="92"/>
      <c r="E20" s="92"/>
      <c r="F20" s="92"/>
      <c r="G20" s="92" t="s">
        <v>22</v>
      </c>
      <c r="H20" s="93">
        <v>1</v>
      </c>
      <c r="I20" s="94">
        <v>2.75</v>
      </c>
      <c r="J20" s="94">
        <v>1.6</v>
      </c>
      <c r="K20" s="94">
        <f>$N$13</f>
        <v>1.48</v>
      </c>
      <c r="L20" s="94">
        <f t="shared" si="0"/>
        <v>6.5119999999999996</v>
      </c>
      <c r="M20" s="94"/>
    </row>
    <row r="21" spans="1:14" s="45" customFormat="1" ht="13.8" customHeight="1">
      <c r="A21" s="91"/>
      <c r="B21" s="115" t="s">
        <v>81</v>
      </c>
      <c r="C21" s="116" t="s">
        <v>83</v>
      </c>
      <c r="D21" s="92"/>
      <c r="E21" s="92"/>
      <c r="F21" s="92"/>
      <c r="G21" s="92" t="s">
        <v>22</v>
      </c>
      <c r="H21" s="93">
        <v>1</v>
      </c>
      <c r="I21" s="94">
        <v>2.75</v>
      </c>
      <c r="J21" s="94">
        <v>1.6</v>
      </c>
      <c r="K21" s="94">
        <f>$N$13</f>
        <v>1.48</v>
      </c>
      <c r="L21" s="94">
        <f t="shared" si="0"/>
        <v>6.5119999999999996</v>
      </c>
      <c r="M21" s="94"/>
    </row>
    <row r="22" spans="1:14" ht="13.8" customHeight="1">
      <c r="A22" s="137" t="s">
        <v>41</v>
      </c>
      <c r="B22" s="137"/>
      <c r="C22" s="137"/>
      <c r="D22" s="137"/>
      <c r="E22" s="137"/>
      <c r="F22" s="137"/>
      <c r="G22" s="137"/>
      <c r="H22" s="137"/>
      <c r="I22" s="137"/>
      <c r="J22" s="137"/>
      <c r="K22" s="137"/>
      <c r="L22" s="137"/>
      <c r="M22" s="60">
        <f>SUM(L14:L21)</f>
        <v>222.8528</v>
      </c>
      <c r="N22">
        <v>222.85</v>
      </c>
    </row>
    <row r="23" spans="1:14" ht="35.25" customHeight="1">
      <c r="A23" s="19">
        <v>15</v>
      </c>
      <c r="B23" s="153" t="s">
        <v>93</v>
      </c>
      <c r="C23" s="153"/>
      <c r="D23" s="153"/>
      <c r="E23" s="153"/>
      <c r="F23" s="153"/>
      <c r="G23" s="153"/>
      <c r="H23" s="153"/>
      <c r="I23" s="153"/>
      <c r="J23" s="153"/>
      <c r="K23" s="153"/>
      <c r="L23" s="153"/>
      <c r="M23" s="153"/>
    </row>
    <row r="24" spans="1:14" s="45" customFormat="1">
      <c r="A24" s="138" t="s">
        <v>94</v>
      </c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</row>
    <row r="25" spans="1:14" s="45" customFormat="1">
      <c r="A25" s="63"/>
      <c r="B25" s="2" t="s">
        <v>2</v>
      </c>
      <c r="C25" s="2" t="s">
        <v>3</v>
      </c>
      <c r="D25" s="63"/>
      <c r="F25" s="64"/>
      <c r="G25" s="96"/>
      <c r="H25" s="64"/>
      <c r="I25" s="64"/>
      <c r="J25" s="64"/>
      <c r="K25" s="64"/>
      <c r="L25" s="64"/>
      <c r="M25" s="64"/>
    </row>
    <row r="26" spans="1:14" s="70" customFormat="1">
      <c r="A26" s="88" t="s">
        <v>106</v>
      </c>
      <c r="B26" s="89" t="s">
        <v>4</v>
      </c>
      <c r="C26" s="89">
        <v>1</v>
      </c>
      <c r="D26" s="70">
        <v>1</v>
      </c>
      <c r="E26" s="70">
        <v>1</v>
      </c>
      <c r="F26" s="74">
        <v>0.25</v>
      </c>
      <c r="G26" s="98" t="s">
        <v>22</v>
      </c>
      <c r="H26" s="70">
        <v>1</v>
      </c>
      <c r="I26" s="70">
        <f>D26</f>
        <v>1</v>
      </c>
      <c r="J26" s="70">
        <f>E26</f>
        <v>1</v>
      </c>
      <c r="K26" s="70">
        <v>0.1</v>
      </c>
      <c r="L26" s="70">
        <f>H26*I26*J26*K26</f>
        <v>0.1</v>
      </c>
    </row>
    <row r="27" spans="1:14" s="70" customFormat="1">
      <c r="A27" s="88" t="s">
        <v>105</v>
      </c>
      <c r="B27" s="89" t="s">
        <v>4</v>
      </c>
      <c r="C27" s="73">
        <v>2</v>
      </c>
      <c r="D27" s="70">
        <v>1.5</v>
      </c>
      <c r="E27" s="70">
        <v>1.5</v>
      </c>
      <c r="F27" s="74">
        <v>0.4</v>
      </c>
      <c r="G27" s="98" t="s">
        <v>22</v>
      </c>
      <c r="H27" s="70">
        <v>1</v>
      </c>
      <c r="I27" s="70">
        <f t="shared" ref="I27:J32" si="1">D27</f>
        <v>1.5</v>
      </c>
      <c r="J27" s="70">
        <f t="shared" si="1"/>
        <v>1.5</v>
      </c>
      <c r="K27" s="70">
        <v>0.1</v>
      </c>
      <c r="L27" s="70">
        <f t="shared" ref="L27:L32" si="2">H27*I27*J27*K27</f>
        <v>0.22500000000000001</v>
      </c>
      <c r="M27" s="70" t="str">
        <f t="shared" ref="M27:M32" si="3">IF(I27=10,G27*H27*J27,"")</f>
        <v/>
      </c>
    </row>
    <row r="28" spans="1:14" s="70" customFormat="1">
      <c r="A28" s="88" t="s">
        <v>107</v>
      </c>
      <c r="B28" s="89" t="s">
        <v>4</v>
      </c>
      <c r="C28" s="89">
        <v>4</v>
      </c>
      <c r="D28" s="70">
        <v>1.5</v>
      </c>
      <c r="E28" s="97">
        <v>1.5</v>
      </c>
      <c r="F28" s="73">
        <v>0.4</v>
      </c>
      <c r="G28" s="98" t="s">
        <v>22</v>
      </c>
      <c r="H28" s="70">
        <v>1</v>
      </c>
      <c r="I28" s="70">
        <f t="shared" si="1"/>
        <v>1.5</v>
      </c>
      <c r="J28" s="70">
        <f t="shared" si="1"/>
        <v>1.5</v>
      </c>
      <c r="K28" s="70">
        <v>0.1</v>
      </c>
      <c r="L28" s="70">
        <f t="shared" si="2"/>
        <v>0.22500000000000001</v>
      </c>
      <c r="M28" s="70" t="str">
        <f t="shared" si="3"/>
        <v/>
      </c>
    </row>
    <row r="29" spans="1:14" s="70" customFormat="1">
      <c r="A29" s="88" t="s">
        <v>21</v>
      </c>
      <c r="B29" s="89" t="s">
        <v>4</v>
      </c>
      <c r="C29" s="73">
        <v>5</v>
      </c>
      <c r="D29" s="70">
        <v>1.1000000000000001</v>
      </c>
      <c r="E29" s="70">
        <v>1.1000000000000001</v>
      </c>
      <c r="F29" s="73">
        <v>0.25</v>
      </c>
      <c r="G29" s="98" t="s">
        <v>22</v>
      </c>
      <c r="H29" s="70">
        <v>1</v>
      </c>
      <c r="I29" s="70">
        <f t="shared" si="1"/>
        <v>1.1000000000000001</v>
      </c>
      <c r="J29" s="70">
        <f t="shared" si="1"/>
        <v>1.1000000000000001</v>
      </c>
      <c r="K29" s="70">
        <v>0.1</v>
      </c>
      <c r="L29" s="70">
        <f t="shared" si="2"/>
        <v>0.12100000000000002</v>
      </c>
      <c r="M29" s="70" t="str">
        <f t="shared" si="3"/>
        <v/>
      </c>
    </row>
    <row r="30" spans="1:14" s="70" customFormat="1">
      <c r="A30" s="88" t="s">
        <v>109</v>
      </c>
      <c r="B30" s="89" t="s">
        <v>4</v>
      </c>
      <c r="C30" s="73">
        <v>6</v>
      </c>
      <c r="D30" s="70">
        <v>1.2</v>
      </c>
      <c r="E30" s="70">
        <v>1.2</v>
      </c>
      <c r="F30" s="73">
        <v>0.3</v>
      </c>
      <c r="G30" s="98" t="s">
        <v>22</v>
      </c>
      <c r="H30" s="70">
        <v>1</v>
      </c>
      <c r="I30" s="70">
        <f t="shared" si="1"/>
        <v>1.2</v>
      </c>
      <c r="J30" s="70">
        <f t="shared" si="1"/>
        <v>1.2</v>
      </c>
      <c r="K30" s="70">
        <v>0.1</v>
      </c>
      <c r="L30" s="70">
        <f t="shared" si="2"/>
        <v>0.14399999999999999</v>
      </c>
      <c r="M30" s="70" t="str">
        <f t="shared" si="3"/>
        <v/>
      </c>
    </row>
    <row r="31" spans="1:14" s="70" customFormat="1">
      <c r="A31" s="88" t="s">
        <v>109</v>
      </c>
      <c r="B31" s="89" t="s">
        <v>4</v>
      </c>
      <c r="C31" s="89">
        <v>7</v>
      </c>
      <c r="D31" s="90">
        <v>1.2</v>
      </c>
      <c r="E31" s="90">
        <v>1.2</v>
      </c>
      <c r="F31" s="73">
        <v>0.3</v>
      </c>
      <c r="G31" s="98" t="s">
        <v>22</v>
      </c>
      <c r="H31" s="70">
        <v>1</v>
      </c>
      <c r="I31" s="70">
        <f t="shared" si="1"/>
        <v>1.2</v>
      </c>
      <c r="J31" s="70">
        <f t="shared" si="1"/>
        <v>1.2</v>
      </c>
      <c r="K31" s="70">
        <v>0.1</v>
      </c>
      <c r="L31" s="70">
        <f t="shared" si="2"/>
        <v>0.14399999999999999</v>
      </c>
      <c r="M31" s="70" t="str">
        <f t="shared" si="3"/>
        <v/>
      </c>
    </row>
    <row r="32" spans="1:14" s="70" customFormat="1">
      <c r="A32" s="88" t="s">
        <v>107</v>
      </c>
      <c r="B32" s="89" t="s">
        <v>8</v>
      </c>
      <c r="C32" s="89">
        <v>1</v>
      </c>
      <c r="D32" s="70">
        <v>1.5</v>
      </c>
      <c r="E32" s="70">
        <v>1.5</v>
      </c>
      <c r="F32" s="73">
        <v>0.4</v>
      </c>
      <c r="G32" s="98" t="s">
        <v>22</v>
      </c>
      <c r="H32" s="70">
        <v>1</v>
      </c>
      <c r="I32" s="70">
        <f t="shared" si="1"/>
        <v>1.5</v>
      </c>
      <c r="J32" s="70">
        <f t="shared" si="1"/>
        <v>1.5</v>
      </c>
      <c r="K32" s="70">
        <v>0.1</v>
      </c>
      <c r="L32" s="70">
        <f t="shared" si="2"/>
        <v>0.22500000000000001</v>
      </c>
      <c r="M32" s="70" t="str">
        <f t="shared" si="3"/>
        <v/>
      </c>
    </row>
    <row r="33" spans="1:19" s="70" customFormat="1" ht="16.2" customHeight="1">
      <c r="A33" s="137" t="s">
        <v>41</v>
      </c>
      <c r="B33" s="137"/>
      <c r="C33" s="137"/>
      <c r="D33" s="137"/>
      <c r="E33" s="137"/>
      <c r="F33" s="137"/>
      <c r="G33" s="137"/>
      <c r="H33" s="137"/>
      <c r="I33" s="137"/>
      <c r="J33" s="137"/>
      <c r="K33" s="137"/>
      <c r="L33" s="137"/>
      <c r="M33" s="60">
        <f>SUM(L26:L32)</f>
        <v>1.1840000000000002</v>
      </c>
      <c r="P33" s="98"/>
    </row>
    <row r="34" spans="1:19" s="70" customFormat="1">
      <c r="A34" s="138" t="s">
        <v>96</v>
      </c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04">
        <f>M33+M55+M75</f>
        <v>7.9521999999999995</v>
      </c>
    </row>
    <row r="35" spans="1:19" s="70" customFormat="1">
      <c r="A35" s="2" t="s">
        <v>2</v>
      </c>
      <c r="B35" s="2" t="s">
        <v>3</v>
      </c>
      <c r="C35" s="2" t="s">
        <v>12</v>
      </c>
      <c r="D35" s="82"/>
      <c r="E35" s="73"/>
      <c r="F35" s="73"/>
      <c r="G35" s="98"/>
      <c r="K35" s="70" t="str">
        <f t="shared" ref="K35" si="4">IF(I35=6,G35*H35*J35,"")</f>
        <v/>
      </c>
      <c r="L35" s="70" t="str">
        <f t="shared" ref="L35" si="5">IF(I35=8,G35*H35*J35,"")</f>
        <v/>
      </c>
      <c r="M35" s="70" t="str">
        <f t="shared" ref="M35" si="6">IF(I35=10,G35*H35*J35,"")</f>
        <v/>
      </c>
      <c r="N35" s="70" t="str">
        <f t="shared" ref="N35" si="7">IF(I35=12,G35*H35*J35,"")</f>
        <v/>
      </c>
      <c r="O35" s="70" t="str">
        <f t="shared" ref="O35" si="8">IF(I35=14,G35*H35*J35,"")</f>
        <v/>
      </c>
      <c r="P35" s="70" t="str">
        <f t="shared" ref="P35" si="9">IF(I35=16,G35*H35*J35,"")</f>
        <v/>
      </c>
      <c r="Q35" s="70" t="str">
        <f t="shared" ref="Q35" si="10">IF(I35=20,G35*H35*J35,"")</f>
        <v/>
      </c>
      <c r="S35" s="70" t="str">
        <f t="shared" ref="S35" si="11">IF(I35=32,G35*H35*J35,"")</f>
        <v/>
      </c>
    </row>
    <row r="36" spans="1:19" s="70" customFormat="1">
      <c r="A36" s="71" t="s">
        <v>7</v>
      </c>
      <c r="B36" s="72" t="s">
        <v>70</v>
      </c>
      <c r="C36" s="89" t="s">
        <v>116</v>
      </c>
      <c r="D36" s="98"/>
      <c r="E36" s="98"/>
      <c r="F36" s="98"/>
      <c r="G36" s="98" t="s">
        <v>22</v>
      </c>
      <c r="H36" s="70">
        <v>1</v>
      </c>
      <c r="I36" s="73">
        <v>4.8</v>
      </c>
      <c r="J36" s="73">
        <v>0.4</v>
      </c>
      <c r="K36" s="73">
        <v>0.1</v>
      </c>
      <c r="L36" s="70">
        <f>K36*J36*I36*H36</f>
        <v>0.19200000000000003</v>
      </c>
    </row>
    <row r="37" spans="1:19" s="70" customFormat="1">
      <c r="A37" s="71" t="s">
        <v>7</v>
      </c>
      <c r="B37" s="72" t="s">
        <v>110</v>
      </c>
      <c r="C37" s="89" t="s">
        <v>116</v>
      </c>
      <c r="D37" s="98"/>
      <c r="E37" s="98"/>
      <c r="F37" s="98"/>
      <c r="G37" s="98" t="s">
        <v>22</v>
      </c>
      <c r="H37" s="70">
        <v>1</v>
      </c>
      <c r="I37" s="73">
        <v>2.65</v>
      </c>
      <c r="J37" s="73">
        <v>0.4</v>
      </c>
      <c r="K37" s="73">
        <v>0.1</v>
      </c>
      <c r="L37" s="70">
        <f t="shared" ref="L37:L54" si="12">K37*J37*I37*H37</f>
        <v>0.10600000000000001</v>
      </c>
    </row>
    <row r="38" spans="1:19" s="70" customFormat="1">
      <c r="A38" s="71" t="s">
        <v>7</v>
      </c>
      <c r="B38" s="72" t="s">
        <v>111</v>
      </c>
      <c r="C38" s="89" t="s">
        <v>116</v>
      </c>
      <c r="D38" s="98"/>
      <c r="E38" s="98"/>
      <c r="F38" s="98"/>
      <c r="G38" s="98" t="s">
        <v>22</v>
      </c>
      <c r="H38" s="70">
        <v>1</v>
      </c>
      <c r="I38" s="73">
        <v>4.5999999999999996</v>
      </c>
      <c r="J38" s="73">
        <v>0.4</v>
      </c>
      <c r="K38" s="73">
        <v>0.1</v>
      </c>
      <c r="L38" s="70">
        <f t="shared" si="12"/>
        <v>0.18400000000000002</v>
      </c>
    </row>
    <row r="39" spans="1:19" s="70" customFormat="1">
      <c r="A39" s="71" t="s">
        <v>8</v>
      </c>
      <c r="B39" s="72" t="s">
        <v>71</v>
      </c>
      <c r="C39" s="89" t="s">
        <v>14</v>
      </c>
      <c r="D39" s="98"/>
      <c r="E39" s="98"/>
      <c r="F39" s="98"/>
      <c r="G39" s="98" t="s">
        <v>22</v>
      </c>
      <c r="H39" s="70">
        <v>1</v>
      </c>
      <c r="I39" s="73">
        <v>2.48</v>
      </c>
      <c r="J39" s="73">
        <v>0.4</v>
      </c>
      <c r="K39" s="73">
        <v>0.1</v>
      </c>
      <c r="L39" s="70">
        <f t="shared" si="12"/>
        <v>9.9200000000000024E-2</v>
      </c>
    </row>
    <row r="40" spans="1:19" s="70" customFormat="1">
      <c r="A40" s="71" t="s">
        <v>8</v>
      </c>
      <c r="B40" s="72" t="s">
        <v>72</v>
      </c>
      <c r="C40" s="89" t="s">
        <v>14</v>
      </c>
      <c r="D40" s="98"/>
      <c r="E40" s="98"/>
      <c r="F40" s="98"/>
      <c r="G40" s="98" t="s">
        <v>22</v>
      </c>
      <c r="H40" s="70">
        <v>1</v>
      </c>
      <c r="I40" s="73">
        <v>3.7</v>
      </c>
      <c r="J40" s="73">
        <v>0.4</v>
      </c>
      <c r="K40" s="73">
        <v>0.1</v>
      </c>
      <c r="L40" s="70">
        <f t="shared" si="12"/>
        <v>0.14800000000000005</v>
      </c>
    </row>
    <row r="41" spans="1:19" s="70" customFormat="1">
      <c r="A41" s="71" t="s">
        <v>8</v>
      </c>
      <c r="B41" s="72" t="s">
        <v>73</v>
      </c>
      <c r="C41" s="89" t="s">
        <v>14</v>
      </c>
      <c r="D41" s="98"/>
      <c r="E41" s="98"/>
      <c r="F41" s="98"/>
      <c r="G41" s="98" t="s">
        <v>22</v>
      </c>
      <c r="H41" s="70">
        <v>1</v>
      </c>
      <c r="I41" s="73">
        <v>3.7</v>
      </c>
      <c r="J41" s="73">
        <v>0.4</v>
      </c>
      <c r="K41" s="73">
        <v>0.1</v>
      </c>
      <c r="L41" s="70">
        <f t="shared" si="12"/>
        <v>0.14800000000000005</v>
      </c>
    </row>
    <row r="42" spans="1:19" s="70" customFormat="1">
      <c r="A42" s="71" t="s">
        <v>8</v>
      </c>
      <c r="B42" s="72" t="s">
        <v>69</v>
      </c>
      <c r="C42" s="89" t="s">
        <v>14</v>
      </c>
      <c r="D42" s="98"/>
      <c r="E42" s="98"/>
      <c r="F42" s="98"/>
      <c r="G42" s="98" t="s">
        <v>22</v>
      </c>
      <c r="H42" s="70">
        <v>1</v>
      </c>
      <c r="I42" s="73">
        <v>2.38</v>
      </c>
      <c r="J42" s="73">
        <v>0.4</v>
      </c>
      <c r="K42" s="73">
        <v>0.1</v>
      </c>
      <c r="L42" s="70">
        <f t="shared" si="12"/>
        <v>9.5200000000000021E-2</v>
      </c>
    </row>
    <row r="43" spans="1:19" s="70" customFormat="1">
      <c r="A43" s="71" t="s">
        <v>9</v>
      </c>
      <c r="B43" s="72" t="s">
        <v>70</v>
      </c>
      <c r="C43" s="89" t="s">
        <v>116</v>
      </c>
      <c r="D43" s="98"/>
      <c r="E43" s="98"/>
      <c r="F43" s="98"/>
      <c r="G43" s="98" t="s">
        <v>22</v>
      </c>
      <c r="H43" s="70">
        <v>1</v>
      </c>
      <c r="I43" s="73">
        <v>4.78</v>
      </c>
      <c r="J43" s="73">
        <v>0.4</v>
      </c>
      <c r="K43" s="73">
        <v>0.1</v>
      </c>
      <c r="L43" s="70">
        <f t="shared" si="12"/>
        <v>0.19120000000000004</v>
      </c>
    </row>
    <row r="44" spans="1:19" s="70" customFormat="1">
      <c r="A44" s="71" t="s">
        <v>9</v>
      </c>
      <c r="B44" s="72" t="s">
        <v>110</v>
      </c>
      <c r="C44" s="89" t="s">
        <v>116</v>
      </c>
      <c r="D44" s="98"/>
      <c r="E44" s="98"/>
      <c r="F44" s="98"/>
      <c r="G44" s="98" t="s">
        <v>22</v>
      </c>
      <c r="H44" s="70">
        <v>1</v>
      </c>
      <c r="I44" s="73">
        <v>2.65</v>
      </c>
      <c r="J44" s="73">
        <v>0.4</v>
      </c>
      <c r="K44" s="73">
        <v>0.1</v>
      </c>
      <c r="L44" s="70">
        <f t="shared" si="12"/>
        <v>0.10600000000000001</v>
      </c>
    </row>
    <row r="45" spans="1:19" s="70" customFormat="1">
      <c r="A45" s="71" t="s">
        <v>25</v>
      </c>
      <c r="B45" s="72" t="s">
        <v>91</v>
      </c>
      <c r="C45" s="89" t="s">
        <v>14</v>
      </c>
      <c r="G45" s="98" t="s">
        <v>22</v>
      </c>
      <c r="H45" s="70">
        <v>1</v>
      </c>
      <c r="I45" s="73">
        <f>3.82+0.4+0.82</f>
        <v>5.04</v>
      </c>
      <c r="J45" s="73">
        <v>0.4</v>
      </c>
      <c r="K45" s="73">
        <v>0.1</v>
      </c>
      <c r="L45" s="70">
        <f t="shared" si="12"/>
        <v>0.20160000000000003</v>
      </c>
    </row>
    <row r="46" spans="1:19" s="70" customFormat="1">
      <c r="A46" s="89" t="s">
        <v>25</v>
      </c>
      <c r="B46" s="72" t="s">
        <v>79</v>
      </c>
      <c r="C46" s="89" t="s">
        <v>14</v>
      </c>
      <c r="D46" s="98"/>
      <c r="E46" s="98"/>
      <c r="F46" s="98"/>
      <c r="G46" s="98" t="s">
        <v>22</v>
      </c>
      <c r="H46" s="70">
        <v>1</v>
      </c>
      <c r="I46" s="73">
        <v>5.04</v>
      </c>
      <c r="J46" s="73">
        <v>0.4</v>
      </c>
      <c r="K46" s="73">
        <v>0.1</v>
      </c>
      <c r="L46" s="70">
        <f t="shared" si="12"/>
        <v>0.20160000000000003</v>
      </c>
    </row>
    <row r="47" spans="1:19" s="70" customFormat="1">
      <c r="A47" s="71" t="s">
        <v>113</v>
      </c>
      <c r="B47" s="72" t="s">
        <v>83</v>
      </c>
      <c r="C47" s="89" t="s">
        <v>116</v>
      </c>
      <c r="D47" s="98"/>
      <c r="E47" s="98"/>
      <c r="F47" s="98"/>
      <c r="G47" s="98" t="s">
        <v>22</v>
      </c>
      <c r="H47" s="70">
        <v>1</v>
      </c>
      <c r="I47" s="73">
        <f>3.82+0.4+0.82+1.08</f>
        <v>6.12</v>
      </c>
      <c r="J47" s="73">
        <v>0.4</v>
      </c>
      <c r="K47" s="73">
        <v>0.1</v>
      </c>
      <c r="L47" s="70">
        <f t="shared" si="12"/>
        <v>0.24480000000000005</v>
      </c>
    </row>
    <row r="48" spans="1:19" s="70" customFormat="1">
      <c r="A48" s="71" t="s">
        <v>113</v>
      </c>
      <c r="B48" s="72" t="s">
        <v>87</v>
      </c>
      <c r="C48" s="89" t="s">
        <v>116</v>
      </c>
      <c r="G48" s="98" t="s">
        <v>22</v>
      </c>
      <c r="H48" s="70">
        <v>1</v>
      </c>
      <c r="I48" s="73">
        <v>6.12</v>
      </c>
      <c r="J48" s="73">
        <v>0.4</v>
      </c>
      <c r="K48" s="73">
        <v>0.1</v>
      </c>
      <c r="L48" s="70">
        <f t="shared" si="12"/>
        <v>0.24480000000000005</v>
      </c>
    </row>
    <row r="49" spans="1:16" s="70" customFormat="1">
      <c r="A49" s="89" t="s">
        <v>113</v>
      </c>
      <c r="B49" s="72" t="s">
        <v>112</v>
      </c>
      <c r="C49" s="89" t="s">
        <v>116</v>
      </c>
      <c r="D49" s="98"/>
      <c r="E49" s="98"/>
      <c r="F49" s="98"/>
      <c r="G49" s="98" t="s">
        <v>22</v>
      </c>
      <c r="H49" s="70">
        <v>1</v>
      </c>
      <c r="I49" s="73">
        <v>6.12</v>
      </c>
      <c r="J49" s="73">
        <v>0.4</v>
      </c>
      <c r="K49" s="73">
        <v>0.1</v>
      </c>
      <c r="L49" s="70">
        <f t="shared" si="12"/>
        <v>0.24480000000000005</v>
      </c>
    </row>
    <row r="50" spans="1:16" s="70" customFormat="1">
      <c r="A50" s="71" t="s">
        <v>114</v>
      </c>
      <c r="B50" s="72" t="s">
        <v>91</v>
      </c>
      <c r="C50" s="89" t="s">
        <v>14</v>
      </c>
      <c r="D50" s="98"/>
      <c r="E50" s="98"/>
      <c r="F50" s="98"/>
      <c r="G50" s="98" t="s">
        <v>22</v>
      </c>
      <c r="H50" s="70">
        <v>1</v>
      </c>
      <c r="I50" s="73">
        <f>1.8+0.15+3.82</f>
        <v>5.77</v>
      </c>
      <c r="J50" s="73">
        <v>0.4</v>
      </c>
      <c r="K50" s="73">
        <v>0.1</v>
      </c>
      <c r="L50" s="70">
        <f t="shared" si="12"/>
        <v>0.23080000000000003</v>
      </c>
    </row>
    <row r="51" spans="1:16" s="70" customFormat="1">
      <c r="A51" s="71" t="s">
        <v>114</v>
      </c>
      <c r="B51" s="72" t="s">
        <v>82</v>
      </c>
      <c r="C51" s="89" t="s">
        <v>14</v>
      </c>
      <c r="D51" s="98"/>
      <c r="E51" s="98"/>
      <c r="F51" s="98"/>
      <c r="G51" s="98" t="s">
        <v>22</v>
      </c>
      <c r="H51" s="70">
        <v>1</v>
      </c>
      <c r="I51" s="73">
        <v>5.77</v>
      </c>
      <c r="J51" s="73">
        <v>0.4</v>
      </c>
      <c r="K51" s="73">
        <v>0.1</v>
      </c>
      <c r="L51" s="70">
        <f t="shared" si="12"/>
        <v>0.23080000000000003</v>
      </c>
    </row>
    <row r="52" spans="1:16" s="70" customFormat="1">
      <c r="A52" s="71" t="s">
        <v>115</v>
      </c>
      <c r="B52" s="72" t="s">
        <v>83</v>
      </c>
      <c r="C52" s="89" t="s">
        <v>116</v>
      </c>
      <c r="D52" s="98"/>
      <c r="E52" s="98"/>
      <c r="F52" s="98"/>
      <c r="G52" s="98" t="s">
        <v>22</v>
      </c>
      <c r="H52" s="70">
        <v>1</v>
      </c>
      <c r="I52" s="73">
        <f>3.82+0.15</f>
        <v>3.9699999999999998</v>
      </c>
      <c r="J52" s="73">
        <v>0.4</v>
      </c>
      <c r="K52" s="73">
        <v>0.1</v>
      </c>
      <c r="L52" s="70">
        <f t="shared" si="12"/>
        <v>0.15880000000000002</v>
      </c>
    </row>
    <row r="53" spans="1:16" s="70" customFormat="1">
      <c r="A53" s="71" t="s">
        <v>115</v>
      </c>
      <c r="B53" s="72" t="s">
        <v>87</v>
      </c>
      <c r="C53" s="89" t="s">
        <v>116</v>
      </c>
      <c r="D53" s="98"/>
      <c r="E53" s="98"/>
      <c r="F53" s="98"/>
      <c r="G53" s="98" t="s">
        <v>22</v>
      </c>
      <c r="H53" s="70">
        <v>1</v>
      </c>
      <c r="I53" s="73">
        <f>0.15+3.82</f>
        <v>3.9699999999999998</v>
      </c>
      <c r="J53" s="73">
        <v>0.4</v>
      </c>
      <c r="K53" s="73">
        <v>0.1</v>
      </c>
      <c r="L53" s="70">
        <f t="shared" si="12"/>
        <v>0.15880000000000002</v>
      </c>
    </row>
    <row r="54" spans="1:16" s="70" customFormat="1">
      <c r="A54" s="71" t="s">
        <v>115</v>
      </c>
      <c r="B54" s="72" t="s">
        <v>112</v>
      </c>
      <c r="C54" s="89" t="s">
        <v>116</v>
      </c>
      <c r="D54" s="98"/>
      <c r="E54" s="98"/>
      <c r="F54" s="98"/>
      <c r="G54" s="98" t="s">
        <v>22</v>
      </c>
      <c r="H54" s="70">
        <v>1</v>
      </c>
      <c r="I54" s="73">
        <f>0.15+3.82</f>
        <v>3.9699999999999998</v>
      </c>
      <c r="J54" s="73">
        <v>0.4</v>
      </c>
      <c r="K54" s="73">
        <v>0.1</v>
      </c>
      <c r="L54" s="70">
        <f t="shared" si="12"/>
        <v>0.15880000000000002</v>
      </c>
    </row>
    <row r="55" spans="1:16" s="70" customFormat="1" ht="16.2" customHeight="1">
      <c r="A55" s="137" t="s">
        <v>41</v>
      </c>
      <c r="B55" s="137"/>
      <c r="C55" s="137"/>
      <c r="D55" s="137"/>
      <c r="E55" s="137"/>
      <c r="F55" s="137"/>
      <c r="G55" s="137"/>
      <c r="H55" s="137"/>
      <c r="I55" s="137"/>
      <c r="J55" s="137"/>
      <c r="K55" s="137"/>
      <c r="L55" s="137"/>
      <c r="M55" s="60">
        <f>SUM(L36:L54)</f>
        <v>3.3451999999999997</v>
      </c>
      <c r="N55" s="73"/>
      <c r="P55" s="98"/>
    </row>
    <row r="56" spans="1:16" s="70" customFormat="1">
      <c r="A56" s="138" t="s">
        <v>97</v>
      </c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</row>
    <row r="57" spans="1:16" s="70" customFormat="1">
      <c r="A57" s="2" t="s">
        <v>2</v>
      </c>
      <c r="B57" s="2" t="s">
        <v>3</v>
      </c>
      <c r="C57" s="2" t="s">
        <v>12</v>
      </c>
      <c r="D57" s="63"/>
      <c r="E57" s="73"/>
      <c r="F57" s="73"/>
      <c r="G57" s="98"/>
    </row>
    <row r="58" spans="1:16" s="70" customFormat="1">
      <c r="A58" s="72" t="s">
        <v>4</v>
      </c>
      <c r="B58" s="72" t="s">
        <v>71</v>
      </c>
      <c r="C58" s="73" t="s">
        <v>84</v>
      </c>
      <c r="D58" s="98"/>
      <c r="E58" s="98"/>
      <c r="F58" s="98"/>
      <c r="G58" s="98" t="s">
        <v>22</v>
      </c>
      <c r="H58" s="70">
        <v>1</v>
      </c>
      <c r="I58" s="73">
        <v>2.48</v>
      </c>
      <c r="J58" s="73">
        <v>0.5</v>
      </c>
      <c r="K58" s="73">
        <v>0.1</v>
      </c>
      <c r="L58" s="70">
        <f t="shared" ref="L58:L63" si="13">K58*J58*I58*H58</f>
        <v>0.124</v>
      </c>
    </row>
    <row r="59" spans="1:16" s="70" customFormat="1">
      <c r="A59" s="72" t="s">
        <v>4</v>
      </c>
      <c r="B59" s="72" t="s">
        <v>117</v>
      </c>
      <c r="C59" s="73" t="s">
        <v>84</v>
      </c>
      <c r="D59" s="98"/>
      <c r="E59" s="98"/>
      <c r="F59" s="98"/>
      <c r="G59" s="98" t="s">
        <v>22</v>
      </c>
      <c r="H59" s="70">
        <v>1</v>
      </c>
      <c r="I59" s="73">
        <v>7.25</v>
      </c>
      <c r="J59" s="73">
        <v>0.5</v>
      </c>
      <c r="K59" s="73">
        <v>0.1</v>
      </c>
      <c r="L59" s="70">
        <f t="shared" si="13"/>
        <v>0.36250000000000004</v>
      </c>
    </row>
    <row r="60" spans="1:16" s="70" customFormat="1">
      <c r="A60" s="72" t="s">
        <v>4</v>
      </c>
      <c r="B60" s="72" t="s">
        <v>69</v>
      </c>
      <c r="C60" s="73" t="s">
        <v>84</v>
      </c>
      <c r="D60" s="98"/>
      <c r="E60" s="98"/>
      <c r="F60" s="98"/>
      <c r="G60" s="98" t="s">
        <v>22</v>
      </c>
      <c r="H60" s="70">
        <v>1</v>
      </c>
      <c r="I60" s="73">
        <v>2.38</v>
      </c>
      <c r="J60" s="73">
        <v>0.5</v>
      </c>
      <c r="K60" s="73">
        <v>0.1</v>
      </c>
      <c r="L60" s="70">
        <f t="shared" si="13"/>
        <v>0.11899999999999999</v>
      </c>
    </row>
    <row r="61" spans="1:16" s="70" customFormat="1">
      <c r="A61" s="72" t="s">
        <v>4</v>
      </c>
      <c r="B61" s="72" t="s">
        <v>70</v>
      </c>
      <c r="C61" s="73" t="s">
        <v>84</v>
      </c>
      <c r="D61" s="98"/>
      <c r="E61" s="98"/>
      <c r="F61" s="98"/>
      <c r="G61" s="98" t="s">
        <v>22</v>
      </c>
      <c r="H61" s="70">
        <v>1</v>
      </c>
      <c r="I61" s="73">
        <v>4.78</v>
      </c>
      <c r="J61" s="73">
        <v>0.5</v>
      </c>
      <c r="K61" s="73">
        <v>0.1</v>
      </c>
      <c r="L61" s="70">
        <f t="shared" si="13"/>
        <v>0.23900000000000002</v>
      </c>
    </row>
    <row r="62" spans="1:16" s="70" customFormat="1">
      <c r="A62" s="72" t="s">
        <v>4</v>
      </c>
      <c r="B62" s="72" t="s">
        <v>110</v>
      </c>
      <c r="C62" s="73" t="s">
        <v>84</v>
      </c>
      <c r="D62" s="98"/>
      <c r="E62" s="98"/>
      <c r="F62" s="98"/>
      <c r="G62" s="98" t="s">
        <v>22</v>
      </c>
      <c r="H62" s="70">
        <v>1</v>
      </c>
      <c r="I62" s="73">
        <v>2.65</v>
      </c>
      <c r="J62" s="73">
        <v>0.5</v>
      </c>
      <c r="K62" s="73">
        <v>0.1</v>
      </c>
      <c r="L62" s="70">
        <f t="shared" si="13"/>
        <v>0.13250000000000001</v>
      </c>
    </row>
    <row r="63" spans="1:16" s="70" customFormat="1">
      <c r="A63" s="72" t="s">
        <v>4</v>
      </c>
      <c r="B63" s="72" t="s">
        <v>111</v>
      </c>
      <c r="C63" s="73" t="s">
        <v>84</v>
      </c>
      <c r="D63" s="98"/>
      <c r="E63" s="98"/>
      <c r="F63" s="98"/>
      <c r="G63" s="98" t="s">
        <v>22</v>
      </c>
      <c r="H63" s="70">
        <v>1</v>
      </c>
      <c r="I63" s="73">
        <v>4.5999999999999996</v>
      </c>
      <c r="J63" s="73">
        <v>0.5</v>
      </c>
      <c r="K63" s="73">
        <v>0.1</v>
      </c>
      <c r="L63" s="70">
        <f t="shared" si="13"/>
        <v>0.22999999999999998</v>
      </c>
    </row>
    <row r="64" spans="1:16" s="70" customFormat="1">
      <c r="A64" s="72" t="s">
        <v>11</v>
      </c>
      <c r="B64" s="72" t="s">
        <v>71</v>
      </c>
      <c r="C64" s="73" t="s">
        <v>84</v>
      </c>
      <c r="D64" s="98"/>
      <c r="E64" s="98"/>
      <c r="F64" s="98"/>
      <c r="G64" s="98" t="s">
        <v>22</v>
      </c>
      <c r="H64" s="70">
        <v>1</v>
      </c>
      <c r="I64" s="73">
        <v>2.48</v>
      </c>
      <c r="J64" s="73">
        <v>0.5</v>
      </c>
      <c r="K64" s="73">
        <v>0.1</v>
      </c>
      <c r="L64" s="70">
        <f>K64*J64*I64*H64</f>
        <v>0.124</v>
      </c>
    </row>
    <row r="65" spans="1:18" s="70" customFormat="1">
      <c r="A65" s="89" t="s">
        <v>11</v>
      </c>
      <c r="B65" s="72" t="s">
        <v>117</v>
      </c>
      <c r="C65" s="73" t="s">
        <v>84</v>
      </c>
      <c r="D65" s="98"/>
      <c r="E65" s="98"/>
      <c r="F65" s="98"/>
      <c r="G65" s="98" t="s">
        <v>22</v>
      </c>
      <c r="H65" s="70">
        <v>1</v>
      </c>
      <c r="I65" s="73">
        <v>7.25</v>
      </c>
      <c r="J65" s="73">
        <v>0.5</v>
      </c>
      <c r="K65" s="73">
        <v>0.1</v>
      </c>
      <c r="L65" s="70">
        <f t="shared" ref="L65:L74" si="14">K65*J65*I65*H65</f>
        <v>0.36250000000000004</v>
      </c>
    </row>
    <row r="66" spans="1:18" s="70" customFormat="1">
      <c r="A66" s="89" t="s">
        <v>11</v>
      </c>
      <c r="B66" s="72" t="s">
        <v>69</v>
      </c>
      <c r="C66" s="73" t="s">
        <v>84</v>
      </c>
      <c r="D66" s="98"/>
      <c r="E66" s="98"/>
      <c r="F66" s="98"/>
      <c r="G66" s="98" t="s">
        <v>22</v>
      </c>
      <c r="H66" s="70">
        <v>1</v>
      </c>
      <c r="I66" s="73">
        <v>2.38</v>
      </c>
      <c r="J66" s="73">
        <v>0.5</v>
      </c>
      <c r="K66" s="73">
        <v>0.1</v>
      </c>
      <c r="L66" s="70">
        <f t="shared" si="14"/>
        <v>0.11899999999999999</v>
      </c>
    </row>
    <row r="67" spans="1:18" s="70" customFormat="1">
      <c r="A67" s="89" t="s">
        <v>11</v>
      </c>
      <c r="B67" s="72" t="s">
        <v>70</v>
      </c>
      <c r="C67" s="73" t="s">
        <v>84</v>
      </c>
      <c r="D67" s="98"/>
      <c r="E67" s="98"/>
      <c r="F67" s="98"/>
      <c r="G67" s="98" t="s">
        <v>22</v>
      </c>
      <c r="H67" s="70">
        <v>1</v>
      </c>
      <c r="I67" s="73">
        <v>4.78</v>
      </c>
      <c r="J67" s="73">
        <v>0.5</v>
      </c>
      <c r="K67" s="73">
        <v>0.1</v>
      </c>
      <c r="L67" s="70">
        <f t="shared" si="14"/>
        <v>0.23900000000000002</v>
      </c>
    </row>
    <row r="68" spans="1:18" s="70" customFormat="1">
      <c r="A68" s="89" t="s">
        <v>11</v>
      </c>
      <c r="B68" s="72" t="s">
        <v>110</v>
      </c>
      <c r="C68" s="73" t="s">
        <v>84</v>
      </c>
      <c r="D68" s="98"/>
      <c r="E68" s="98"/>
      <c r="F68" s="98"/>
      <c r="G68" s="98" t="s">
        <v>22</v>
      </c>
      <c r="H68" s="70">
        <v>1</v>
      </c>
      <c r="I68" s="73">
        <v>2.65</v>
      </c>
      <c r="J68" s="73">
        <v>0.5</v>
      </c>
      <c r="K68" s="73">
        <v>0.1</v>
      </c>
      <c r="L68" s="70">
        <f t="shared" si="14"/>
        <v>0.13250000000000001</v>
      </c>
    </row>
    <row r="69" spans="1:18" s="70" customFormat="1">
      <c r="A69" s="89" t="s">
        <v>11</v>
      </c>
      <c r="B69" s="72" t="s">
        <v>111</v>
      </c>
      <c r="C69" s="73" t="s">
        <v>84</v>
      </c>
      <c r="D69" s="98"/>
      <c r="E69" s="98"/>
      <c r="F69" s="98"/>
      <c r="G69" s="98" t="s">
        <v>22</v>
      </c>
      <c r="H69" s="70">
        <v>1</v>
      </c>
      <c r="I69" s="73">
        <v>4.5999999999999996</v>
      </c>
      <c r="J69" s="73">
        <v>0.5</v>
      </c>
      <c r="K69" s="73">
        <v>0.1</v>
      </c>
      <c r="L69" s="70">
        <f t="shared" si="14"/>
        <v>0.22999999999999998</v>
      </c>
    </row>
    <row r="70" spans="1:18" s="70" customFormat="1">
      <c r="A70" s="89" t="s">
        <v>25</v>
      </c>
      <c r="B70" s="72" t="s">
        <v>80</v>
      </c>
      <c r="C70" s="73" t="s">
        <v>84</v>
      </c>
      <c r="D70" s="98"/>
      <c r="E70" s="98"/>
      <c r="F70" s="98"/>
      <c r="G70" s="98" t="s">
        <v>22</v>
      </c>
      <c r="H70" s="70">
        <v>1</v>
      </c>
      <c r="I70" s="73">
        <f>3.82+0.4+0.82</f>
        <v>5.04</v>
      </c>
      <c r="J70" s="73">
        <v>0.5</v>
      </c>
      <c r="K70" s="73">
        <v>0.1</v>
      </c>
      <c r="L70" s="70">
        <f t="shared" si="14"/>
        <v>0.252</v>
      </c>
    </row>
    <row r="71" spans="1:18" s="70" customFormat="1">
      <c r="A71" s="72" t="s">
        <v>114</v>
      </c>
      <c r="B71" s="72" t="s">
        <v>80</v>
      </c>
      <c r="C71" s="73" t="s">
        <v>84</v>
      </c>
      <c r="D71" s="98"/>
      <c r="E71" s="98"/>
      <c r="F71" s="98"/>
      <c r="G71" s="98" t="s">
        <v>22</v>
      </c>
      <c r="H71" s="70">
        <v>1</v>
      </c>
      <c r="I71" s="73">
        <f>1.08+0.15+3.82</f>
        <v>5.05</v>
      </c>
      <c r="J71" s="73">
        <v>0.5</v>
      </c>
      <c r="K71" s="73">
        <v>0.1</v>
      </c>
      <c r="L71" s="70">
        <f t="shared" si="14"/>
        <v>0.2525</v>
      </c>
    </row>
    <row r="72" spans="1:18" s="70" customFormat="1">
      <c r="A72" s="72" t="s">
        <v>85</v>
      </c>
      <c r="B72" s="72" t="s">
        <v>118</v>
      </c>
      <c r="C72" s="73" t="s">
        <v>84</v>
      </c>
      <c r="D72" s="98"/>
      <c r="E72" s="98"/>
      <c r="F72" s="98"/>
      <c r="G72" s="98" t="s">
        <v>22</v>
      </c>
      <c r="H72" s="70">
        <v>1</v>
      </c>
      <c r="I72" s="73">
        <f>3.82+0.4</f>
        <v>4.22</v>
      </c>
      <c r="J72" s="73">
        <v>0.5</v>
      </c>
      <c r="K72" s="73">
        <v>0.1</v>
      </c>
      <c r="L72" s="70">
        <f t="shared" si="14"/>
        <v>0.21099999999999999</v>
      </c>
    </row>
    <row r="73" spans="1:18" s="70" customFormat="1">
      <c r="A73" s="89" t="s">
        <v>119</v>
      </c>
      <c r="B73" s="72" t="s">
        <v>118</v>
      </c>
      <c r="C73" s="73" t="s">
        <v>84</v>
      </c>
      <c r="D73" s="98"/>
      <c r="E73" s="98"/>
      <c r="F73" s="98"/>
      <c r="G73" s="98" t="s">
        <v>22</v>
      </c>
      <c r="H73" s="70">
        <v>1</v>
      </c>
      <c r="I73" s="73">
        <f>0.82+1.08</f>
        <v>1.9</v>
      </c>
      <c r="J73" s="73">
        <v>0.5</v>
      </c>
      <c r="K73" s="73">
        <v>0.1</v>
      </c>
      <c r="L73" s="70">
        <f t="shared" si="14"/>
        <v>9.5000000000000001E-2</v>
      </c>
    </row>
    <row r="74" spans="1:18" s="70" customFormat="1">
      <c r="A74" s="89" t="s">
        <v>115</v>
      </c>
      <c r="B74" s="72" t="s">
        <v>118</v>
      </c>
      <c r="C74" s="73" t="s">
        <v>84</v>
      </c>
      <c r="D74" s="98"/>
      <c r="E74" s="98"/>
      <c r="F74" s="98"/>
      <c r="G74" s="98" t="s">
        <v>22</v>
      </c>
      <c r="H74" s="70">
        <v>1</v>
      </c>
      <c r="I74" s="73">
        <f>0.15+3.82</f>
        <v>3.9699999999999998</v>
      </c>
      <c r="J74" s="73">
        <v>0.5</v>
      </c>
      <c r="K74" s="73">
        <v>0.1</v>
      </c>
      <c r="L74" s="70">
        <f t="shared" si="14"/>
        <v>0.19850000000000001</v>
      </c>
    </row>
    <row r="75" spans="1:18" s="70" customFormat="1" ht="16.2" customHeight="1">
      <c r="A75" s="137" t="s">
        <v>41</v>
      </c>
      <c r="B75" s="137"/>
      <c r="C75" s="137"/>
      <c r="D75" s="137"/>
      <c r="E75" s="137"/>
      <c r="F75" s="137"/>
      <c r="G75" s="137"/>
      <c r="H75" s="137"/>
      <c r="I75" s="137"/>
      <c r="J75" s="137"/>
      <c r="K75" s="137"/>
      <c r="L75" s="137"/>
      <c r="M75" s="60">
        <f>SUM(L58:L74)</f>
        <v>3.4229999999999996</v>
      </c>
      <c r="P75" s="98"/>
    </row>
    <row r="76" spans="1:18" ht="35.25" customHeight="1">
      <c r="A76" s="19">
        <v>16</v>
      </c>
      <c r="B76" s="153" t="s">
        <v>45</v>
      </c>
      <c r="C76" s="153"/>
      <c r="D76" s="153"/>
      <c r="E76" s="153"/>
      <c r="F76" s="153"/>
      <c r="G76" s="153"/>
      <c r="H76" s="153"/>
      <c r="I76" s="153"/>
      <c r="J76" s="153"/>
      <c r="K76" s="153"/>
      <c r="L76" s="153"/>
      <c r="M76" s="153"/>
    </row>
    <row r="77" spans="1:18" ht="13.8" customHeight="1">
      <c r="A77" s="19"/>
      <c r="B77" s="2" t="s">
        <v>2</v>
      </c>
      <c r="C77" s="2" t="s">
        <v>3</v>
      </c>
      <c r="D77" s="132"/>
      <c r="E77" s="132"/>
      <c r="F77" s="132"/>
      <c r="G77" s="132"/>
      <c r="H77" s="58"/>
      <c r="I77" s="59"/>
      <c r="J77" s="59"/>
      <c r="K77" s="59"/>
      <c r="L77" s="59"/>
      <c r="M77" s="59"/>
    </row>
    <row r="78" spans="1:18" s="49" customFormat="1">
      <c r="A78" s="83" t="s">
        <v>109</v>
      </c>
      <c r="B78" s="66" t="s">
        <v>4</v>
      </c>
      <c r="C78" s="66">
        <v>8</v>
      </c>
      <c r="F78" s="68"/>
      <c r="G78" s="67" t="s">
        <v>22</v>
      </c>
      <c r="H78" s="70">
        <v>1</v>
      </c>
      <c r="I78" s="49">
        <v>1.2</v>
      </c>
      <c r="J78" s="49">
        <v>1.2</v>
      </c>
      <c r="K78" s="49">
        <v>0.5</v>
      </c>
      <c r="L78" s="87">
        <f t="shared" ref="L78:L99" si="15">K78*J78*I78*H78</f>
        <v>0.72</v>
      </c>
      <c r="R78" s="68"/>
    </row>
    <row r="79" spans="1:18" s="49" customFormat="1">
      <c r="A79" s="83" t="s">
        <v>108</v>
      </c>
      <c r="B79" s="66" t="s">
        <v>6</v>
      </c>
      <c r="C79" s="66">
        <v>5</v>
      </c>
      <c r="D79" s="87"/>
      <c r="E79" s="87"/>
      <c r="F79" s="68"/>
      <c r="G79" s="67" t="s">
        <v>22</v>
      </c>
      <c r="H79" s="70">
        <v>1</v>
      </c>
      <c r="I79" s="87">
        <v>1.5</v>
      </c>
      <c r="J79" s="87">
        <v>1.5</v>
      </c>
      <c r="K79" s="49">
        <v>0.5</v>
      </c>
      <c r="L79" s="87">
        <f t="shared" si="15"/>
        <v>1.125</v>
      </c>
      <c r="R79" s="73"/>
    </row>
    <row r="80" spans="1:18">
      <c r="A80" s="88" t="s">
        <v>107</v>
      </c>
      <c r="B80" s="89" t="s">
        <v>7</v>
      </c>
      <c r="C80" s="89">
        <v>6</v>
      </c>
      <c r="D80" s="90"/>
      <c r="E80" s="90"/>
      <c r="F80" s="73"/>
      <c r="G80" s="98" t="s">
        <v>22</v>
      </c>
      <c r="H80" s="70">
        <v>1</v>
      </c>
      <c r="I80" s="90">
        <v>1.5</v>
      </c>
      <c r="J80" s="90">
        <v>1.5</v>
      </c>
      <c r="K80" s="70">
        <v>0.5</v>
      </c>
      <c r="L80" s="87">
        <f t="shared" si="15"/>
        <v>1.125</v>
      </c>
      <c r="M80" s="55"/>
      <c r="R80" s="73"/>
    </row>
    <row r="81" spans="1:18">
      <c r="A81" s="88" t="s">
        <v>107</v>
      </c>
      <c r="B81" s="89" t="s">
        <v>7</v>
      </c>
      <c r="C81" s="89">
        <v>7</v>
      </c>
      <c r="D81" s="90"/>
      <c r="E81" s="90"/>
      <c r="F81" s="73"/>
      <c r="G81" s="98" t="s">
        <v>22</v>
      </c>
      <c r="H81" s="70">
        <v>1</v>
      </c>
      <c r="I81" s="90">
        <v>1.5</v>
      </c>
      <c r="J81" s="90">
        <v>1.5</v>
      </c>
      <c r="K81" s="70">
        <v>0.5</v>
      </c>
      <c r="L81" s="87">
        <f t="shared" si="15"/>
        <v>1.125</v>
      </c>
      <c r="M81" s="55"/>
      <c r="R81" s="73"/>
    </row>
    <row r="82" spans="1:18">
      <c r="A82" s="88" t="s">
        <v>109</v>
      </c>
      <c r="B82" s="89" t="s">
        <v>7</v>
      </c>
      <c r="C82" s="89">
        <v>8</v>
      </c>
      <c r="D82" s="90"/>
      <c r="E82" s="90"/>
      <c r="F82" s="73"/>
      <c r="G82" s="98" t="s">
        <v>22</v>
      </c>
      <c r="H82" s="70">
        <v>1</v>
      </c>
      <c r="I82" s="90">
        <v>1.2</v>
      </c>
      <c r="J82" s="90">
        <v>1.2</v>
      </c>
      <c r="K82" s="70">
        <v>0.5</v>
      </c>
      <c r="L82" s="87">
        <f t="shared" si="15"/>
        <v>0.72</v>
      </c>
      <c r="M82" s="55"/>
      <c r="R82" s="73"/>
    </row>
    <row r="83" spans="1:18">
      <c r="A83" s="88" t="s">
        <v>108</v>
      </c>
      <c r="B83" s="89" t="s">
        <v>9</v>
      </c>
      <c r="C83" s="89">
        <v>5</v>
      </c>
      <c r="D83" s="90"/>
      <c r="E83" s="90"/>
      <c r="F83" s="73"/>
      <c r="G83" s="98" t="s">
        <v>22</v>
      </c>
      <c r="H83" s="70">
        <v>1</v>
      </c>
      <c r="I83" s="90">
        <v>1.5</v>
      </c>
      <c r="J83" s="90">
        <v>1.3</v>
      </c>
      <c r="K83" s="70">
        <v>0.5</v>
      </c>
      <c r="L83" s="87">
        <f t="shared" si="15"/>
        <v>0.97500000000000009</v>
      </c>
      <c r="M83" s="55"/>
      <c r="R83" s="73"/>
    </row>
    <row r="84" spans="1:18">
      <c r="A84" s="88" t="s">
        <v>107</v>
      </c>
      <c r="B84" s="89" t="s">
        <v>9</v>
      </c>
      <c r="C84" s="89">
        <v>6</v>
      </c>
      <c r="D84" s="90"/>
      <c r="E84" s="90"/>
      <c r="F84" s="73"/>
      <c r="G84" s="98" t="s">
        <v>22</v>
      </c>
      <c r="H84" s="70">
        <v>1</v>
      </c>
      <c r="I84" s="90">
        <v>1.5</v>
      </c>
      <c r="J84" s="90">
        <v>1.5</v>
      </c>
      <c r="K84" s="70">
        <v>0.5</v>
      </c>
      <c r="L84" s="87">
        <f t="shared" si="15"/>
        <v>1.125</v>
      </c>
      <c r="M84" s="55"/>
      <c r="R84" s="73"/>
    </row>
    <row r="85" spans="1:18">
      <c r="A85" s="88" t="s">
        <v>107</v>
      </c>
      <c r="B85" s="89" t="s">
        <v>9</v>
      </c>
      <c r="C85" s="89">
        <v>7</v>
      </c>
      <c r="D85" s="90"/>
      <c r="E85" s="90"/>
      <c r="F85" s="73"/>
      <c r="G85" s="98" t="s">
        <v>22</v>
      </c>
      <c r="H85" s="70">
        <v>1</v>
      </c>
      <c r="I85" s="90">
        <v>1.5</v>
      </c>
      <c r="J85" s="90">
        <v>1.5</v>
      </c>
      <c r="K85" s="70">
        <v>0.5</v>
      </c>
      <c r="L85" s="87">
        <f t="shared" si="15"/>
        <v>1.125</v>
      </c>
      <c r="M85" s="55"/>
      <c r="R85" s="73"/>
    </row>
    <row r="86" spans="1:18">
      <c r="A86" s="88" t="s">
        <v>109</v>
      </c>
      <c r="B86" s="89" t="s">
        <v>9</v>
      </c>
      <c r="C86" s="89">
        <v>8</v>
      </c>
      <c r="D86" s="90"/>
      <c r="E86" s="90"/>
      <c r="F86" s="73"/>
      <c r="G86" s="98" t="s">
        <v>22</v>
      </c>
      <c r="H86" s="70">
        <v>1</v>
      </c>
      <c r="I86" s="90">
        <v>1.2</v>
      </c>
      <c r="J86" s="90">
        <v>1.2</v>
      </c>
      <c r="K86" s="70">
        <v>0.5</v>
      </c>
      <c r="L86" s="87">
        <f t="shared" si="15"/>
        <v>0.72</v>
      </c>
      <c r="M86" s="55"/>
      <c r="R86" s="73"/>
    </row>
    <row r="87" spans="1:18">
      <c r="A87" s="88" t="s">
        <v>20</v>
      </c>
      <c r="B87" s="89" t="s">
        <v>11</v>
      </c>
      <c r="C87" s="89">
        <v>1</v>
      </c>
      <c r="D87" s="70"/>
      <c r="E87" s="70"/>
      <c r="F87" s="73"/>
      <c r="G87" s="98" t="s">
        <v>22</v>
      </c>
      <c r="H87" s="70">
        <v>1</v>
      </c>
      <c r="I87" s="70">
        <v>1</v>
      </c>
      <c r="J87" s="70">
        <v>1</v>
      </c>
      <c r="K87" s="70">
        <v>0.5</v>
      </c>
      <c r="L87" s="87">
        <f t="shared" si="15"/>
        <v>0.5</v>
      </c>
      <c r="M87" s="55"/>
      <c r="R87" s="73"/>
    </row>
    <row r="88" spans="1:18">
      <c r="A88" s="88" t="s">
        <v>107</v>
      </c>
      <c r="B88" s="89" t="s">
        <v>11</v>
      </c>
      <c r="C88" s="89">
        <v>2</v>
      </c>
      <c r="D88" s="70"/>
      <c r="E88" s="70"/>
      <c r="F88" s="73"/>
      <c r="G88" s="98" t="s">
        <v>22</v>
      </c>
      <c r="H88" s="70">
        <v>1</v>
      </c>
      <c r="I88" s="70">
        <v>1.5</v>
      </c>
      <c r="J88" s="70">
        <v>1.5</v>
      </c>
      <c r="K88" s="70">
        <v>0.5</v>
      </c>
      <c r="L88" s="87">
        <f t="shared" si="15"/>
        <v>1.125</v>
      </c>
      <c r="M88" s="55"/>
      <c r="R88" s="73"/>
    </row>
    <row r="89" spans="1:18">
      <c r="A89" s="88" t="s">
        <v>107</v>
      </c>
      <c r="B89" s="89" t="s">
        <v>11</v>
      </c>
      <c r="C89" s="89">
        <v>3</v>
      </c>
      <c r="D89" s="70"/>
      <c r="E89" s="70"/>
      <c r="F89" s="73"/>
      <c r="G89" s="98" t="s">
        <v>22</v>
      </c>
      <c r="H89" s="70">
        <v>1</v>
      </c>
      <c r="I89" s="70">
        <v>1.5</v>
      </c>
      <c r="J89" s="70">
        <v>1.5</v>
      </c>
      <c r="K89" s="70">
        <v>0.5</v>
      </c>
      <c r="L89" s="87">
        <f t="shared" si="15"/>
        <v>1.125</v>
      </c>
      <c r="M89" s="55"/>
      <c r="R89" s="73"/>
    </row>
    <row r="90" spans="1:18">
      <c r="A90" s="88" t="s">
        <v>108</v>
      </c>
      <c r="B90" s="89" t="s">
        <v>11</v>
      </c>
      <c r="C90" s="89">
        <v>5</v>
      </c>
      <c r="D90" s="70"/>
      <c r="E90" s="70"/>
      <c r="F90" s="73"/>
      <c r="G90" s="98" t="s">
        <v>22</v>
      </c>
      <c r="H90" s="70">
        <v>1</v>
      </c>
      <c r="I90" s="70">
        <v>1.5</v>
      </c>
      <c r="J90" s="70">
        <v>1.5</v>
      </c>
      <c r="K90" s="70">
        <v>0.5</v>
      </c>
      <c r="L90" s="87">
        <f t="shared" si="15"/>
        <v>1.125</v>
      </c>
      <c r="M90" s="55"/>
      <c r="R90" s="73"/>
    </row>
    <row r="91" spans="1:18">
      <c r="A91" s="88" t="s">
        <v>109</v>
      </c>
      <c r="B91" s="89" t="s">
        <v>11</v>
      </c>
      <c r="C91" s="89">
        <v>6</v>
      </c>
      <c r="D91" s="70"/>
      <c r="E91" s="70"/>
      <c r="F91" s="73"/>
      <c r="G91" s="98" t="s">
        <v>22</v>
      </c>
      <c r="H91" s="70">
        <v>1</v>
      </c>
      <c r="I91" s="70">
        <v>1.2</v>
      </c>
      <c r="J91" s="70">
        <v>1.2</v>
      </c>
      <c r="K91" s="70">
        <v>0.5</v>
      </c>
      <c r="L91" s="87">
        <f t="shared" si="15"/>
        <v>0.72</v>
      </c>
      <c r="M91" s="55"/>
      <c r="R91" s="73"/>
    </row>
    <row r="92" spans="1:18" s="49" customFormat="1">
      <c r="A92" s="88" t="s">
        <v>109</v>
      </c>
      <c r="B92" s="89" t="s">
        <v>11</v>
      </c>
      <c r="C92" s="89">
        <v>7</v>
      </c>
      <c r="D92" s="70"/>
      <c r="E92" s="70"/>
      <c r="F92" s="73"/>
      <c r="G92" s="98" t="s">
        <v>22</v>
      </c>
      <c r="H92" s="70">
        <v>1</v>
      </c>
      <c r="I92" s="70">
        <v>1.2</v>
      </c>
      <c r="J92" s="70">
        <v>1.2</v>
      </c>
      <c r="K92" s="70">
        <v>0.5</v>
      </c>
      <c r="L92" s="87">
        <f t="shared" si="15"/>
        <v>0.72</v>
      </c>
      <c r="M92" s="49" t="s">
        <v>95</v>
      </c>
      <c r="R92" s="73"/>
    </row>
    <row r="93" spans="1:18" s="49" customFormat="1">
      <c r="A93" s="88" t="s">
        <v>109</v>
      </c>
      <c r="B93" s="89" t="s">
        <v>11</v>
      </c>
      <c r="C93" s="89">
        <v>8</v>
      </c>
      <c r="D93" s="70"/>
      <c r="E93" s="70"/>
      <c r="F93" s="73"/>
      <c r="G93" s="98" t="s">
        <v>22</v>
      </c>
      <c r="H93" s="70">
        <v>1</v>
      </c>
      <c r="I93" s="70">
        <v>1.2</v>
      </c>
      <c r="J93" s="70">
        <v>1.2</v>
      </c>
      <c r="K93" s="70">
        <v>0.5</v>
      </c>
      <c r="L93" s="87">
        <f t="shared" si="15"/>
        <v>0.72</v>
      </c>
      <c r="M93" s="49" t="s">
        <v>95</v>
      </c>
    </row>
    <row r="94" spans="1:18" s="49" customFormat="1">
      <c r="A94" s="88" t="s">
        <v>151</v>
      </c>
      <c r="B94" s="89"/>
      <c r="C94" s="89"/>
      <c r="D94" s="70"/>
      <c r="E94" s="70"/>
      <c r="F94" s="73"/>
      <c r="G94" s="98" t="s">
        <v>22</v>
      </c>
      <c r="H94" s="70">
        <v>1</v>
      </c>
      <c r="I94" s="70">
        <v>1.6</v>
      </c>
      <c r="J94" s="70">
        <v>1.6</v>
      </c>
      <c r="K94" s="70">
        <v>1.4</v>
      </c>
      <c r="L94" s="87">
        <f t="shared" si="15"/>
        <v>3.5839999999999996</v>
      </c>
    </row>
    <row r="95" spans="1:18" s="49" customFormat="1">
      <c r="A95" s="88" t="s">
        <v>151</v>
      </c>
      <c r="B95" s="89"/>
      <c r="C95" s="89"/>
      <c r="D95" s="70"/>
      <c r="E95" s="70"/>
      <c r="F95" s="73"/>
      <c r="G95" s="98" t="s">
        <v>22</v>
      </c>
      <c r="H95" s="70">
        <v>1</v>
      </c>
      <c r="I95" s="70">
        <v>1.6</v>
      </c>
      <c r="J95" s="70">
        <v>1.6</v>
      </c>
      <c r="K95" s="70">
        <v>1.4</v>
      </c>
      <c r="L95" s="87">
        <f t="shared" si="15"/>
        <v>3.5839999999999996</v>
      </c>
    </row>
    <row r="96" spans="1:18" s="87" customFormat="1">
      <c r="B96" s="66" t="s">
        <v>11</v>
      </c>
      <c r="C96" s="69" t="s">
        <v>69</v>
      </c>
      <c r="E96" s="122"/>
      <c r="F96" s="122"/>
      <c r="G96" s="124" t="s">
        <v>22</v>
      </c>
      <c r="H96" s="87">
        <v>1</v>
      </c>
      <c r="I96" s="123">
        <v>2.38</v>
      </c>
      <c r="J96" s="123">
        <v>0.4</v>
      </c>
      <c r="K96" s="123">
        <v>0.3</v>
      </c>
      <c r="L96" s="87">
        <f t="shared" si="15"/>
        <v>0.28559999999999997</v>
      </c>
    </row>
    <row r="97" spans="1:13" s="87" customFormat="1">
      <c r="B97" s="66" t="s">
        <v>11</v>
      </c>
      <c r="C97" s="69" t="s">
        <v>70</v>
      </c>
      <c r="E97" s="122"/>
      <c r="F97" s="122"/>
      <c r="G97" s="124" t="s">
        <v>22</v>
      </c>
      <c r="H97" s="87">
        <v>1</v>
      </c>
      <c r="I97" s="123">
        <v>4.78</v>
      </c>
      <c r="J97" s="123">
        <v>0.4</v>
      </c>
      <c r="K97" s="123">
        <v>0.3</v>
      </c>
      <c r="L97" s="87">
        <f t="shared" si="15"/>
        <v>0.5736</v>
      </c>
    </row>
    <row r="98" spans="1:13" s="87" customFormat="1">
      <c r="B98" s="66" t="s">
        <v>11</v>
      </c>
      <c r="C98" s="69" t="s">
        <v>110</v>
      </c>
      <c r="E98" s="122"/>
      <c r="F98" s="122"/>
      <c r="G98" s="124" t="s">
        <v>22</v>
      </c>
      <c r="H98" s="87">
        <v>1</v>
      </c>
      <c r="I98" s="123">
        <v>2.65</v>
      </c>
      <c r="J98" s="123">
        <v>0.4</v>
      </c>
      <c r="K98" s="123">
        <v>0.3</v>
      </c>
      <c r="L98" s="87">
        <f t="shared" si="15"/>
        <v>0.318</v>
      </c>
    </row>
    <row r="99" spans="1:13" s="87" customFormat="1">
      <c r="B99" s="66" t="s">
        <v>11</v>
      </c>
      <c r="C99" s="69" t="s">
        <v>111</v>
      </c>
      <c r="E99" s="122"/>
      <c r="F99" s="122"/>
      <c r="G99" s="124" t="s">
        <v>22</v>
      </c>
      <c r="H99" s="87">
        <v>1</v>
      </c>
      <c r="I99" s="123">
        <v>4.5999999999999996</v>
      </c>
      <c r="J99" s="123">
        <v>0.4</v>
      </c>
      <c r="K99" s="123">
        <v>0.3</v>
      </c>
      <c r="L99" s="87">
        <f t="shared" si="15"/>
        <v>0.55199999999999994</v>
      </c>
    </row>
    <row r="100" spans="1:13" ht="13.8" customHeight="1">
      <c r="A100" s="137" t="s">
        <v>41</v>
      </c>
      <c r="B100" s="137"/>
      <c r="C100" s="137"/>
      <c r="D100" s="137"/>
      <c r="E100" s="137"/>
      <c r="F100" s="137"/>
      <c r="G100" s="137"/>
      <c r="H100" s="137"/>
      <c r="I100" s="137"/>
      <c r="J100" s="137"/>
      <c r="K100" s="137"/>
      <c r="L100" s="137"/>
      <c r="M100" s="60">
        <f>SUM(L78:L99)</f>
        <v>23.6922</v>
      </c>
    </row>
    <row r="101" spans="1:13" ht="35.25" customHeight="1">
      <c r="A101" s="19">
        <v>17</v>
      </c>
      <c r="B101" s="153" t="s">
        <v>98</v>
      </c>
      <c r="C101" s="153"/>
      <c r="D101" s="153"/>
      <c r="E101" s="153"/>
      <c r="F101" s="153"/>
      <c r="G101" s="153"/>
      <c r="H101" s="153"/>
      <c r="I101" s="153"/>
      <c r="J101" s="153"/>
      <c r="K101" s="153"/>
      <c r="L101" s="153"/>
      <c r="M101" s="153"/>
    </row>
    <row r="102" spans="1:13" s="49" customFormat="1">
      <c r="B102" s="2" t="s">
        <v>2</v>
      </c>
      <c r="C102" s="2" t="s">
        <v>3</v>
      </c>
      <c r="G102" s="67"/>
      <c r="L102" s="49" t="s">
        <v>95</v>
      </c>
      <c r="M102" s="49" t="s">
        <v>95</v>
      </c>
    </row>
    <row r="103" spans="1:13" s="49" customFormat="1">
      <c r="B103" s="69" t="s">
        <v>4</v>
      </c>
      <c r="C103" s="69" t="s">
        <v>71</v>
      </c>
      <c r="E103" s="67"/>
      <c r="F103" s="67"/>
      <c r="G103" s="67" t="s">
        <v>22</v>
      </c>
      <c r="H103" s="49">
        <v>1</v>
      </c>
      <c r="I103" s="68">
        <v>2.48</v>
      </c>
      <c r="J103" s="68">
        <v>0.4</v>
      </c>
      <c r="K103" s="68">
        <f>$N$13-0.1</f>
        <v>1.38</v>
      </c>
      <c r="L103" s="49">
        <f t="shared" ref="L103:L108" si="16">K103*J103*I103*H103</f>
        <v>1.3689599999999997</v>
      </c>
    </row>
    <row r="104" spans="1:13" s="49" customFormat="1">
      <c r="B104" s="69" t="s">
        <v>4</v>
      </c>
      <c r="C104" s="69" t="s">
        <v>117</v>
      </c>
      <c r="E104" s="67"/>
      <c r="F104" s="67"/>
      <c r="G104" s="67" t="s">
        <v>22</v>
      </c>
      <c r="H104" s="49">
        <v>1</v>
      </c>
      <c r="I104" s="68">
        <v>7.25</v>
      </c>
      <c r="J104" s="68">
        <v>0.4</v>
      </c>
      <c r="K104" s="68">
        <f t="shared" ref="K104:K119" si="17">$N$13-0.1</f>
        <v>1.38</v>
      </c>
      <c r="L104" s="49">
        <f t="shared" si="16"/>
        <v>4.0019999999999998</v>
      </c>
    </row>
    <row r="105" spans="1:13" s="49" customFormat="1">
      <c r="B105" s="69" t="s">
        <v>4</v>
      </c>
      <c r="C105" s="69" t="s">
        <v>69</v>
      </c>
      <c r="E105" s="67"/>
      <c r="F105" s="67"/>
      <c r="G105" s="67" t="s">
        <v>22</v>
      </c>
      <c r="H105" s="49">
        <v>1</v>
      </c>
      <c r="I105" s="68">
        <v>2.38</v>
      </c>
      <c r="J105" s="68">
        <v>0.4</v>
      </c>
      <c r="K105" s="68">
        <f t="shared" si="17"/>
        <v>1.38</v>
      </c>
      <c r="L105" s="49">
        <f t="shared" si="16"/>
        <v>1.3137599999999998</v>
      </c>
    </row>
    <row r="106" spans="1:13" s="49" customFormat="1">
      <c r="B106" s="69" t="s">
        <v>4</v>
      </c>
      <c r="C106" s="69" t="s">
        <v>70</v>
      </c>
      <c r="E106" s="67"/>
      <c r="F106" s="67"/>
      <c r="G106" s="67" t="s">
        <v>22</v>
      </c>
      <c r="H106" s="49">
        <v>1</v>
      </c>
      <c r="I106" s="68">
        <v>4.78</v>
      </c>
      <c r="J106" s="68">
        <v>0.4</v>
      </c>
      <c r="K106" s="68">
        <f t="shared" si="17"/>
        <v>1.38</v>
      </c>
      <c r="L106" s="49">
        <f t="shared" si="16"/>
        <v>2.63856</v>
      </c>
    </row>
    <row r="107" spans="1:13" s="49" customFormat="1">
      <c r="B107" s="69" t="s">
        <v>4</v>
      </c>
      <c r="C107" s="69" t="s">
        <v>110</v>
      </c>
      <c r="E107" s="67"/>
      <c r="F107" s="67"/>
      <c r="G107" s="67" t="s">
        <v>22</v>
      </c>
      <c r="H107" s="49">
        <v>1</v>
      </c>
      <c r="I107" s="68">
        <v>2.65</v>
      </c>
      <c r="J107" s="68">
        <v>0.4</v>
      </c>
      <c r="K107" s="68">
        <f t="shared" si="17"/>
        <v>1.38</v>
      </c>
      <c r="L107" s="49">
        <f t="shared" si="16"/>
        <v>1.4627999999999999</v>
      </c>
    </row>
    <row r="108" spans="1:13" s="49" customFormat="1">
      <c r="B108" s="69" t="s">
        <v>4</v>
      </c>
      <c r="C108" s="69" t="s">
        <v>111</v>
      </c>
      <c r="E108" s="67"/>
      <c r="F108" s="67"/>
      <c r="G108" s="67" t="s">
        <v>22</v>
      </c>
      <c r="H108" s="49">
        <v>1</v>
      </c>
      <c r="I108" s="68">
        <v>4.5999999999999996</v>
      </c>
      <c r="J108" s="68">
        <v>0.4</v>
      </c>
      <c r="K108" s="68">
        <f t="shared" si="17"/>
        <v>1.38</v>
      </c>
      <c r="L108" s="49">
        <f t="shared" si="16"/>
        <v>2.5391999999999997</v>
      </c>
    </row>
    <row r="109" spans="1:13" s="49" customFormat="1">
      <c r="B109" s="69" t="s">
        <v>11</v>
      </c>
      <c r="C109" s="69" t="s">
        <v>71</v>
      </c>
      <c r="E109" s="67"/>
      <c r="F109" s="67"/>
      <c r="G109" s="67" t="s">
        <v>22</v>
      </c>
      <c r="H109" s="49">
        <v>1</v>
      </c>
      <c r="I109" s="68">
        <v>2.48</v>
      </c>
      <c r="J109" s="68">
        <v>0.4</v>
      </c>
      <c r="K109" s="68">
        <f t="shared" si="17"/>
        <v>1.38</v>
      </c>
      <c r="L109" s="49">
        <f>K109*J109*I109*H109</f>
        <v>1.3689599999999997</v>
      </c>
    </row>
    <row r="110" spans="1:13" s="49" customFormat="1">
      <c r="B110" s="66" t="s">
        <v>11</v>
      </c>
      <c r="C110" s="69" t="s">
        <v>117</v>
      </c>
      <c r="E110" s="67"/>
      <c r="F110" s="67"/>
      <c r="G110" s="67" t="s">
        <v>22</v>
      </c>
      <c r="H110" s="49">
        <v>1</v>
      </c>
      <c r="I110" s="68">
        <v>7.25</v>
      </c>
      <c r="J110" s="68">
        <v>0.4</v>
      </c>
      <c r="K110" s="68">
        <f t="shared" si="17"/>
        <v>1.38</v>
      </c>
      <c r="L110" s="49">
        <f t="shared" ref="L110:L119" si="18">K110*J110*I110*H110</f>
        <v>4.0019999999999998</v>
      </c>
    </row>
    <row r="111" spans="1:13" s="49" customFormat="1">
      <c r="B111" s="66" t="s">
        <v>11</v>
      </c>
      <c r="C111" s="69" t="s">
        <v>69</v>
      </c>
      <c r="E111" s="67"/>
      <c r="F111" s="67"/>
      <c r="G111" s="67" t="s">
        <v>22</v>
      </c>
      <c r="H111" s="49">
        <v>1</v>
      </c>
      <c r="I111" s="68">
        <v>2.38</v>
      </c>
      <c r="J111" s="68">
        <v>0.4</v>
      </c>
      <c r="K111" s="68">
        <f t="shared" si="17"/>
        <v>1.38</v>
      </c>
      <c r="L111" s="49">
        <f t="shared" si="18"/>
        <v>1.3137599999999998</v>
      </c>
    </row>
    <row r="112" spans="1:13" s="49" customFormat="1">
      <c r="B112" s="66" t="s">
        <v>11</v>
      </c>
      <c r="C112" s="69" t="s">
        <v>70</v>
      </c>
      <c r="E112" s="67"/>
      <c r="F112" s="67"/>
      <c r="G112" s="67" t="s">
        <v>22</v>
      </c>
      <c r="H112" s="49">
        <v>1</v>
      </c>
      <c r="I112" s="68">
        <v>4.78</v>
      </c>
      <c r="J112" s="68">
        <v>0.4</v>
      </c>
      <c r="K112" s="68">
        <f t="shared" si="17"/>
        <v>1.38</v>
      </c>
      <c r="L112" s="49">
        <f t="shared" si="18"/>
        <v>2.63856</v>
      </c>
    </row>
    <row r="113" spans="1:16" s="49" customFormat="1">
      <c r="B113" s="66" t="s">
        <v>11</v>
      </c>
      <c r="C113" s="69" t="s">
        <v>110</v>
      </c>
      <c r="E113" s="67"/>
      <c r="F113" s="67"/>
      <c r="G113" s="67" t="s">
        <v>22</v>
      </c>
      <c r="H113" s="49">
        <v>1</v>
      </c>
      <c r="I113" s="68">
        <v>2.65</v>
      </c>
      <c r="J113" s="68">
        <v>0.4</v>
      </c>
      <c r="K113" s="68">
        <f t="shared" si="17"/>
        <v>1.38</v>
      </c>
      <c r="L113" s="49">
        <f t="shared" si="18"/>
        <v>1.4627999999999999</v>
      </c>
    </row>
    <row r="114" spans="1:16" s="49" customFormat="1">
      <c r="B114" s="66" t="s">
        <v>11</v>
      </c>
      <c r="C114" s="69" t="s">
        <v>111</v>
      </c>
      <c r="E114" s="67"/>
      <c r="F114" s="67"/>
      <c r="G114" s="67" t="s">
        <v>22</v>
      </c>
      <c r="H114" s="49">
        <v>1</v>
      </c>
      <c r="I114" s="68">
        <v>4.5999999999999996</v>
      </c>
      <c r="J114" s="68">
        <v>0.4</v>
      </c>
      <c r="K114" s="68">
        <f t="shared" si="17"/>
        <v>1.38</v>
      </c>
      <c r="L114" s="49">
        <f t="shared" si="18"/>
        <v>2.5391999999999997</v>
      </c>
    </row>
    <row r="115" spans="1:16" s="49" customFormat="1">
      <c r="B115" s="66" t="s">
        <v>25</v>
      </c>
      <c r="C115" s="69" t="s">
        <v>80</v>
      </c>
      <c r="E115" s="67"/>
      <c r="F115" s="67"/>
      <c r="G115" s="67" t="s">
        <v>22</v>
      </c>
      <c r="H115" s="49">
        <v>1</v>
      </c>
      <c r="I115" s="68">
        <f>3.82+0.4+0.82</f>
        <v>5.04</v>
      </c>
      <c r="J115" s="68">
        <v>0.4</v>
      </c>
      <c r="K115" s="68">
        <f t="shared" si="17"/>
        <v>1.38</v>
      </c>
      <c r="L115" s="49">
        <f t="shared" si="18"/>
        <v>2.7820799999999997</v>
      </c>
    </row>
    <row r="116" spans="1:16" s="49" customFormat="1">
      <c r="B116" s="69" t="s">
        <v>114</v>
      </c>
      <c r="C116" s="69" t="s">
        <v>80</v>
      </c>
      <c r="E116" s="67"/>
      <c r="F116" s="67"/>
      <c r="G116" s="67" t="s">
        <v>22</v>
      </c>
      <c r="H116" s="49">
        <v>1</v>
      </c>
      <c r="I116" s="68">
        <f>1.08+0.15+3.82</f>
        <v>5.05</v>
      </c>
      <c r="J116" s="68">
        <v>0.4</v>
      </c>
      <c r="K116" s="68">
        <f t="shared" si="17"/>
        <v>1.38</v>
      </c>
      <c r="L116" s="49">
        <f t="shared" si="18"/>
        <v>2.7875999999999994</v>
      </c>
    </row>
    <row r="117" spans="1:16" s="49" customFormat="1">
      <c r="B117" s="69" t="s">
        <v>85</v>
      </c>
      <c r="C117" s="69" t="s">
        <v>118</v>
      </c>
      <c r="E117" s="67"/>
      <c r="F117" s="67"/>
      <c r="G117" s="67" t="s">
        <v>22</v>
      </c>
      <c r="H117" s="49">
        <v>1</v>
      </c>
      <c r="I117" s="68">
        <f>3.82+0.4</f>
        <v>4.22</v>
      </c>
      <c r="J117" s="68">
        <v>0.4</v>
      </c>
      <c r="K117" s="68">
        <f t="shared" si="17"/>
        <v>1.38</v>
      </c>
      <c r="L117" s="49">
        <f t="shared" si="18"/>
        <v>2.3294399999999995</v>
      </c>
    </row>
    <row r="118" spans="1:16" s="49" customFormat="1">
      <c r="B118" s="66" t="s">
        <v>119</v>
      </c>
      <c r="C118" s="69" t="s">
        <v>118</v>
      </c>
      <c r="E118" s="67"/>
      <c r="F118" s="67"/>
      <c r="G118" s="67" t="s">
        <v>22</v>
      </c>
      <c r="H118" s="49">
        <v>1</v>
      </c>
      <c r="I118" s="68">
        <f>0.82+1.08</f>
        <v>1.9</v>
      </c>
      <c r="J118" s="68">
        <v>0.4</v>
      </c>
      <c r="K118" s="68">
        <f t="shared" si="17"/>
        <v>1.38</v>
      </c>
      <c r="L118" s="49">
        <f t="shared" si="18"/>
        <v>1.0487999999999997</v>
      </c>
    </row>
    <row r="119" spans="1:16" s="49" customFormat="1">
      <c r="B119" s="66" t="s">
        <v>115</v>
      </c>
      <c r="C119" s="69" t="s">
        <v>118</v>
      </c>
      <c r="E119" s="67"/>
      <c r="F119" s="67"/>
      <c r="G119" s="67" t="s">
        <v>22</v>
      </c>
      <c r="H119" s="49">
        <v>1</v>
      </c>
      <c r="I119" s="68">
        <f>0.15+3.82</f>
        <v>3.9699999999999998</v>
      </c>
      <c r="J119" s="68">
        <v>0.4</v>
      </c>
      <c r="K119" s="68">
        <f t="shared" si="17"/>
        <v>1.38</v>
      </c>
      <c r="L119" s="49">
        <f t="shared" si="18"/>
        <v>2.1914399999999996</v>
      </c>
    </row>
    <row r="120" spans="1:16" ht="15.6" customHeight="1">
      <c r="A120" s="137" t="s">
        <v>41</v>
      </c>
      <c r="B120" s="137"/>
      <c r="C120" s="137"/>
      <c r="D120" s="137"/>
      <c r="E120" s="137"/>
      <c r="F120" s="137"/>
      <c r="G120" s="137"/>
      <c r="H120" s="137"/>
      <c r="I120" s="137"/>
      <c r="J120" s="137"/>
      <c r="K120" s="137"/>
      <c r="L120" s="137"/>
      <c r="M120" s="60">
        <f>SUM(L103:L119)</f>
        <v>37.789919999999995</v>
      </c>
      <c r="P120" s="49"/>
    </row>
    <row r="121" spans="1:16" ht="35.25" customHeight="1">
      <c r="A121" s="19">
        <v>20</v>
      </c>
      <c r="B121" s="153" t="s">
        <v>100</v>
      </c>
      <c r="C121" s="153"/>
      <c r="D121" s="153"/>
      <c r="E121" s="153"/>
      <c r="F121" s="153"/>
      <c r="G121" s="153"/>
      <c r="H121" s="153"/>
      <c r="I121" s="153"/>
      <c r="J121" s="153"/>
      <c r="K121" s="153"/>
      <c r="L121" s="153"/>
      <c r="M121" s="153"/>
    </row>
    <row r="122" spans="1:16" s="45" customFormat="1">
      <c r="A122" s="138" t="s">
        <v>94</v>
      </c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P122"/>
    </row>
    <row r="123" spans="1:16" s="45" customFormat="1">
      <c r="A123"/>
      <c r="B123" s="2" t="s">
        <v>2</v>
      </c>
      <c r="C123" s="2" t="s">
        <v>3</v>
      </c>
      <c r="D123"/>
      <c r="E123"/>
      <c r="F123" s="55"/>
      <c r="G123" s="96"/>
      <c r="H123" s="64"/>
      <c r="I123" s="64"/>
      <c r="J123" s="64"/>
      <c r="K123" s="64"/>
      <c r="L123" s="64"/>
      <c r="M123" s="64"/>
      <c r="P123"/>
    </row>
    <row r="124" spans="1:16" s="49" customFormat="1">
      <c r="A124" s="50" t="s">
        <v>106</v>
      </c>
      <c r="B124" s="53" t="s">
        <v>4</v>
      </c>
      <c r="C124" s="53">
        <v>1</v>
      </c>
      <c r="G124" s="67" t="s">
        <v>22</v>
      </c>
      <c r="H124" s="70">
        <v>1</v>
      </c>
      <c r="I124">
        <v>1</v>
      </c>
      <c r="J124">
        <v>1</v>
      </c>
      <c r="K124" s="54">
        <v>0.25</v>
      </c>
      <c r="L124" s="87">
        <f>K124*J124*I124*H124</f>
        <v>0.25</v>
      </c>
      <c r="P124"/>
    </row>
    <row r="125" spans="1:16" s="49" customFormat="1">
      <c r="A125" s="50" t="s">
        <v>105</v>
      </c>
      <c r="B125" s="53" t="s">
        <v>4</v>
      </c>
      <c r="C125" s="55">
        <v>2</v>
      </c>
      <c r="G125" s="67" t="s">
        <v>22</v>
      </c>
      <c r="H125" s="70">
        <v>1</v>
      </c>
      <c r="I125">
        <v>1.5</v>
      </c>
      <c r="J125">
        <v>1.5</v>
      </c>
      <c r="K125" s="54">
        <v>0.4</v>
      </c>
      <c r="L125" s="87">
        <f t="shared" ref="L125:L146" si="19">K125*J125*I125*H125</f>
        <v>0.90000000000000013</v>
      </c>
      <c r="P125"/>
    </row>
    <row r="126" spans="1:16">
      <c r="A126" s="50" t="s">
        <v>107</v>
      </c>
      <c r="B126" s="53" t="s">
        <v>4</v>
      </c>
      <c r="C126" s="53">
        <v>4</v>
      </c>
      <c r="D126" s="49"/>
      <c r="E126" s="49"/>
      <c r="F126" s="1"/>
      <c r="G126" s="98" t="s">
        <v>22</v>
      </c>
      <c r="H126" s="70">
        <v>1</v>
      </c>
      <c r="I126">
        <v>1.5</v>
      </c>
      <c r="J126" s="24">
        <v>1.5</v>
      </c>
      <c r="K126" s="55">
        <v>0.4</v>
      </c>
      <c r="L126" s="87">
        <f t="shared" si="19"/>
        <v>0.90000000000000013</v>
      </c>
      <c r="M126" s="55"/>
    </row>
    <row r="127" spans="1:16">
      <c r="A127" s="50" t="s">
        <v>21</v>
      </c>
      <c r="B127" s="53" t="s">
        <v>4</v>
      </c>
      <c r="C127" s="55">
        <v>5</v>
      </c>
      <c r="D127" s="49"/>
      <c r="E127" s="49"/>
      <c r="F127" s="1"/>
      <c r="G127" s="98" t="s">
        <v>22</v>
      </c>
      <c r="H127" s="70">
        <v>1</v>
      </c>
      <c r="I127">
        <v>1.1000000000000001</v>
      </c>
      <c r="J127">
        <v>1.1000000000000001</v>
      </c>
      <c r="K127" s="55">
        <v>0.25</v>
      </c>
      <c r="L127" s="87">
        <f t="shared" si="19"/>
        <v>0.30250000000000005</v>
      </c>
      <c r="M127" s="55"/>
    </row>
    <row r="128" spans="1:16">
      <c r="A128" t="s">
        <v>109</v>
      </c>
      <c r="B128" s="53" t="s">
        <v>4</v>
      </c>
      <c r="C128" s="55">
        <v>6</v>
      </c>
      <c r="D128" s="49"/>
      <c r="E128" s="49"/>
      <c r="F128" s="1"/>
      <c r="G128" s="98" t="s">
        <v>22</v>
      </c>
      <c r="H128" s="70">
        <v>1</v>
      </c>
      <c r="I128">
        <v>1.2</v>
      </c>
      <c r="J128">
        <v>1.2</v>
      </c>
      <c r="K128" s="55">
        <v>0.3</v>
      </c>
      <c r="L128" s="87">
        <f t="shared" si="19"/>
        <v>0.432</v>
      </c>
      <c r="M128" s="55"/>
    </row>
    <row r="129" spans="1:16">
      <c r="A129" s="50" t="s">
        <v>109</v>
      </c>
      <c r="B129" s="53" t="s">
        <v>4</v>
      </c>
      <c r="C129" s="53">
        <v>7</v>
      </c>
      <c r="D129" s="49"/>
      <c r="E129" s="49"/>
      <c r="F129" s="1"/>
      <c r="G129" s="98" t="s">
        <v>22</v>
      </c>
      <c r="H129" s="70">
        <v>1</v>
      </c>
      <c r="I129" s="42">
        <v>1.2</v>
      </c>
      <c r="J129" s="42">
        <v>1.2</v>
      </c>
      <c r="K129" s="55">
        <v>0.3</v>
      </c>
      <c r="L129" s="87">
        <f t="shared" si="19"/>
        <v>0.432</v>
      </c>
      <c r="M129" s="55"/>
      <c r="P129" s="49"/>
    </row>
    <row r="130" spans="1:16">
      <c r="A130" s="50" t="s">
        <v>109</v>
      </c>
      <c r="B130" s="53" t="s">
        <v>4</v>
      </c>
      <c r="C130" s="53">
        <v>8</v>
      </c>
      <c r="D130" s="49"/>
      <c r="E130" s="49"/>
      <c r="F130" s="1"/>
      <c r="G130" s="98" t="s">
        <v>22</v>
      </c>
      <c r="H130" s="70">
        <v>1</v>
      </c>
      <c r="I130">
        <v>1.2</v>
      </c>
      <c r="J130">
        <v>1.2</v>
      </c>
      <c r="K130" s="55">
        <v>0.3</v>
      </c>
      <c r="L130" s="87">
        <f t="shared" si="19"/>
        <v>0.432</v>
      </c>
      <c r="M130" s="55"/>
      <c r="P130" s="49"/>
    </row>
    <row r="131" spans="1:16">
      <c r="A131" s="50" t="s">
        <v>108</v>
      </c>
      <c r="B131" s="53" t="s">
        <v>6</v>
      </c>
      <c r="C131" s="53">
        <v>5</v>
      </c>
      <c r="D131" s="49"/>
      <c r="E131" s="49"/>
      <c r="F131" s="1"/>
      <c r="G131" s="98" t="s">
        <v>22</v>
      </c>
      <c r="H131" s="70">
        <v>1</v>
      </c>
      <c r="I131" s="42">
        <v>1.5</v>
      </c>
      <c r="J131" s="42">
        <v>1.5</v>
      </c>
      <c r="K131" s="55">
        <v>0.4</v>
      </c>
      <c r="L131" s="87">
        <f t="shared" si="19"/>
        <v>0.90000000000000013</v>
      </c>
      <c r="M131" s="55"/>
      <c r="P131" s="70"/>
    </row>
    <row r="132" spans="1:16">
      <c r="A132" s="50" t="s">
        <v>107</v>
      </c>
      <c r="B132" s="53" t="s">
        <v>7</v>
      </c>
      <c r="C132" s="53">
        <v>6</v>
      </c>
      <c r="D132" s="49"/>
      <c r="E132" s="49"/>
      <c r="F132" s="1"/>
      <c r="G132" s="98" t="s">
        <v>22</v>
      </c>
      <c r="H132" s="70">
        <v>1</v>
      </c>
      <c r="I132" s="42">
        <v>1.5</v>
      </c>
      <c r="J132" s="42">
        <v>1.5</v>
      </c>
      <c r="K132" s="55">
        <v>0.4</v>
      </c>
      <c r="L132" s="87">
        <f t="shared" si="19"/>
        <v>0.90000000000000013</v>
      </c>
      <c r="M132" s="55"/>
      <c r="P132" s="70"/>
    </row>
    <row r="133" spans="1:16">
      <c r="A133" s="50" t="s">
        <v>107</v>
      </c>
      <c r="B133" s="53" t="s">
        <v>7</v>
      </c>
      <c r="C133" s="53">
        <v>7</v>
      </c>
      <c r="D133" s="49"/>
      <c r="E133" s="49"/>
      <c r="F133" s="1"/>
      <c r="G133" s="98" t="s">
        <v>22</v>
      </c>
      <c r="H133" s="70">
        <v>1</v>
      </c>
      <c r="I133" s="42">
        <v>1.5</v>
      </c>
      <c r="J133" s="42">
        <v>1.5</v>
      </c>
      <c r="K133" s="55">
        <v>0.4</v>
      </c>
      <c r="L133" s="87">
        <f t="shared" si="19"/>
        <v>0.90000000000000013</v>
      </c>
      <c r="M133" s="55"/>
      <c r="P133" s="70"/>
    </row>
    <row r="134" spans="1:16">
      <c r="A134" s="50" t="s">
        <v>109</v>
      </c>
      <c r="B134" s="53" t="s">
        <v>7</v>
      </c>
      <c r="C134" s="53">
        <v>8</v>
      </c>
      <c r="D134" s="49"/>
      <c r="E134" s="49"/>
      <c r="F134" s="1"/>
      <c r="G134" s="98" t="s">
        <v>22</v>
      </c>
      <c r="H134" s="70">
        <v>1</v>
      </c>
      <c r="I134" s="42">
        <v>1.2</v>
      </c>
      <c r="J134" s="42">
        <v>1.2</v>
      </c>
      <c r="K134" s="55">
        <v>0.3</v>
      </c>
      <c r="L134" s="87">
        <f t="shared" si="19"/>
        <v>0.432</v>
      </c>
      <c r="M134" s="55"/>
      <c r="P134" s="70"/>
    </row>
    <row r="135" spans="1:16">
      <c r="A135" s="50" t="s">
        <v>107</v>
      </c>
      <c r="B135" s="53" t="s">
        <v>8</v>
      </c>
      <c r="C135" s="53">
        <v>1</v>
      </c>
      <c r="D135" s="49"/>
      <c r="E135" s="49"/>
      <c r="F135" s="1"/>
      <c r="G135" s="98" t="s">
        <v>22</v>
      </c>
      <c r="H135" s="70">
        <v>1</v>
      </c>
      <c r="I135">
        <v>1.5</v>
      </c>
      <c r="J135">
        <v>1.5</v>
      </c>
      <c r="K135" s="55">
        <v>0.4</v>
      </c>
      <c r="L135" s="87">
        <f t="shared" si="19"/>
        <v>0.90000000000000013</v>
      </c>
      <c r="M135" s="55"/>
      <c r="P135" s="70"/>
    </row>
    <row r="136" spans="1:16">
      <c r="A136" s="50" t="s">
        <v>108</v>
      </c>
      <c r="B136" s="53" t="s">
        <v>10</v>
      </c>
      <c r="C136" s="53">
        <v>5</v>
      </c>
      <c r="D136" s="49"/>
      <c r="E136" s="49"/>
      <c r="F136" s="1"/>
      <c r="G136" s="98" t="s">
        <v>22</v>
      </c>
      <c r="H136" s="70">
        <v>1</v>
      </c>
      <c r="I136" s="42">
        <v>1.5</v>
      </c>
      <c r="J136" s="42">
        <v>1.3</v>
      </c>
      <c r="K136" s="55">
        <v>0.4</v>
      </c>
      <c r="L136" s="87">
        <f t="shared" si="19"/>
        <v>0.78</v>
      </c>
      <c r="M136" s="55"/>
      <c r="P136" s="70"/>
    </row>
    <row r="137" spans="1:16">
      <c r="A137" s="50" t="s">
        <v>107</v>
      </c>
      <c r="B137" s="53" t="s">
        <v>9</v>
      </c>
      <c r="C137" s="53">
        <v>6</v>
      </c>
      <c r="D137" s="49"/>
      <c r="E137" s="49"/>
      <c r="F137" s="1"/>
      <c r="G137" s="98" t="s">
        <v>22</v>
      </c>
      <c r="H137" s="70">
        <v>1</v>
      </c>
      <c r="I137" s="42">
        <v>1.5</v>
      </c>
      <c r="J137" s="42">
        <v>1.5</v>
      </c>
      <c r="K137" s="55">
        <v>0.4</v>
      </c>
      <c r="L137" s="87">
        <f t="shared" si="19"/>
        <v>0.90000000000000013</v>
      </c>
      <c r="M137" s="55"/>
      <c r="P137" s="70"/>
    </row>
    <row r="138" spans="1:16" s="49" customFormat="1">
      <c r="A138" s="50" t="s">
        <v>107</v>
      </c>
      <c r="B138" s="53" t="s">
        <v>9</v>
      </c>
      <c r="C138" s="53">
        <v>7</v>
      </c>
      <c r="G138" s="98" t="s">
        <v>22</v>
      </c>
      <c r="H138" s="70">
        <v>1</v>
      </c>
      <c r="I138" s="42">
        <v>1.5</v>
      </c>
      <c r="J138" s="42">
        <v>1.5</v>
      </c>
      <c r="K138" s="55">
        <v>0.4</v>
      </c>
      <c r="L138" s="87">
        <f t="shared" si="19"/>
        <v>0.90000000000000013</v>
      </c>
      <c r="M138" s="49" t="s">
        <v>95</v>
      </c>
      <c r="P138" s="98"/>
    </row>
    <row r="139" spans="1:16" s="49" customFormat="1">
      <c r="A139" s="50" t="s">
        <v>109</v>
      </c>
      <c r="B139" s="53" t="s">
        <v>9</v>
      </c>
      <c r="C139" s="53">
        <v>8</v>
      </c>
      <c r="G139" s="98" t="s">
        <v>22</v>
      </c>
      <c r="H139" s="70">
        <v>1</v>
      </c>
      <c r="I139" s="42">
        <v>1.2</v>
      </c>
      <c r="J139" s="42">
        <v>1.2</v>
      </c>
      <c r="K139" s="55">
        <v>0.3</v>
      </c>
      <c r="L139" s="87">
        <f t="shared" si="19"/>
        <v>0.432</v>
      </c>
      <c r="M139" s="49" t="s">
        <v>95</v>
      </c>
      <c r="P139" s="70"/>
    </row>
    <row r="140" spans="1:16" s="70" customFormat="1">
      <c r="A140" s="50" t="s">
        <v>20</v>
      </c>
      <c r="B140" s="53" t="s">
        <v>11</v>
      </c>
      <c r="C140" s="53">
        <v>1</v>
      </c>
      <c r="D140" s="49"/>
      <c r="E140" s="49"/>
      <c r="G140" s="98" t="s">
        <v>22</v>
      </c>
      <c r="H140" s="70">
        <v>1</v>
      </c>
      <c r="I140">
        <v>1</v>
      </c>
      <c r="J140">
        <v>1</v>
      </c>
      <c r="K140" s="55">
        <v>0.25</v>
      </c>
      <c r="L140" s="87">
        <f t="shared" si="19"/>
        <v>0.25</v>
      </c>
      <c r="P140" s="70" t="str">
        <f>IF(I149=16,G149*H149*J149,"")</f>
        <v/>
      </c>
    </row>
    <row r="141" spans="1:16" s="70" customFormat="1">
      <c r="A141" s="50" t="s">
        <v>107</v>
      </c>
      <c r="B141" s="53" t="s">
        <v>11</v>
      </c>
      <c r="C141" s="53">
        <v>2</v>
      </c>
      <c r="D141" s="49"/>
      <c r="E141" s="49"/>
      <c r="G141" s="98" t="s">
        <v>22</v>
      </c>
      <c r="H141" s="70">
        <v>1</v>
      </c>
      <c r="I141">
        <v>1.5</v>
      </c>
      <c r="J141">
        <v>1.5</v>
      </c>
      <c r="K141" s="55">
        <v>0.25</v>
      </c>
      <c r="L141" s="87">
        <f t="shared" si="19"/>
        <v>0.5625</v>
      </c>
      <c r="M141" s="49" t="s">
        <v>95</v>
      </c>
    </row>
    <row r="142" spans="1:16" s="70" customFormat="1">
      <c r="A142" s="50" t="s">
        <v>107</v>
      </c>
      <c r="B142" s="53" t="s">
        <v>11</v>
      </c>
      <c r="C142" s="53">
        <v>3</v>
      </c>
      <c r="D142" s="49"/>
      <c r="E142" s="49"/>
      <c r="G142" s="98" t="s">
        <v>22</v>
      </c>
      <c r="H142" s="70">
        <v>1</v>
      </c>
      <c r="I142">
        <v>1.5</v>
      </c>
      <c r="J142">
        <v>1.5</v>
      </c>
      <c r="K142" s="55">
        <v>0.4</v>
      </c>
      <c r="L142" s="87">
        <f t="shared" si="19"/>
        <v>0.90000000000000013</v>
      </c>
    </row>
    <row r="143" spans="1:16" s="70" customFormat="1">
      <c r="A143" s="50" t="s">
        <v>108</v>
      </c>
      <c r="B143" s="53" t="s">
        <v>11</v>
      </c>
      <c r="C143" s="53">
        <v>5</v>
      </c>
      <c r="D143" s="49"/>
      <c r="E143" s="49"/>
      <c r="G143" s="98" t="s">
        <v>22</v>
      </c>
      <c r="H143" s="70">
        <v>1</v>
      </c>
      <c r="I143">
        <v>1.5</v>
      </c>
      <c r="J143">
        <v>1.5</v>
      </c>
      <c r="K143" s="55">
        <v>0.4</v>
      </c>
      <c r="L143" s="87">
        <f t="shared" si="19"/>
        <v>0.90000000000000013</v>
      </c>
      <c r="M143" s="49" t="s">
        <v>95</v>
      </c>
    </row>
    <row r="144" spans="1:16" s="70" customFormat="1">
      <c r="A144" s="50" t="s">
        <v>109</v>
      </c>
      <c r="B144" s="53" t="s">
        <v>11</v>
      </c>
      <c r="C144" s="53">
        <v>6</v>
      </c>
      <c r="D144" s="49"/>
      <c r="E144" s="49"/>
      <c r="G144" s="98" t="s">
        <v>22</v>
      </c>
      <c r="H144" s="70">
        <v>1</v>
      </c>
      <c r="I144">
        <v>1.2</v>
      </c>
      <c r="J144">
        <v>1.2</v>
      </c>
      <c r="K144" s="55">
        <v>0.3</v>
      </c>
      <c r="L144" s="87">
        <f t="shared" si="19"/>
        <v>0.432</v>
      </c>
    </row>
    <row r="145" spans="1:15" s="70" customFormat="1">
      <c r="A145" s="50" t="s">
        <v>109</v>
      </c>
      <c r="B145" s="53" t="s">
        <v>11</v>
      </c>
      <c r="C145" s="53">
        <v>7</v>
      </c>
      <c r="D145" s="49"/>
      <c r="E145" s="49"/>
      <c r="G145" s="98" t="s">
        <v>22</v>
      </c>
      <c r="H145" s="70">
        <v>1</v>
      </c>
      <c r="I145">
        <v>1.2</v>
      </c>
      <c r="J145">
        <v>1.2</v>
      </c>
      <c r="K145" s="55">
        <v>0.3</v>
      </c>
      <c r="L145" s="87">
        <f t="shared" si="19"/>
        <v>0.432</v>
      </c>
    </row>
    <row r="146" spans="1:15" s="70" customFormat="1">
      <c r="A146" s="50" t="s">
        <v>109</v>
      </c>
      <c r="B146" s="53" t="s">
        <v>11</v>
      </c>
      <c r="C146" s="53">
        <v>8</v>
      </c>
      <c r="D146" s="49"/>
      <c r="E146" s="49"/>
      <c r="G146" s="98" t="s">
        <v>22</v>
      </c>
      <c r="H146" s="70">
        <v>1</v>
      </c>
      <c r="I146">
        <v>1.2</v>
      </c>
      <c r="J146">
        <v>1.2</v>
      </c>
      <c r="K146" s="55">
        <v>0.3</v>
      </c>
      <c r="L146" s="87">
        <f t="shared" si="19"/>
        <v>0.432</v>
      </c>
    </row>
    <row r="147" spans="1:15" s="70" customFormat="1" ht="16.2" customHeight="1">
      <c r="A147" s="137" t="s">
        <v>41</v>
      </c>
      <c r="B147" s="137"/>
      <c r="C147" s="137"/>
      <c r="D147" s="137"/>
      <c r="E147" s="137"/>
      <c r="F147" s="137"/>
      <c r="G147" s="137"/>
      <c r="H147" s="137"/>
      <c r="I147" s="137"/>
      <c r="J147" s="137"/>
      <c r="K147" s="137"/>
      <c r="L147" s="137"/>
      <c r="M147" s="80">
        <f>SUM(L124:L146)</f>
        <v>14.601000000000004</v>
      </c>
    </row>
    <row r="148" spans="1:15" s="70" customFormat="1">
      <c r="A148" s="138" t="s">
        <v>96</v>
      </c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</row>
    <row r="149" spans="1:15" s="70" customFormat="1">
      <c r="A149" s="2" t="s">
        <v>2</v>
      </c>
      <c r="B149" s="2" t="s">
        <v>3</v>
      </c>
      <c r="C149" s="2" t="s">
        <v>12</v>
      </c>
      <c r="D149" s="82"/>
      <c r="E149" s="73"/>
      <c r="F149" s="73"/>
      <c r="G149" s="98"/>
      <c r="K149" s="70" t="str">
        <f t="shared" ref="K149" si="20">IF(I149=6,G149*H149*J149,"")</f>
        <v/>
      </c>
      <c r="L149" s="70" t="str">
        <f t="shared" ref="L149" si="21">IF(I149=8,G149*H149*J149,"")</f>
        <v/>
      </c>
      <c r="M149" s="70" t="str">
        <f t="shared" ref="M149" si="22">IF(I149=10,G149*H149*J149,"")</f>
        <v/>
      </c>
      <c r="N149" s="70" t="str">
        <f t="shared" ref="N149" si="23">IF(I149=12,G149*H149*J149,"")</f>
        <v/>
      </c>
      <c r="O149" s="70" t="str">
        <f t="shared" ref="O149" si="24">IF(I149=14,G149*H149*J149,"")</f>
        <v/>
      </c>
    </row>
    <row r="150" spans="1:15" s="70" customFormat="1">
      <c r="A150" s="71" t="s">
        <v>7</v>
      </c>
      <c r="B150" s="72" t="s">
        <v>70</v>
      </c>
      <c r="C150" s="89" t="s">
        <v>116</v>
      </c>
      <c r="D150" s="98"/>
      <c r="E150" s="98"/>
      <c r="F150" s="98"/>
      <c r="G150" s="98" t="s">
        <v>22</v>
      </c>
      <c r="H150" s="70">
        <v>1</v>
      </c>
      <c r="I150" s="73">
        <v>4.78</v>
      </c>
      <c r="J150" s="73">
        <v>0.5</v>
      </c>
      <c r="K150" s="73">
        <v>0.2</v>
      </c>
      <c r="L150" s="70">
        <f>K150*J150*I150*H150</f>
        <v>0.47800000000000004</v>
      </c>
    </row>
    <row r="151" spans="1:15" s="70" customFormat="1">
      <c r="A151" s="71" t="s">
        <v>7</v>
      </c>
      <c r="B151" s="72" t="s">
        <v>110</v>
      </c>
      <c r="C151" s="89" t="s">
        <v>116</v>
      </c>
      <c r="D151" s="98"/>
      <c r="E151" s="98"/>
      <c r="F151" s="98"/>
      <c r="G151" s="98" t="s">
        <v>22</v>
      </c>
      <c r="H151" s="70">
        <v>1</v>
      </c>
      <c r="I151" s="73">
        <v>2.65</v>
      </c>
      <c r="J151" s="73">
        <v>0.5</v>
      </c>
      <c r="K151" s="73">
        <v>0.2</v>
      </c>
      <c r="L151" s="70">
        <f t="shared" ref="L151:L168" si="25">K151*J151*I151*H151</f>
        <v>0.26500000000000001</v>
      </c>
    </row>
    <row r="152" spans="1:15" s="70" customFormat="1">
      <c r="A152" s="71" t="s">
        <v>7</v>
      </c>
      <c r="B152" s="72" t="s">
        <v>111</v>
      </c>
      <c r="C152" s="89" t="s">
        <v>116</v>
      </c>
      <c r="D152" s="98"/>
      <c r="E152" s="98"/>
      <c r="F152" s="98"/>
      <c r="G152" s="98" t="s">
        <v>22</v>
      </c>
      <c r="H152" s="70">
        <v>1</v>
      </c>
      <c r="I152" s="73">
        <v>4.5999999999999996</v>
      </c>
      <c r="J152" s="73">
        <v>0.5</v>
      </c>
      <c r="K152" s="73">
        <v>0.2</v>
      </c>
      <c r="L152" s="70">
        <f t="shared" si="25"/>
        <v>0.45999999999999996</v>
      </c>
    </row>
    <row r="153" spans="1:15" s="70" customFormat="1">
      <c r="A153" s="71" t="s">
        <v>8</v>
      </c>
      <c r="B153" s="72" t="s">
        <v>71</v>
      </c>
      <c r="C153" s="89" t="s">
        <v>14</v>
      </c>
      <c r="D153" s="98"/>
      <c r="E153" s="98"/>
      <c r="F153" s="98"/>
      <c r="G153" s="98" t="s">
        <v>22</v>
      </c>
      <c r="H153" s="70">
        <v>1</v>
      </c>
      <c r="I153" s="73">
        <v>2.48</v>
      </c>
      <c r="J153" s="73">
        <v>0.4</v>
      </c>
      <c r="K153" s="73">
        <v>0.2</v>
      </c>
      <c r="L153" s="70">
        <f t="shared" si="25"/>
        <v>0.19840000000000005</v>
      </c>
    </row>
    <row r="154" spans="1:15" s="70" customFormat="1">
      <c r="A154" s="71" t="s">
        <v>8</v>
      </c>
      <c r="B154" s="72" t="s">
        <v>72</v>
      </c>
      <c r="C154" s="89" t="s">
        <v>14</v>
      </c>
      <c r="D154" s="98"/>
      <c r="E154" s="98"/>
      <c r="F154" s="98"/>
      <c r="G154" s="98" t="s">
        <v>22</v>
      </c>
      <c r="H154" s="70">
        <v>1</v>
      </c>
      <c r="I154" s="73">
        <v>3.7</v>
      </c>
      <c r="J154" s="73">
        <v>0.4</v>
      </c>
      <c r="K154" s="73">
        <v>0.2</v>
      </c>
      <c r="L154" s="70">
        <f t="shared" si="25"/>
        <v>0.2960000000000001</v>
      </c>
    </row>
    <row r="155" spans="1:15" s="70" customFormat="1">
      <c r="A155" s="71" t="s">
        <v>8</v>
      </c>
      <c r="B155" s="72" t="s">
        <v>73</v>
      </c>
      <c r="C155" s="89" t="s">
        <v>14</v>
      </c>
      <c r="D155" s="98"/>
      <c r="E155" s="98"/>
      <c r="F155" s="98"/>
      <c r="G155" s="98" t="s">
        <v>22</v>
      </c>
      <c r="H155" s="70">
        <v>1</v>
      </c>
      <c r="I155" s="73">
        <v>3.7</v>
      </c>
      <c r="J155" s="73">
        <v>0.4</v>
      </c>
      <c r="K155" s="73">
        <v>0.2</v>
      </c>
      <c r="L155" s="70">
        <f t="shared" si="25"/>
        <v>0.2960000000000001</v>
      </c>
    </row>
    <row r="156" spans="1:15" s="70" customFormat="1">
      <c r="A156" s="71" t="s">
        <v>8</v>
      </c>
      <c r="B156" s="72" t="s">
        <v>69</v>
      </c>
      <c r="C156" s="89" t="s">
        <v>14</v>
      </c>
      <c r="D156" s="98"/>
      <c r="E156" s="98"/>
      <c r="F156" s="98"/>
      <c r="G156" s="98" t="s">
        <v>22</v>
      </c>
      <c r="H156" s="70">
        <v>1</v>
      </c>
      <c r="I156" s="73">
        <v>2.38</v>
      </c>
      <c r="J156" s="73">
        <v>0.4</v>
      </c>
      <c r="K156" s="73">
        <v>0.2</v>
      </c>
      <c r="L156" s="70">
        <f t="shared" si="25"/>
        <v>0.19040000000000004</v>
      </c>
    </row>
    <row r="157" spans="1:15" s="70" customFormat="1">
      <c r="A157" s="71" t="s">
        <v>9</v>
      </c>
      <c r="B157" s="72" t="s">
        <v>70</v>
      </c>
      <c r="C157" s="89" t="s">
        <v>116</v>
      </c>
      <c r="D157" s="98"/>
      <c r="E157" s="98"/>
      <c r="F157" s="98"/>
      <c r="G157" s="98" t="s">
        <v>22</v>
      </c>
      <c r="H157" s="70">
        <v>1</v>
      </c>
      <c r="I157" s="73">
        <v>4.78</v>
      </c>
      <c r="J157" s="73">
        <v>0.5</v>
      </c>
      <c r="K157" s="73">
        <v>0.2</v>
      </c>
      <c r="L157" s="70">
        <f t="shared" si="25"/>
        <v>0.47800000000000004</v>
      </c>
    </row>
    <row r="158" spans="1:15" s="70" customFormat="1">
      <c r="A158" s="71" t="s">
        <v>9</v>
      </c>
      <c r="B158" s="72" t="s">
        <v>110</v>
      </c>
      <c r="C158" s="89" t="s">
        <v>116</v>
      </c>
      <c r="D158" s="98"/>
      <c r="E158" s="98"/>
      <c r="F158" s="98"/>
      <c r="G158" s="98" t="s">
        <v>22</v>
      </c>
      <c r="H158" s="70">
        <v>1</v>
      </c>
      <c r="I158" s="73">
        <v>2.65</v>
      </c>
      <c r="J158" s="73">
        <v>0.5</v>
      </c>
      <c r="K158" s="73">
        <v>0.2</v>
      </c>
      <c r="L158" s="70">
        <f t="shared" si="25"/>
        <v>0.26500000000000001</v>
      </c>
    </row>
    <row r="159" spans="1:15" s="70" customFormat="1">
      <c r="A159" s="71" t="s">
        <v>25</v>
      </c>
      <c r="B159" s="72" t="s">
        <v>91</v>
      </c>
      <c r="C159" s="89" t="s">
        <v>14</v>
      </c>
      <c r="G159" s="98" t="s">
        <v>22</v>
      </c>
      <c r="H159" s="70">
        <v>1</v>
      </c>
      <c r="I159" s="73">
        <f>3.82+0.4+0.82</f>
        <v>5.04</v>
      </c>
      <c r="J159" s="73">
        <v>0.4</v>
      </c>
      <c r="K159" s="73">
        <v>0.2</v>
      </c>
      <c r="L159" s="70">
        <f t="shared" si="25"/>
        <v>0.40320000000000006</v>
      </c>
    </row>
    <row r="160" spans="1:15" s="70" customFormat="1">
      <c r="A160" s="89" t="s">
        <v>25</v>
      </c>
      <c r="B160" s="72" t="s">
        <v>79</v>
      </c>
      <c r="C160" s="89" t="s">
        <v>14</v>
      </c>
      <c r="D160" s="98"/>
      <c r="E160" s="98"/>
      <c r="F160" s="98"/>
      <c r="G160" s="98" t="s">
        <v>22</v>
      </c>
      <c r="H160" s="70">
        <v>1</v>
      </c>
      <c r="I160" s="73">
        <v>5.04</v>
      </c>
      <c r="J160" s="73">
        <v>0.4</v>
      </c>
      <c r="K160" s="73">
        <v>0.2</v>
      </c>
      <c r="L160" s="70">
        <f t="shared" si="25"/>
        <v>0.40320000000000006</v>
      </c>
    </row>
    <row r="161" spans="1:16" s="70" customFormat="1">
      <c r="A161" s="71" t="s">
        <v>113</v>
      </c>
      <c r="B161" s="72" t="s">
        <v>83</v>
      </c>
      <c r="C161" s="89" t="s">
        <v>116</v>
      </c>
      <c r="D161" s="98"/>
      <c r="E161" s="98"/>
      <c r="F161" s="98"/>
      <c r="G161" s="98" t="s">
        <v>22</v>
      </c>
      <c r="H161" s="70">
        <v>1</v>
      </c>
      <c r="I161" s="73">
        <f>3.82+0.4+0.82+1.08</f>
        <v>6.12</v>
      </c>
      <c r="J161" s="73">
        <v>0.5</v>
      </c>
      <c r="K161" s="73">
        <v>0.2</v>
      </c>
      <c r="L161" s="70">
        <f t="shared" si="25"/>
        <v>0.6120000000000001</v>
      </c>
    </row>
    <row r="162" spans="1:16" s="70" customFormat="1">
      <c r="A162" s="71" t="s">
        <v>113</v>
      </c>
      <c r="B162" s="72" t="s">
        <v>87</v>
      </c>
      <c r="C162" s="89" t="s">
        <v>116</v>
      </c>
      <c r="G162" s="98" t="s">
        <v>22</v>
      </c>
      <c r="H162" s="70">
        <v>1</v>
      </c>
      <c r="I162" s="73">
        <v>6.12</v>
      </c>
      <c r="J162" s="73">
        <v>0.5</v>
      </c>
      <c r="K162" s="73">
        <v>0.2</v>
      </c>
      <c r="L162" s="70">
        <f t="shared" si="25"/>
        <v>0.6120000000000001</v>
      </c>
    </row>
    <row r="163" spans="1:16" s="70" customFormat="1">
      <c r="A163" s="89" t="s">
        <v>113</v>
      </c>
      <c r="B163" s="72" t="s">
        <v>112</v>
      </c>
      <c r="C163" s="89" t="s">
        <v>116</v>
      </c>
      <c r="D163" s="98"/>
      <c r="E163" s="98"/>
      <c r="F163" s="98"/>
      <c r="G163" s="98" t="s">
        <v>22</v>
      </c>
      <c r="H163" s="70">
        <v>1</v>
      </c>
      <c r="I163" s="73">
        <v>6.12</v>
      </c>
      <c r="J163" s="73">
        <v>0.5</v>
      </c>
      <c r="K163" s="73">
        <v>0.2</v>
      </c>
      <c r="L163" s="70">
        <f t="shared" si="25"/>
        <v>0.6120000000000001</v>
      </c>
    </row>
    <row r="164" spans="1:16" s="70" customFormat="1">
      <c r="A164" s="71" t="s">
        <v>114</v>
      </c>
      <c r="B164" s="72" t="s">
        <v>91</v>
      </c>
      <c r="C164" s="89" t="s">
        <v>14</v>
      </c>
      <c r="D164" s="98"/>
      <c r="E164" s="98"/>
      <c r="F164" s="98"/>
      <c r="G164" s="98" t="s">
        <v>22</v>
      </c>
      <c r="H164" s="70">
        <v>1</v>
      </c>
      <c r="I164" s="73">
        <f>1.8+0.15+3.82</f>
        <v>5.77</v>
      </c>
      <c r="J164" s="73">
        <v>0.4</v>
      </c>
      <c r="K164" s="73">
        <v>0.2</v>
      </c>
      <c r="L164" s="70">
        <f t="shared" si="25"/>
        <v>0.46160000000000007</v>
      </c>
    </row>
    <row r="165" spans="1:16" s="70" customFormat="1">
      <c r="A165" s="71" t="s">
        <v>114</v>
      </c>
      <c r="B165" s="72" t="s">
        <v>82</v>
      </c>
      <c r="C165" s="89" t="s">
        <v>14</v>
      </c>
      <c r="D165" s="98"/>
      <c r="E165" s="98"/>
      <c r="F165" s="98"/>
      <c r="G165" s="98" t="s">
        <v>22</v>
      </c>
      <c r="H165" s="70">
        <v>1</v>
      </c>
      <c r="I165" s="73">
        <v>5.77</v>
      </c>
      <c r="J165" s="73">
        <v>0.4</v>
      </c>
      <c r="K165" s="73">
        <v>0.2</v>
      </c>
      <c r="L165" s="70">
        <f t="shared" si="25"/>
        <v>0.46160000000000007</v>
      </c>
    </row>
    <row r="166" spans="1:16" s="70" customFormat="1">
      <c r="A166" s="71" t="s">
        <v>115</v>
      </c>
      <c r="B166" s="72" t="s">
        <v>83</v>
      </c>
      <c r="C166" s="89" t="s">
        <v>116</v>
      </c>
      <c r="D166" s="98"/>
      <c r="E166" s="98"/>
      <c r="F166" s="98"/>
      <c r="G166" s="98" t="s">
        <v>22</v>
      </c>
      <c r="H166" s="70">
        <v>1</v>
      </c>
      <c r="I166" s="73">
        <f>3.82+0.15</f>
        <v>3.9699999999999998</v>
      </c>
      <c r="J166" s="73">
        <v>0.5</v>
      </c>
      <c r="K166" s="73">
        <v>0.2</v>
      </c>
      <c r="L166" s="70">
        <f t="shared" si="25"/>
        <v>0.39700000000000002</v>
      </c>
    </row>
    <row r="167" spans="1:16" s="70" customFormat="1">
      <c r="A167" s="71" t="s">
        <v>115</v>
      </c>
      <c r="B167" s="72" t="s">
        <v>87</v>
      </c>
      <c r="C167" s="89" t="s">
        <v>116</v>
      </c>
      <c r="D167" s="98"/>
      <c r="E167" s="98"/>
      <c r="F167" s="98"/>
      <c r="G167" s="98" t="s">
        <v>22</v>
      </c>
      <c r="H167" s="70">
        <v>1</v>
      </c>
      <c r="I167" s="73">
        <f>0.15+3.82</f>
        <v>3.9699999999999998</v>
      </c>
      <c r="J167" s="73">
        <v>0.5</v>
      </c>
      <c r="K167" s="73">
        <v>0.2</v>
      </c>
      <c r="L167" s="70">
        <f t="shared" si="25"/>
        <v>0.39700000000000002</v>
      </c>
    </row>
    <row r="168" spans="1:16" s="70" customFormat="1">
      <c r="A168" s="71" t="s">
        <v>115</v>
      </c>
      <c r="B168" s="72" t="s">
        <v>112</v>
      </c>
      <c r="C168" s="89" t="s">
        <v>116</v>
      </c>
      <c r="D168" s="98"/>
      <c r="E168" s="98"/>
      <c r="F168" s="98"/>
      <c r="G168" s="98" t="s">
        <v>22</v>
      </c>
      <c r="H168" s="70">
        <v>1</v>
      </c>
      <c r="I168" s="73">
        <f>0.15+3.82</f>
        <v>3.9699999999999998</v>
      </c>
      <c r="J168" s="73">
        <v>0.5</v>
      </c>
      <c r="K168" s="73">
        <v>0.2</v>
      </c>
      <c r="L168" s="70">
        <f t="shared" si="25"/>
        <v>0.39700000000000002</v>
      </c>
    </row>
    <row r="169" spans="1:16" s="70" customFormat="1" ht="16.2" customHeight="1">
      <c r="A169" s="137" t="s">
        <v>41</v>
      </c>
      <c r="B169" s="137"/>
      <c r="C169" s="137"/>
      <c r="D169" s="137"/>
      <c r="E169" s="137"/>
      <c r="F169" s="137"/>
      <c r="G169" s="137"/>
      <c r="H169" s="137"/>
      <c r="I169" s="137"/>
      <c r="J169" s="137"/>
      <c r="K169" s="137"/>
      <c r="L169" s="137"/>
      <c r="M169" s="95">
        <f>SUM(L150:L168)</f>
        <v>7.6834000000000007</v>
      </c>
      <c r="N169" s="126">
        <f>M169+M189+M218+M408+M410</f>
        <v>13.535200000000001</v>
      </c>
      <c r="P169" s="98"/>
    </row>
    <row r="170" spans="1:16" s="70" customFormat="1">
      <c r="A170" s="138" t="s">
        <v>97</v>
      </c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</row>
    <row r="171" spans="1:16" s="70" customFormat="1">
      <c r="A171" s="2" t="s">
        <v>2</v>
      </c>
      <c r="B171" s="2" t="s">
        <v>3</v>
      </c>
      <c r="C171" s="2" t="s">
        <v>12</v>
      </c>
      <c r="D171" s="82"/>
      <c r="E171" s="73"/>
      <c r="F171" s="73"/>
      <c r="G171" s="98"/>
    </row>
    <row r="172" spans="1:16" s="70" customFormat="1">
      <c r="A172" s="72" t="s">
        <v>4</v>
      </c>
      <c r="B172" s="72" t="s">
        <v>71</v>
      </c>
      <c r="C172" s="73" t="s">
        <v>84</v>
      </c>
      <c r="D172" s="98"/>
      <c r="E172" s="98"/>
      <c r="F172" s="98"/>
      <c r="G172" s="98" t="s">
        <v>22</v>
      </c>
      <c r="H172" s="70">
        <v>1</v>
      </c>
      <c r="I172" s="73">
        <v>2.48</v>
      </c>
      <c r="J172" s="73">
        <v>0.4</v>
      </c>
      <c r="K172" s="73">
        <v>0.2</v>
      </c>
      <c r="L172" s="70">
        <f>K172*J172*I172*H172</f>
        <v>0.19840000000000005</v>
      </c>
    </row>
    <row r="173" spans="1:16" s="70" customFormat="1">
      <c r="A173" s="72" t="s">
        <v>4</v>
      </c>
      <c r="B173" s="72" t="s">
        <v>117</v>
      </c>
      <c r="C173" s="73" t="s">
        <v>84</v>
      </c>
      <c r="D173" s="98"/>
      <c r="E173" s="98"/>
      <c r="F173" s="98"/>
      <c r="G173" s="98" t="s">
        <v>22</v>
      </c>
      <c r="H173" s="70">
        <v>1</v>
      </c>
      <c r="I173" s="73">
        <v>7.25</v>
      </c>
      <c r="J173" s="73">
        <v>0.4</v>
      </c>
      <c r="K173" s="73">
        <v>0.2</v>
      </c>
      <c r="L173" s="70">
        <f t="shared" ref="L173:L188" si="26">K173*J173*I173*H173</f>
        <v>0.58000000000000007</v>
      </c>
    </row>
    <row r="174" spans="1:16" s="70" customFormat="1">
      <c r="A174" s="72" t="s">
        <v>4</v>
      </c>
      <c r="B174" s="72" t="s">
        <v>69</v>
      </c>
      <c r="C174" s="73" t="s">
        <v>84</v>
      </c>
      <c r="D174" s="98"/>
      <c r="E174" s="98"/>
      <c r="F174" s="98"/>
      <c r="G174" s="98" t="s">
        <v>22</v>
      </c>
      <c r="H174" s="70">
        <v>1</v>
      </c>
      <c r="I174" s="73">
        <v>2.38</v>
      </c>
      <c r="J174" s="73">
        <v>0.4</v>
      </c>
      <c r="K174" s="73">
        <v>0.2</v>
      </c>
      <c r="L174" s="70">
        <f t="shared" si="26"/>
        <v>0.19040000000000004</v>
      </c>
    </row>
    <row r="175" spans="1:16" s="70" customFormat="1">
      <c r="A175" s="72" t="s">
        <v>4</v>
      </c>
      <c r="B175" s="72" t="s">
        <v>70</v>
      </c>
      <c r="C175" s="73" t="s">
        <v>84</v>
      </c>
      <c r="D175" s="98"/>
      <c r="E175" s="98"/>
      <c r="F175" s="98"/>
      <c r="G175" s="98" t="s">
        <v>22</v>
      </c>
      <c r="H175" s="70">
        <v>1</v>
      </c>
      <c r="I175" s="73">
        <v>4.78</v>
      </c>
      <c r="J175" s="73">
        <v>0.4</v>
      </c>
      <c r="K175" s="73">
        <v>0.2</v>
      </c>
      <c r="L175" s="70">
        <f t="shared" si="26"/>
        <v>0.38240000000000007</v>
      </c>
    </row>
    <row r="176" spans="1:16" s="70" customFormat="1">
      <c r="A176" s="72" t="s">
        <v>4</v>
      </c>
      <c r="B176" s="72" t="s">
        <v>110</v>
      </c>
      <c r="C176" s="73" t="s">
        <v>84</v>
      </c>
      <c r="D176" s="98"/>
      <c r="E176" s="98"/>
      <c r="F176" s="98"/>
      <c r="G176" s="98" t="s">
        <v>22</v>
      </c>
      <c r="H176" s="70">
        <v>1</v>
      </c>
      <c r="I176" s="73">
        <v>2.65</v>
      </c>
      <c r="J176" s="73">
        <v>0.4</v>
      </c>
      <c r="K176" s="73">
        <v>0.2</v>
      </c>
      <c r="L176" s="70">
        <f t="shared" si="26"/>
        <v>0.21200000000000002</v>
      </c>
    </row>
    <row r="177" spans="1:20" s="70" customFormat="1">
      <c r="A177" s="72" t="s">
        <v>4</v>
      </c>
      <c r="B177" s="72" t="s">
        <v>111</v>
      </c>
      <c r="C177" s="73" t="s">
        <v>84</v>
      </c>
      <c r="D177" s="98"/>
      <c r="E177" s="98"/>
      <c r="F177" s="98"/>
      <c r="G177" s="98" t="s">
        <v>22</v>
      </c>
      <c r="H177" s="70">
        <v>1</v>
      </c>
      <c r="I177" s="73">
        <v>4.5999999999999996</v>
      </c>
      <c r="J177" s="73">
        <v>0.4</v>
      </c>
      <c r="K177" s="73">
        <v>0.2</v>
      </c>
      <c r="L177" s="70">
        <f t="shared" si="26"/>
        <v>0.36800000000000005</v>
      </c>
    </row>
    <row r="178" spans="1:20" s="70" customFormat="1">
      <c r="A178" s="72" t="s">
        <v>11</v>
      </c>
      <c r="B178" s="72" t="s">
        <v>71</v>
      </c>
      <c r="C178" s="73" t="s">
        <v>84</v>
      </c>
      <c r="D178" s="98"/>
      <c r="E178" s="98"/>
      <c r="F178" s="98"/>
      <c r="G178" s="98" t="s">
        <v>22</v>
      </c>
      <c r="H178" s="70">
        <v>1</v>
      </c>
      <c r="I178" s="73">
        <v>2.48</v>
      </c>
      <c r="J178" s="73">
        <v>0.4</v>
      </c>
      <c r="K178" s="73">
        <v>0.2</v>
      </c>
      <c r="L178" s="70">
        <f t="shared" si="26"/>
        <v>0.19840000000000005</v>
      </c>
    </row>
    <row r="179" spans="1:20" s="70" customFormat="1">
      <c r="A179" s="89" t="s">
        <v>11</v>
      </c>
      <c r="B179" s="72" t="s">
        <v>117</v>
      </c>
      <c r="C179" s="73" t="s">
        <v>84</v>
      </c>
      <c r="D179" s="98"/>
      <c r="E179" s="98"/>
      <c r="F179" s="98"/>
      <c r="G179" s="98" t="s">
        <v>22</v>
      </c>
      <c r="H179" s="70">
        <v>1</v>
      </c>
      <c r="I179" s="73">
        <v>7.25</v>
      </c>
      <c r="J179" s="73">
        <v>0.4</v>
      </c>
      <c r="K179" s="73">
        <v>0.2</v>
      </c>
      <c r="L179" s="70">
        <f t="shared" si="26"/>
        <v>0.58000000000000007</v>
      </c>
    </row>
    <row r="180" spans="1:20" s="70" customFormat="1">
      <c r="A180" s="89" t="s">
        <v>11</v>
      </c>
      <c r="B180" s="72" t="s">
        <v>69</v>
      </c>
      <c r="C180" s="73" t="s">
        <v>84</v>
      </c>
      <c r="D180" s="98"/>
      <c r="E180" s="98"/>
      <c r="F180" s="98"/>
      <c r="G180" s="98" t="s">
        <v>22</v>
      </c>
      <c r="H180" s="70">
        <v>1</v>
      </c>
      <c r="I180" s="73">
        <v>2.38</v>
      </c>
      <c r="J180" s="73">
        <v>0.4</v>
      </c>
      <c r="K180" s="73">
        <v>0.2</v>
      </c>
      <c r="L180" s="70">
        <f t="shared" si="26"/>
        <v>0.19040000000000004</v>
      </c>
    </row>
    <row r="181" spans="1:20" s="70" customFormat="1">
      <c r="A181" s="89" t="s">
        <v>11</v>
      </c>
      <c r="B181" s="72" t="s">
        <v>70</v>
      </c>
      <c r="C181" s="73" t="s">
        <v>84</v>
      </c>
      <c r="D181" s="98"/>
      <c r="E181" s="98"/>
      <c r="F181" s="98"/>
      <c r="G181" s="98" t="s">
        <v>22</v>
      </c>
      <c r="H181" s="70">
        <v>1</v>
      </c>
      <c r="I181" s="73">
        <v>4.78</v>
      </c>
      <c r="J181" s="73">
        <v>0.4</v>
      </c>
      <c r="K181" s="73">
        <v>0.2</v>
      </c>
      <c r="L181" s="70">
        <f t="shared" si="26"/>
        <v>0.38240000000000007</v>
      </c>
    </row>
    <row r="182" spans="1:20" s="70" customFormat="1">
      <c r="A182" s="89" t="s">
        <v>11</v>
      </c>
      <c r="B182" s="72" t="s">
        <v>110</v>
      </c>
      <c r="C182" s="73" t="s">
        <v>84</v>
      </c>
      <c r="D182" s="98"/>
      <c r="E182" s="98"/>
      <c r="F182" s="98"/>
      <c r="G182" s="98" t="s">
        <v>22</v>
      </c>
      <c r="H182" s="70">
        <v>1</v>
      </c>
      <c r="I182" s="73">
        <v>2.65</v>
      </c>
      <c r="J182" s="73">
        <v>0.4</v>
      </c>
      <c r="K182" s="73">
        <v>0.2</v>
      </c>
      <c r="L182" s="70">
        <f t="shared" si="26"/>
        <v>0.21200000000000002</v>
      </c>
    </row>
    <row r="183" spans="1:20" s="70" customFormat="1">
      <c r="A183" s="89" t="s">
        <v>11</v>
      </c>
      <c r="B183" s="72" t="s">
        <v>111</v>
      </c>
      <c r="C183" s="73" t="s">
        <v>84</v>
      </c>
      <c r="D183" s="98"/>
      <c r="E183" s="98"/>
      <c r="F183" s="98"/>
      <c r="G183" s="98" t="s">
        <v>22</v>
      </c>
      <c r="H183" s="70">
        <v>1</v>
      </c>
      <c r="I183" s="73">
        <v>4.5999999999999996</v>
      </c>
      <c r="J183" s="73">
        <v>0.4</v>
      </c>
      <c r="K183" s="73">
        <v>0.2</v>
      </c>
      <c r="L183" s="70">
        <f t="shared" si="26"/>
        <v>0.36800000000000005</v>
      </c>
    </row>
    <row r="184" spans="1:20" s="70" customFormat="1">
      <c r="A184" s="89" t="s">
        <v>25</v>
      </c>
      <c r="B184" s="72" t="s">
        <v>80</v>
      </c>
      <c r="C184" s="73" t="s">
        <v>84</v>
      </c>
      <c r="D184" s="98"/>
      <c r="E184" s="98"/>
      <c r="F184" s="98"/>
      <c r="G184" s="98" t="s">
        <v>22</v>
      </c>
      <c r="H184" s="70">
        <v>1</v>
      </c>
      <c r="I184" s="73">
        <f>3.82+0.4+0.82</f>
        <v>5.04</v>
      </c>
      <c r="J184" s="73">
        <v>0.4</v>
      </c>
      <c r="K184" s="73">
        <v>0.2</v>
      </c>
      <c r="L184" s="70">
        <f t="shared" si="26"/>
        <v>0.40320000000000006</v>
      </c>
    </row>
    <row r="185" spans="1:20" s="70" customFormat="1">
      <c r="A185" s="72" t="s">
        <v>114</v>
      </c>
      <c r="B185" s="72" t="s">
        <v>80</v>
      </c>
      <c r="C185" s="73" t="s">
        <v>84</v>
      </c>
      <c r="D185" s="98"/>
      <c r="E185" s="98"/>
      <c r="F185" s="98"/>
      <c r="G185" s="98" t="s">
        <v>22</v>
      </c>
      <c r="H185" s="70">
        <v>1</v>
      </c>
      <c r="I185" s="73">
        <f>1.08+0.15+3.82</f>
        <v>5.05</v>
      </c>
      <c r="J185" s="73">
        <v>0.4</v>
      </c>
      <c r="K185" s="73">
        <v>0.2</v>
      </c>
      <c r="L185" s="70">
        <f t="shared" si="26"/>
        <v>0.40400000000000008</v>
      </c>
    </row>
    <row r="186" spans="1:20" s="70" customFormat="1">
      <c r="A186" s="72" t="s">
        <v>85</v>
      </c>
      <c r="B186" s="72" t="s">
        <v>118</v>
      </c>
      <c r="C186" s="73" t="s">
        <v>84</v>
      </c>
      <c r="D186" s="98"/>
      <c r="E186" s="98"/>
      <c r="F186" s="98"/>
      <c r="G186" s="98" t="s">
        <v>22</v>
      </c>
      <c r="H186" s="70">
        <v>1</v>
      </c>
      <c r="I186" s="73">
        <f>3.82+0.4</f>
        <v>4.22</v>
      </c>
      <c r="J186" s="73">
        <v>0.4</v>
      </c>
      <c r="K186" s="73">
        <v>0.2</v>
      </c>
      <c r="L186" s="70">
        <f t="shared" si="26"/>
        <v>0.33760000000000007</v>
      </c>
    </row>
    <row r="187" spans="1:20" s="70" customFormat="1">
      <c r="A187" s="89" t="s">
        <v>119</v>
      </c>
      <c r="B187" s="72" t="s">
        <v>118</v>
      </c>
      <c r="C187" s="73" t="s">
        <v>84</v>
      </c>
      <c r="D187" s="98"/>
      <c r="E187" s="98"/>
      <c r="F187" s="98"/>
      <c r="G187" s="98" t="s">
        <v>22</v>
      </c>
      <c r="H187" s="70">
        <v>1</v>
      </c>
      <c r="I187" s="73">
        <f>0.82+1.08</f>
        <v>1.9</v>
      </c>
      <c r="J187" s="73">
        <v>0.4</v>
      </c>
      <c r="K187" s="73">
        <v>0.2</v>
      </c>
      <c r="L187" s="70">
        <f t="shared" si="26"/>
        <v>0.15200000000000002</v>
      </c>
    </row>
    <row r="188" spans="1:20" s="70" customFormat="1">
      <c r="A188" s="89" t="s">
        <v>115</v>
      </c>
      <c r="B188" s="72" t="s">
        <v>118</v>
      </c>
      <c r="C188" s="73" t="s">
        <v>84</v>
      </c>
      <c r="D188" s="98"/>
      <c r="E188" s="98"/>
      <c r="F188" s="98"/>
      <c r="G188" s="98" t="s">
        <v>22</v>
      </c>
      <c r="H188" s="70">
        <v>1</v>
      </c>
      <c r="I188" s="73">
        <f>0.15+3.82</f>
        <v>3.9699999999999998</v>
      </c>
      <c r="J188" s="73">
        <v>0.4</v>
      </c>
      <c r="K188" s="73">
        <v>0.2</v>
      </c>
      <c r="L188" s="70">
        <f t="shared" si="26"/>
        <v>0.31760000000000005</v>
      </c>
    </row>
    <row r="189" spans="1:20" s="70" customFormat="1" ht="16.2" customHeight="1">
      <c r="A189" s="137" t="s">
        <v>41</v>
      </c>
      <c r="B189" s="137"/>
      <c r="C189" s="137"/>
      <c r="D189" s="137"/>
      <c r="E189" s="137"/>
      <c r="F189" s="137"/>
      <c r="G189" s="137"/>
      <c r="H189" s="137"/>
      <c r="I189" s="137"/>
      <c r="J189" s="137"/>
      <c r="K189" s="137"/>
      <c r="L189" s="137"/>
      <c r="M189" s="95">
        <f>SUM(L172:L188)</f>
        <v>5.4768000000000008</v>
      </c>
      <c r="P189" s="98"/>
    </row>
    <row r="190" spans="1:20">
      <c r="A190" s="138" t="s">
        <v>68</v>
      </c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</row>
    <row r="191" spans="1:20">
      <c r="A191" s="63"/>
      <c r="B191" s="2" t="s">
        <v>2</v>
      </c>
      <c r="C191" s="2" t="s">
        <v>3</v>
      </c>
      <c r="D191" s="2" t="s">
        <v>12</v>
      </c>
      <c r="E191" s="43"/>
      <c r="F191" s="43"/>
      <c r="G191" s="22"/>
      <c r="H191" s="55"/>
      <c r="I191" s="55"/>
      <c r="J191" s="55"/>
      <c r="K191" s="55"/>
      <c r="L191" s="55"/>
      <c r="M191" s="55"/>
    </row>
    <row r="192" spans="1:20">
      <c r="B192" s="53" t="s">
        <v>4</v>
      </c>
      <c r="C192" s="53">
        <v>1</v>
      </c>
      <c r="D192" s="43" t="s">
        <v>43</v>
      </c>
      <c r="E192" s="1"/>
      <c r="F192" s="1"/>
      <c r="G192" s="22" t="s">
        <v>22</v>
      </c>
      <c r="H192" s="55">
        <v>1</v>
      </c>
      <c r="I192" s="43">
        <v>0.3</v>
      </c>
      <c r="J192" s="43">
        <v>0.3</v>
      </c>
      <c r="K192" s="54">
        <f>$N$13-0.13-0.1-0.25</f>
        <v>1</v>
      </c>
      <c r="L192" s="55">
        <f>K192*J192*I192*H192</f>
        <v>0.09</v>
      </c>
      <c r="M192" s="55"/>
      <c r="T192" s="43"/>
    </row>
    <row r="193" spans="2:20">
      <c r="B193" s="53" t="s">
        <v>4</v>
      </c>
      <c r="C193" s="55">
        <v>2</v>
      </c>
      <c r="D193" s="43" t="s">
        <v>42</v>
      </c>
      <c r="E193" s="1"/>
      <c r="F193" s="1"/>
      <c r="G193" s="22" t="s">
        <v>22</v>
      </c>
      <c r="H193" s="55">
        <v>1</v>
      </c>
      <c r="I193" s="43">
        <v>0.4</v>
      </c>
      <c r="J193" s="43">
        <v>0.4</v>
      </c>
      <c r="K193" s="54">
        <f t="shared" ref="K193:K214" si="27">$N$13-0.13-0.1-0.25</f>
        <v>1</v>
      </c>
      <c r="L193" s="55">
        <f t="shared" ref="L193:L214" si="28">K193*J193*I193*H193</f>
        <v>0.16000000000000003</v>
      </c>
      <c r="M193" s="55"/>
      <c r="T193" s="43"/>
    </row>
    <row r="194" spans="2:20">
      <c r="B194" s="53" t="s">
        <v>4</v>
      </c>
      <c r="C194" s="55">
        <v>4</v>
      </c>
      <c r="D194" s="43" t="s">
        <v>42</v>
      </c>
      <c r="E194" s="1"/>
      <c r="F194" s="1"/>
      <c r="G194" s="22" t="s">
        <v>22</v>
      </c>
      <c r="H194" s="55">
        <v>1</v>
      </c>
      <c r="I194" s="43">
        <v>0.4</v>
      </c>
      <c r="J194" s="43">
        <v>0.4</v>
      </c>
      <c r="K194" s="54">
        <f t="shared" si="27"/>
        <v>1</v>
      </c>
      <c r="L194" s="55">
        <f t="shared" si="28"/>
        <v>0.16000000000000003</v>
      </c>
      <c r="M194" s="55"/>
      <c r="T194" s="43"/>
    </row>
    <row r="195" spans="2:20">
      <c r="B195" s="53" t="s">
        <v>4</v>
      </c>
      <c r="C195" s="53">
        <v>5</v>
      </c>
      <c r="D195" s="43" t="s">
        <v>43</v>
      </c>
      <c r="E195" s="1"/>
      <c r="F195" s="1"/>
      <c r="G195" s="22" t="s">
        <v>22</v>
      </c>
      <c r="H195" s="55">
        <v>1</v>
      </c>
      <c r="I195" s="43">
        <v>0.3</v>
      </c>
      <c r="J195" s="43">
        <v>0.3</v>
      </c>
      <c r="K195" s="54">
        <f t="shared" si="27"/>
        <v>1</v>
      </c>
      <c r="L195" s="55">
        <f t="shared" si="28"/>
        <v>0.09</v>
      </c>
      <c r="M195" s="55"/>
      <c r="T195" s="43"/>
    </row>
    <row r="196" spans="2:20">
      <c r="B196" s="53" t="s">
        <v>4</v>
      </c>
      <c r="C196" s="55">
        <v>6</v>
      </c>
      <c r="D196" s="43" t="s">
        <v>24</v>
      </c>
      <c r="E196" s="1"/>
      <c r="F196" s="1"/>
      <c r="G196" s="22" t="s">
        <v>22</v>
      </c>
      <c r="H196" s="55">
        <v>1</v>
      </c>
      <c r="I196" s="43">
        <v>0.25</v>
      </c>
      <c r="J196" s="43">
        <v>0.35</v>
      </c>
      <c r="K196" s="54">
        <f t="shared" si="27"/>
        <v>1</v>
      </c>
      <c r="L196" s="55">
        <f t="shared" si="28"/>
        <v>8.7499999999999994E-2</v>
      </c>
      <c r="M196" s="55"/>
      <c r="T196" s="43"/>
    </row>
    <row r="197" spans="2:20">
      <c r="B197" s="53" t="s">
        <v>4</v>
      </c>
      <c r="C197" s="55">
        <v>7</v>
      </c>
      <c r="D197" s="43" t="s">
        <v>24</v>
      </c>
      <c r="E197" s="1"/>
      <c r="F197" s="1"/>
      <c r="G197" s="22" t="s">
        <v>22</v>
      </c>
      <c r="H197" s="55">
        <v>1</v>
      </c>
      <c r="I197" s="43">
        <v>0.25</v>
      </c>
      <c r="J197" s="43">
        <v>0.35</v>
      </c>
      <c r="K197" s="54">
        <f t="shared" si="27"/>
        <v>1</v>
      </c>
      <c r="L197" s="55">
        <f t="shared" si="28"/>
        <v>8.7499999999999994E-2</v>
      </c>
      <c r="M197" s="55"/>
      <c r="T197" s="43"/>
    </row>
    <row r="198" spans="2:20">
      <c r="B198" s="53" t="s">
        <v>4</v>
      </c>
      <c r="C198" s="55">
        <v>8</v>
      </c>
      <c r="D198" s="43" t="s">
        <v>24</v>
      </c>
      <c r="E198" s="1"/>
      <c r="F198" s="1"/>
      <c r="G198" s="22" t="s">
        <v>22</v>
      </c>
      <c r="H198" s="55">
        <v>1</v>
      </c>
      <c r="I198" s="43">
        <v>0.25</v>
      </c>
      <c r="J198" s="43">
        <v>0.35</v>
      </c>
      <c r="K198" s="54">
        <f t="shared" si="27"/>
        <v>1</v>
      </c>
      <c r="L198" s="55">
        <f t="shared" si="28"/>
        <v>8.7499999999999994E-2</v>
      </c>
      <c r="M198" s="55"/>
      <c r="T198" s="43"/>
    </row>
    <row r="199" spans="2:20">
      <c r="B199" s="53" t="s">
        <v>6</v>
      </c>
      <c r="C199" s="53">
        <v>5</v>
      </c>
      <c r="D199" s="43" t="s">
        <v>44</v>
      </c>
      <c r="E199" s="1"/>
      <c r="F199" s="1"/>
      <c r="G199" s="22" t="s">
        <v>22</v>
      </c>
      <c r="H199" s="55">
        <v>1</v>
      </c>
      <c r="I199" s="43">
        <v>0.35</v>
      </c>
      <c r="J199" s="43">
        <v>0.35</v>
      </c>
      <c r="K199" s="54">
        <f t="shared" si="27"/>
        <v>1</v>
      </c>
      <c r="L199" s="55">
        <f t="shared" si="28"/>
        <v>0.12249999999999998</v>
      </c>
      <c r="M199" s="55"/>
      <c r="T199" s="43"/>
    </row>
    <row r="200" spans="2:20">
      <c r="B200" s="53" t="s">
        <v>7</v>
      </c>
      <c r="C200" s="53">
        <v>6</v>
      </c>
      <c r="D200" s="43" t="s">
        <v>24</v>
      </c>
      <c r="E200" s="1"/>
      <c r="F200" s="1"/>
      <c r="G200" s="22" t="s">
        <v>22</v>
      </c>
      <c r="H200" s="55">
        <v>1</v>
      </c>
      <c r="I200" s="43">
        <v>0.25</v>
      </c>
      <c r="J200" s="43">
        <v>0.35</v>
      </c>
      <c r="K200" s="54">
        <f t="shared" si="27"/>
        <v>1</v>
      </c>
      <c r="L200" s="55">
        <f t="shared" si="28"/>
        <v>8.7499999999999994E-2</v>
      </c>
      <c r="M200" s="55"/>
      <c r="T200" s="43"/>
    </row>
    <row r="201" spans="2:20">
      <c r="B201" s="53" t="s">
        <v>7</v>
      </c>
      <c r="C201" s="53">
        <v>7</v>
      </c>
      <c r="D201" s="43" t="s">
        <v>24</v>
      </c>
      <c r="E201" s="1"/>
      <c r="F201" s="1"/>
      <c r="G201" s="22" t="s">
        <v>22</v>
      </c>
      <c r="H201" s="55">
        <v>1</v>
      </c>
      <c r="I201" s="43">
        <v>0.25</v>
      </c>
      <c r="J201" s="43">
        <v>0.35</v>
      </c>
      <c r="K201" s="54">
        <f t="shared" si="27"/>
        <v>1</v>
      </c>
      <c r="L201" s="55">
        <f t="shared" si="28"/>
        <v>8.7499999999999994E-2</v>
      </c>
      <c r="M201" s="55"/>
      <c r="T201" s="43"/>
    </row>
    <row r="202" spans="2:20">
      <c r="B202" s="53" t="s">
        <v>7</v>
      </c>
      <c r="C202" s="53">
        <v>8</v>
      </c>
      <c r="D202" s="43" t="s">
        <v>24</v>
      </c>
      <c r="E202" s="1"/>
      <c r="F202" s="1"/>
      <c r="G202" s="22" t="s">
        <v>22</v>
      </c>
      <c r="H202" s="55">
        <v>1</v>
      </c>
      <c r="I202" s="43">
        <v>0.25</v>
      </c>
      <c r="J202" s="43">
        <v>0.35</v>
      </c>
      <c r="K202" s="54">
        <f t="shared" si="27"/>
        <v>1</v>
      </c>
      <c r="L202" s="55">
        <f t="shared" si="28"/>
        <v>8.7499999999999994E-2</v>
      </c>
      <c r="M202" s="55"/>
      <c r="T202" s="43"/>
    </row>
    <row r="203" spans="2:20">
      <c r="B203" s="53" t="s">
        <v>10</v>
      </c>
      <c r="C203" s="53">
        <v>5</v>
      </c>
      <c r="D203" s="43" t="s">
        <v>44</v>
      </c>
      <c r="E203" s="1"/>
      <c r="F203" s="1"/>
      <c r="G203" s="22" t="s">
        <v>22</v>
      </c>
      <c r="H203" s="55">
        <v>1</v>
      </c>
      <c r="I203" s="43">
        <v>0.35</v>
      </c>
      <c r="J203" s="43">
        <v>0.35</v>
      </c>
      <c r="K203" s="54">
        <f t="shared" si="27"/>
        <v>1</v>
      </c>
      <c r="L203" s="55">
        <f t="shared" si="28"/>
        <v>0.12249999999999998</v>
      </c>
      <c r="M203" s="55"/>
      <c r="T203" s="43"/>
    </row>
    <row r="204" spans="2:20">
      <c r="B204" s="53" t="s">
        <v>9</v>
      </c>
      <c r="C204" s="53">
        <v>6</v>
      </c>
      <c r="D204" s="43" t="s">
        <v>24</v>
      </c>
      <c r="E204" s="1"/>
      <c r="F204" s="1"/>
      <c r="G204" s="22" t="s">
        <v>22</v>
      </c>
      <c r="H204" s="55">
        <v>1</v>
      </c>
      <c r="I204" s="43">
        <v>0.25</v>
      </c>
      <c r="J204" s="43">
        <v>0.35</v>
      </c>
      <c r="K204" s="54">
        <f t="shared" si="27"/>
        <v>1</v>
      </c>
      <c r="L204" s="55">
        <f t="shared" si="28"/>
        <v>8.7499999999999994E-2</v>
      </c>
      <c r="M204" s="55"/>
      <c r="T204" s="43"/>
    </row>
    <row r="205" spans="2:20">
      <c r="B205" s="53" t="s">
        <v>9</v>
      </c>
      <c r="C205" s="53">
        <v>7</v>
      </c>
      <c r="D205" s="43" t="s">
        <v>24</v>
      </c>
      <c r="E205" s="1"/>
      <c r="F205" s="1"/>
      <c r="G205" s="22" t="s">
        <v>22</v>
      </c>
      <c r="H205" s="55">
        <v>1</v>
      </c>
      <c r="I205" s="43">
        <v>0.25</v>
      </c>
      <c r="J205" s="43">
        <v>0.35</v>
      </c>
      <c r="K205" s="54">
        <f t="shared" si="27"/>
        <v>1</v>
      </c>
      <c r="L205" s="55">
        <f t="shared" si="28"/>
        <v>8.7499999999999994E-2</v>
      </c>
      <c r="M205" s="55"/>
      <c r="T205" s="43"/>
    </row>
    <row r="206" spans="2:20">
      <c r="B206" s="53" t="s">
        <v>9</v>
      </c>
      <c r="C206" s="53">
        <v>8</v>
      </c>
      <c r="D206" s="43" t="s">
        <v>24</v>
      </c>
      <c r="E206" s="1"/>
      <c r="F206" s="1"/>
      <c r="G206" s="22" t="s">
        <v>22</v>
      </c>
      <c r="H206" s="55">
        <v>1</v>
      </c>
      <c r="I206" s="43">
        <v>0.25</v>
      </c>
      <c r="J206" s="43">
        <v>0.35</v>
      </c>
      <c r="K206" s="54">
        <f t="shared" si="27"/>
        <v>1</v>
      </c>
      <c r="L206" s="55">
        <f t="shared" si="28"/>
        <v>8.7499999999999994E-2</v>
      </c>
      <c r="M206" s="55"/>
      <c r="N206" s="125">
        <f>M169+M189+M218+M408+M410</f>
        <v>13.535200000000001</v>
      </c>
      <c r="T206" s="43"/>
    </row>
    <row r="207" spans="2:20">
      <c r="B207" s="53" t="s">
        <v>11</v>
      </c>
      <c r="C207" s="53">
        <v>1</v>
      </c>
      <c r="D207" s="43" t="s">
        <v>43</v>
      </c>
      <c r="E207" s="1"/>
      <c r="F207" s="1"/>
      <c r="G207" s="22" t="s">
        <v>22</v>
      </c>
      <c r="H207" s="55">
        <v>1</v>
      </c>
      <c r="I207" s="43">
        <v>0.3</v>
      </c>
      <c r="J207" s="43">
        <v>0.3</v>
      </c>
      <c r="K207" s="54">
        <f t="shared" si="27"/>
        <v>1</v>
      </c>
      <c r="L207" s="55">
        <f t="shared" si="28"/>
        <v>0.09</v>
      </c>
      <c r="M207" s="55"/>
      <c r="T207" s="43"/>
    </row>
    <row r="208" spans="2:20">
      <c r="B208" s="53" t="s">
        <v>11</v>
      </c>
      <c r="C208" s="53">
        <v>2</v>
      </c>
      <c r="D208" s="43" t="s">
        <v>42</v>
      </c>
      <c r="E208" s="1"/>
      <c r="F208" s="1"/>
      <c r="G208" s="22" t="s">
        <v>22</v>
      </c>
      <c r="H208" s="55">
        <v>1</v>
      </c>
      <c r="I208" s="43">
        <v>0.4</v>
      </c>
      <c r="J208" s="43">
        <v>0.4</v>
      </c>
      <c r="K208" s="54">
        <f t="shared" si="27"/>
        <v>1</v>
      </c>
      <c r="L208" s="55">
        <f t="shared" si="28"/>
        <v>0.16000000000000003</v>
      </c>
      <c r="M208" s="55"/>
      <c r="T208" s="43"/>
    </row>
    <row r="209" spans="1:20">
      <c r="B209" s="53" t="s">
        <v>8</v>
      </c>
      <c r="C209" s="53">
        <v>1</v>
      </c>
      <c r="D209" s="43" t="s">
        <v>42</v>
      </c>
      <c r="E209" s="1"/>
      <c r="F209" s="1"/>
      <c r="G209" s="22" t="s">
        <v>22</v>
      </c>
      <c r="H209" s="55">
        <v>1</v>
      </c>
      <c r="I209" s="43">
        <v>0.4</v>
      </c>
      <c r="J209" s="43">
        <v>0.4</v>
      </c>
      <c r="K209" s="54">
        <f t="shared" si="27"/>
        <v>1</v>
      </c>
      <c r="L209" s="55">
        <f t="shared" si="28"/>
        <v>0.16000000000000003</v>
      </c>
      <c r="M209" s="55"/>
    </row>
    <row r="210" spans="1:20">
      <c r="B210" s="53" t="s">
        <v>11</v>
      </c>
      <c r="C210" s="53">
        <v>3</v>
      </c>
      <c r="D210" s="43" t="s">
        <v>42</v>
      </c>
      <c r="E210" s="1"/>
      <c r="F210" s="1"/>
      <c r="G210" s="22" t="s">
        <v>22</v>
      </c>
      <c r="H210" s="55">
        <v>1</v>
      </c>
      <c r="I210" s="43">
        <v>0.4</v>
      </c>
      <c r="J210" s="43">
        <v>0.4</v>
      </c>
      <c r="K210" s="54">
        <f t="shared" si="27"/>
        <v>1</v>
      </c>
      <c r="L210" s="55">
        <f t="shared" si="28"/>
        <v>0.16000000000000003</v>
      </c>
      <c r="M210" s="55"/>
      <c r="T210" s="43"/>
    </row>
    <row r="211" spans="1:20">
      <c r="B211" s="53" t="s">
        <v>11</v>
      </c>
      <c r="C211" s="53">
        <v>5</v>
      </c>
      <c r="D211" s="43" t="s">
        <v>43</v>
      </c>
      <c r="E211" s="1"/>
      <c r="F211" s="1"/>
      <c r="G211" s="22" t="s">
        <v>22</v>
      </c>
      <c r="H211" s="55">
        <v>1</v>
      </c>
      <c r="I211" s="43">
        <v>0.3</v>
      </c>
      <c r="J211" s="43">
        <v>0.3</v>
      </c>
      <c r="K211" s="54">
        <f t="shared" si="27"/>
        <v>1</v>
      </c>
      <c r="L211" s="55">
        <f t="shared" si="28"/>
        <v>0.09</v>
      </c>
      <c r="M211" s="55"/>
      <c r="T211" s="43"/>
    </row>
    <row r="212" spans="1:20">
      <c r="B212" s="53" t="s">
        <v>11</v>
      </c>
      <c r="C212" s="53">
        <v>6</v>
      </c>
      <c r="D212" s="43" t="s">
        <v>24</v>
      </c>
      <c r="E212" s="1"/>
      <c r="F212" s="1"/>
      <c r="G212" s="22" t="s">
        <v>22</v>
      </c>
      <c r="H212" s="55">
        <v>1</v>
      </c>
      <c r="I212" s="43">
        <v>0.25</v>
      </c>
      <c r="J212" s="43">
        <v>0.35</v>
      </c>
      <c r="K212" s="54">
        <f t="shared" si="27"/>
        <v>1</v>
      </c>
      <c r="L212" s="55">
        <f t="shared" si="28"/>
        <v>8.7499999999999994E-2</v>
      </c>
      <c r="M212" s="55"/>
      <c r="T212" s="43"/>
    </row>
    <row r="213" spans="1:20">
      <c r="B213" s="53" t="s">
        <v>11</v>
      </c>
      <c r="C213" s="53">
        <v>7</v>
      </c>
      <c r="D213" s="43" t="s">
        <v>24</v>
      </c>
      <c r="E213" s="1"/>
      <c r="F213" s="1"/>
      <c r="G213" s="22" t="s">
        <v>22</v>
      </c>
      <c r="H213" s="55">
        <v>1</v>
      </c>
      <c r="I213" s="43">
        <v>0.25</v>
      </c>
      <c r="J213" s="43">
        <v>0.35</v>
      </c>
      <c r="K213" s="54">
        <f t="shared" si="27"/>
        <v>1</v>
      </c>
      <c r="L213" s="55">
        <f t="shared" si="28"/>
        <v>8.7499999999999994E-2</v>
      </c>
      <c r="M213" s="55"/>
      <c r="T213" s="43"/>
    </row>
    <row r="214" spans="1:20">
      <c r="B214" s="53" t="s">
        <v>11</v>
      </c>
      <c r="C214" s="53">
        <v>8</v>
      </c>
      <c r="D214" s="43" t="s">
        <v>24</v>
      </c>
      <c r="E214" s="1"/>
      <c r="F214" s="1"/>
      <c r="G214" s="22" t="s">
        <v>22</v>
      </c>
      <c r="H214" s="55">
        <v>1</v>
      </c>
      <c r="I214" s="43">
        <v>0.25</v>
      </c>
      <c r="J214" s="43">
        <v>0.35</v>
      </c>
      <c r="K214" s="54">
        <f t="shared" si="27"/>
        <v>1</v>
      </c>
      <c r="L214" s="55">
        <f t="shared" si="28"/>
        <v>8.7499999999999994E-2</v>
      </c>
      <c r="M214" s="55"/>
      <c r="T214" s="43"/>
    </row>
    <row r="215" spans="1:20">
      <c r="A215" s="137" t="s">
        <v>41</v>
      </c>
      <c r="B215" s="137"/>
      <c r="C215" s="137"/>
      <c r="D215" s="137"/>
      <c r="E215" s="137"/>
      <c r="F215" s="137"/>
      <c r="G215" s="137"/>
      <c r="H215" s="137"/>
      <c r="I215" s="137"/>
      <c r="J215" s="137"/>
      <c r="K215" s="137"/>
      <c r="L215" s="137"/>
      <c r="M215" s="57">
        <f>SUM(L192:L214)</f>
        <v>2.4549999999999996</v>
      </c>
    </row>
    <row r="216" spans="1:20">
      <c r="A216" s="138" t="s">
        <v>101</v>
      </c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</row>
    <row r="217" spans="1:20">
      <c r="A217" s="22"/>
      <c r="B217" s="53"/>
      <c r="C217" s="53"/>
      <c r="D217" s="53"/>
      <c r="E217" s="53"/>
      <c r="F217" s="53"/>
      <c r="G217" s="22"/>
      <c r="H217" s="55">
        <v>3</v>
      </c>
      <c r="I217" s="55">
        <v>0.5</v>
      </c>
      <c r="J217" s="55">
        <v>0.5</v>
      </c>
      <c r="K217" s="55">
        <v>0.5</v>
      </c>
      <c r="L217" s="55">
        <f>K217*J217*I217*H217</f>
        <v>0.375</v>
      </c>
      <c r="M217" s="55"/>
    </row>
    <row r="218" spans="1:20" s="49" customFormat="1">
      <c r="A218" s="141" t="s">
        <v>41</v>
      </c>
      <c r="B218" s="141"/>
      <c r="C218" s="141"/>
      <c r="D218" s="141"/>
      <c r="E218" s="141"/>
      <c r="F218" s="141"/>
      <c r="G218" s="141"/>
      <c r="H218" s="141"/>
      <c r="I218" s="141"/>
      <c r="J218" s="141"/>
      <c r="K218" s="141"/>
      <c r="L218" s="141"/>
      <c r="M218" s="109">
        <f>L217</f>
        <v>0.375</v>
      </c>
    </row>
    <row r="219" spans="1:20">
      <c r="A219" s="138" t="s">
        <v>174</v>
      </c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</row>
    <row r="220" spans="1:20" s="49" customFormat="1">
      <c r="B220" s="111" t="s">
        <v>121</v>
      </c>
      <c r="C220" s="112" t="s">
        <v>54</v>
      </c>
      <c r="H220" s="49">
        <v>1</v>
      </c>
      <c r="I220" s="49">
        <f>2.32+7.25+2.48</f>
        <v>12.05</v>
      </c>
      <c r="J220" s="186">
        <f>3.82+0.4+0.82+1.8+0.15+3.82</f>
        <v>10.81</v>
      </c>
      <c r="K220" s="186">
        <v>7.0000000000000007E-2</v>
      </c>
      <c r="L220" s="49">
        <f>I220*J220*K220</f>
        <v>9.1182350000000021</v>
      </c>
      <c r="N220" s="70"/>
    </row>
    <row r="221" spans="1:20" s="49" customFormat="1">
      <c r="A221" s="141" t="s">
        <v>41</v>
      </c>
      <c r="B221" s="141"/>
      <c r="C221" s="141"/>
      <c r="D221" s="141"/>
      <c r="E221" s="141"/>
      <c r="F221" s="141"/>
      <c r="G221" s="141"/>
      <c r="H221" s="141"/>
      <c r="I221" s="141"/>
      <c r="J221" s="141"/>
      <c r="K221" s="141"/>
      <c r="L221" s="141"/>
      <c r="M221" s="109">
        <f>L220</f>
        <v>9.1182350000000021</v>
      </c>
    </row>
    <row r="222" spans="1:20" s="49" customFormat="1" ht="28.2" customHeight="1">
      <c r="A222" s="113">
        <v>7</v>
      </c>
      <c r="B222" s="135" t="s">
        <v>104</v>
      </c>
      <c r="C222" s="135"/>
      <c r="D222" s="135"/>
      <c r="E222" s="135"/>
      <c r="F222" s="135"/>
      <c r="G222" s="135"/>
      <c r="H222" s="135"/>
      <c r="I222" s="135"/>
      <c r="J222" s="135"/>
      <c r="K222" s="135"/>
      <c r="L222" s="135"/>
      <c r="M222" s="135"/>
    </row>
    <row r="223" spans="1:20">
      <c r="A223" s="26"/>
      <c r="B223" s="25" t="s">
        <v>102</v>
      </c>
      <c r="C223" s="25"/>
      <c r="D223" s="25"/>
      <c r="E223" s="25"/>
      <c r="F223" s="25"/>
      <c r="G223" s="26"/>
      <c r="H223" s="27"/>
      <c r="I223" s="27"/>
      <c r="J223" s="27"/>
      <c r="K223" s="27"/>
      <c r="L223" s="27"/>
      <c r="M223" s="27"/>
    </row>
    <row r="224" spans="1:20" ht="15.6">
      <c r="A224" s="22"/>
      <c r="B224" s="2" t="s">
        <v>2</v>
      </c>
      <c r="C224" s="2" t="s">
        <v>3</v>
      </c>
      <c r="D224" s="132"/>
      <c r="E224" s="132"/>
      <c r="F224" s="132"/>
      <c r="G224" s="132"/>
      <c r="H224" s="132"/>
      <c r="I224" s="132"/>
      <c r="J224" s="132"/>
      <c r="K224" s="132"/>
      <c r="L224" s="132"/>
      <c r="M224" s="55"/>
    </row>
    <row r="225" spans="1:13" ht="15.6">
      <c r="A225" s="22"/>
      <c r="B225" s="119" t="s">
        <v>4</v>
      </c>
      <c r="C225" s="118" t="s">
        <v>53</v>
      </c>
      <c r="D225" s="132"/>
      <c r="E225" s="132"/>
      <c r="F225" s="132"/>
      <c r="G225" s="132" t="s">
        <v>22</v>
      </c>
      <c r="H225" s="58">
        <v>1</v>
      </c>
      <c r="I225" s="59">
        <v>25.4</v>
      </c>
      <c r="J225" s="59">
        <v>1.6</v>
      </c>
      <c r="K225" s="59">
        <f>$N$13</f>
        <v>1.48</v>
      </c>
      <c r="L225" s="59">
        <f>K225*J225*I225*H225</f>
        <v>60.147199999999991</v>
      </c>
      <c r="M225" s="55"/>
    </row>
    <row r="226" spans="1:13" ht="15.6">
      <c r="A226" s="22"/>
      <c r="B226" s="119" t="s">
        <v>10</v>
      </c>
      <c r="C226" s="118" t="s">
        <v>53</v>
      </c>
      <c r="D226" s="132"/>
      <c r="E226" s="132"/>
      <c r="F226" s="132"/>
      <c r="G226" s="132" t="s">
        <v>22</v>
      </c>
      <c r="H226" s="58">
        <v>1</v>
      </c>
      <c r="I226" s="59">
        <v>25.4</v>
      </c>
      <c r="J226" s="59">
        <v>1.6</v>
      </c>
      <c r="K226" s="59">
        <f>$N$13+0.3</f>
        <v>1.78</v>
      </c>
      <c r="L226" s="59">
        <f t="shared" ref="L226:L232" si="29">K226*J226*I226*H226</f>
        <v>72.339200000000005</v>
      </c>
      <c r="M226" s="55"/>
    </row>
    <row r="227" spans="1:13" ht="15.6">
      <c r="A227" s="22"/>
      <c r="B227" s="119" t="s">
        <v>90</v>
      </c>
      <c r="C227" s="118" t="s">
        <v>80</v>
      </c>
      <c r="D227" s="132"/>
      <c r="E227" s="132"/>
      <c r="F227" s="132"/>
      <c r="G227" s="132" t="s">
        <v>22</v>
      </c>
      <c r="H227" s="58">
        <v>1</v>
      </c>
      <c r="I227" s="59">
        <v>11.4</v>
      </c>
      <c r="J227" s="59">
        <v>1.6</v>
      </c>
      <c r="K227" s="59">
        <f>$N$13</f>
        <v>1.48</v>
      </c>
      <c r="L227" s="59">
        <f t="shared" si="29"/>
        <v>26.995200000000001</v>
      </c>
      <c r="M227" s="55"/>
    </row>
    <row r="228" spans="1:13" ht="15.6">
      <c r="A228" s="22"/>
      <c r="B228" s="119" t="s">
        <v>90</v>
      </c>
      <c r="C228" s="118" t="s">
        <v>87</v>
      </c>
      <c r="D228" s="132"/>
      <c r="E228" s="132"/>
      <c r="F228" s="132"/>
      <c r="G228" s="132" t="s">
        <v>22</v>
      </c>
      <c r="H228" s="58">
        <v>1</v>
      </c>
      <c r="I228" s="59">
        <v>11.4</v>
      </c>
      <c r="J228" s="59">
        <v>1.6</v>
      </c>
      <c r="K228" s="59">
        <f>$N$13</f>
        <v>1.48</v>
      </c>
      <c r="L228" s="59">
        <f t="shared" si="29"/>
        <v>26.995200000000001</v>
      </c>
      <c r="M228" s="55"/>
    </row>
    <row r="229" spans="1:13" ht="15.6">
      <c r="A229" s="22"/>
      <c r="B229" s="119" t="s">
        <v>81</v>
      </c>
      <c r="C229" s="118" t="s">
        <v>91</v>
      </c>
      <c r="D229" s="132"/>
      <c r="E229" s="132"/>
      <c r="F229" s="132"/>
      <c r="G229" s="132" t="s">
        <v>22</v>
      </c>
      <c r="H229" s="58">
        <v>1</v>
      </c>
      <c r="I229" s="59">
        <v>2.75</v>
      </c>
      <c r="J229" s="59">
        <v>1.6</v>
      </c>
      <c r="K229" s="59">
        <f>$N$13+0.4</f>
        <v>1.88</v>
      </c>
      <c r="L229" s="59">
        <f t="shared" si="29"/>
        <v>8.2720000000000002</v>
      </c>
      <c r="M229" s="55"/>
    </row>
    <row r="230" spans="1:13" ht="15.6">
      <c r="A230" s="22"/>
      <c r="B230" s="119" t="s">
        <v>81</v>
      </c>
      <c r="C230" s="118" t="s">
        <v>82</v>
      </c>
      <c r="D230" s="132"/>
      <c r="E230" s="132"/>
      <c r="F230" s="132"/>
      <c r="G230" s="132" t="s">
        <v>22</v>
      </c>
      <c r="H230" s="58">
        <v>1</v>
      </c>
      <c r="I230" s="59">
        <v>2.75</v>
      </c>
      <c r="J230" s="59">
        <v>1.6</v>
      </c>
      <c r="K230" s="59">
        <f>$N$13</f>
        <v>1.48</v>
      </c>
      <c r="L230" s="59">
        <f t="shared" si="29"/>
        <v>6.5119999999999996</v>
      </c>
      <c r="M230" s="55"/>
    </row>
    <row r="231" spans="1:13" ht="15.6">
      <c r="A231" s="22"/>
      <c r="B231" s="119" t="s">
        <v>81</v>
      </c>
      <c r="C231" s="118" t="s">
        <v>79</v>
      </c>
      <c r="D231" s="132"/>
      <c r="E231" s="132"/>
      <c r="F231" s="132"/>
      <c r="G231" s="132" t="s">
        <v>22</v>
      </c>
      <c r="H231" s="58">
        <v>1</v>
      </c>
      <c r="I231" s="59">
        <v>2.75</v>
      </c>
      <c r="J231" s="59">
        <v>1.6</v>
      </c>
      <c r="K231" s="59">
        <f>$N$13</f>
        <v>1.48</v>
      </c>
      <c r="L231" s="59">
        <f t="shared" si="29"/>
        <v>6.5119999999999996</v>
      </c>
      <c r="M231" s="55"/>
    </row>
    <row r="232" spans="1:13" ht="15.6">
      <c r="A232" s="22"/>
      <c r="B232" s="119" t="s">
        <v>81</v>
      </c>
      <c r="C232" s="118" t="s">
        <v>83</v>
      </c>
      <c r="D232" s="132"/>
      <c r="E232" s="132"/>
      <c r="F232" s="132"/>
      <c r="G232" s="132" t="s">
        <v>22</v>
      </c>
      <c r="H232" s="58">
        <v>1</v>
      </c>
      <c r="I232" s="59">
        <v>2.75</v>
      </c>
      <c r="J232" s="59">
        <v>1.6</v>
      </c>
      <c r="K232" s="59">
        <f>$N$13</f>
        <v>1.48</v>
      </c>
      <c r="L232" s="59">
        <f t="shared" si="29"/>
        <v>6.5119999999999996</v>
      </c>
      <c r="M232" s="55"/>
    </row>
    <row r="233" spans="1:13">
      <c r="A233" s="26"/>
      <c r="B233" s="25" t="s">
        <v>103</v>
      </c>
      <c r="C233" s="25"/>
      <c r="D233" s="25"/>
      <c r="E233" s="25"/>
      <c r="F233" s="25"/>
      <c r="G233" s="26"/>
      <c r="H233" s="27"/>
      <c r="I233" s="27"/>
      <c r="J233" s="27"/>
      <c r="K233" s="27"/>
      <c r="L233" s="27"/>
      <c r="M233" s="27"/>
    </row>
    <row r="234" spans="1:13" s="45" customFormat="1">
      <c r="A234" s="63"/>
      <c r="B234" s="2" t="s">
        <v>2</v>
      </c>
      <c r="C234" s="2" t="s">
        <v>3</v>
      </c>
      <c r="D234" s="63"/>
      <c r="F234" s="64"/>
      <c r="G234" s="96"/>
      <c r="H234" s="64"/>
      <c r="I234" s="64"/>
      <c r="J234" s="64"/>
      <c r="K234" s="64"/>
      <c r="L234" s="64"/>
      <c r="M234" s="64"/>
    </row>
    <row r="235" spans="1:13" s="70" customFormat="1">
      <c r="A235" s="88" t="s">
        <v>106</v>
      </c>
      <c r="B235" s="89" t="s">
        <v>4</v>
      </c>
      <c r="C235" s="89">
        <v>1</v>
      </c>
      <c r="D235" s="70">
        <v>1</v>
      </c>
      <c r="E235" s="70">
        <v>1</v>
      </c>
      <c r="F235" s="74">
        <v>0.25</v>
      </c>
      <c r="G235" s="98" t="s">
        <v>22</v>
      </c>
      <c r="H235" s="70">
        <v>-1</v>
      </c>
      <c r="I235" s="70">
        <f>D235</f>
        <v>1</v>
      </c>
      <c r="J235" s="70">
        <f>E235</f>
        <v>1</v>
      </c>
      <c r="K235" s="70">
        <v>0.1</v>
      </c>
      <c r="L235" s="70">
        <f>H235*I235*J235*K235</f>
        <v>-0.1</v>
      </c>
    </row>
    <row r="236" spans="1:13" s="70" customFormat="1">
      <c r="A236" s="88" t="s">
        <v>105</v>
      </c>
      <c r="B236" s="89" t="s">
        <v>4</v>
      </c>
      <c r="C236" s="73">
        <v>2</v>
      </c>
      <c r="D236" s="70">
        <v>1.5</v>
      </c>
      <c r="E236" s="70">
        <v>1.5</v>
      </c>
      <c r="F236" s="74">
        <v>0.4</v>
      </c>
      <c r="G236" s="98" t="s">
        <v>22</v>
      </c>
      <c r="H236" s="70">
        <v>-1</v>
      </c>
      <c r="I236" s="70">
        <f t="shared" ref="I236:J241" si="30">D236</f>
        <v>1.5</v>
      </c>
      <c r="J236" s="70">
        <f t="shared" si="30"/>
        <v>1.5</v>
      </c>
      <c r="K236" s="70">
        <v>0.1</v>
      </c>
      <c r="L236" s="70">
        <f t="shared" ref="L236:L241" si="31">H236*I236*J236*K236</f>
        <v>-0.22500000000000001</v>
      </c>
      <c r="M236" s="70" t="str">
        <f t="shared" ref="M236:M242" si="32">IF(I236=10,G236*H236*J236,"")</f>
        <v/>
      </c>
    </row>
    <row r="237" spans="1:13" s="70" customFormat="1">
      <c r="A237" s="88" t="s">
        <v>107</v>
      </c>
      <c r="B237" s="89" t="s">
        <v>4</v>
      </c>
      <c r="C237" s="89">
        <v>4</v>
      </c>
      <c r="D237" s="70">
        <v>1.5</v>
      </c>
      <c r="E237" s="97">
        <v>1.5</v>
      </c>
      <c r="F237" s="73">
        <v>0.4</v>
      </c>
      <c r="G237" s="98" t="s">
        <v>22</v>
      </c>
      <c r="H237" s="70">
        <v>-1</v>
      </c>
      <c r="I237" s="70">
        <f t="shared" si="30"/>
        <v>1.5</v>
      </c>
      <c r="J237" s="70">
        <f t="shared" si="30"/>
        <v>1.5</v>
      </c>
      <c r="K237" s="70">
        <v>0.1</v>
      </c>
      <c r="L237" s="70">
        <f t="shared" si="31"/>
        <v>-0.22500000000000001</v>
      </c>
      <c r="M237" s="70" t="str">
        <f t="shared" si="32"/>
        <v/>
      </c>
    </row>
    <row r="238" spans="1:13" s="70" customFormat="1">
      <c r="A238" s="88" t="s">
        <v>21</v>
      </c>
      <c r="B238" s="89" t="s">
        <v>4</v>
      </c>
      <c r="C238" s="73">
        <v>5</v>
      </c>
      <c r="D238" s="70">
        <v>1.1000000000000001</v>
      </c>
      <c r="E238" s="70">
        <v>1.1000000000000001</v>
      </c>
      <c r="F238" s="73">
        <v>0.25</v>
      </c>
      <c r="G238" s="98" t="s">
        <v>22</v>
      </c>
      <c r="H238" s="70">
        <v>-1</v>
      </c>
      <c r="I238" s="70">
        <f t="shared" si="30"/>
        <v>1.1000000000000001</v>
      </c>
      <c r="J238" s="70">
        <f t="shared" si="30"/>
        <v>1.1000000000000001</v>
      </c>
      <c r="K238" s="70">
        <v>0.1</v>
      </c>
      <c r="L238" s="70">
        <f t="shared" si="31"/>
        <v>-0.12100000000000002</v>
      </c>
      <c r="M238" s="70" t="str">
        <f t="shared" si="32"/>
        <v/>
      </c>
    </row>
    <row r="239" spans="1:13" s="70" customFormat="1">
      <c r="A239" s="88" t="s">
        <v>109</v>
      </c>
      <c r="B239" s="89" t="s">
        <v>4</v>
      </c>
      <c r="C239" s="73">
        <v>6</v>
      </c>
      <c r="D239" s="70">
        <v>1.2</v>
      </c>
      <c r="E239" s="70">
        <v>1.2</v>
      </c>
      <c r="F239" s="73">
        <v>0.3</v>
      </c>
      <c r="G239" s="98" t="s">
        <v>22</v>
      </c>
      <c r="H239" s="70">
        <v>-1</v>
      </c>
      <c r="I239" s="70">
        <f t="shared" si="30"/>
        <v>1.2</v>
      </c>
      <c r="J239" s="70">
        <f t="shared" si="30"/>
        <v>1.2</v>
      </c>
      <c r="K239" s="70">
        <v>0.1</v>
      </c>
      <c r="L239" s="70">
        <f t="shared" si="31"/>
        <v>-0.14399999999999999</v>
      </c>
      <c r="M239" s="70" t="str">
        <f t="shared" si="32"/>
        <v/>
      </c>
    </row>
    <row r="240" spans="1:13" s="70" customFormat="1">
      <c r="A240" s="88" t="s">
        <v>109</v>
      </c>
      <c r="B240" s="89" t="s">
        <v>4</v>
      </c>
      <c r="C240" s="89">
        <v>7</v>
      </c>
      <c r="D240" s="90">
        <v>1.2</v>
      </c>
      <c r="E240" s="90">
        <v>1.2</v>
      </c>
      <c r="F240" s="73">
        <v>0.3</v>
      </c>
      <c r="G240" s="98" t="s">
        <v>22</v>
      </c>
      <c r="H240" s="70">
        <v>-1</v>
      </c>
      <c r="I240" s="70">
        <f t="shared" si="30"/>
        <v>1.2</v>
      </c>
      <c r="J240" s="70">
        <f t="shared" si="30"/>
        <v>1.2</v>
      </c>
      <c r="K240" s="70">
        <v>0.1</v>
      </c>
      <c r="L240" s="70">
        <f t="shared" si="31"/>
        <v>-0.14399999999999999</v>
      </c>
      <c r="M240" s="70" t="str">
        <f t="shared" si="32"/>
        <v/>
      </c>
    </row>
    <row r="241" spans="1:19" s="70" customFormat="1">
      <c r="A241" s="88" t="s">
        <v>107</v>
      </c>
      <c r="B241" s="89" t="s">
        <v>8</v>
      </c>
      <c r="C241" s="89">
        <v>1</v>
      </c>
      <c r="D241" s="70">
        <v>1.5</v>
      </c>
      <c r="E241" s="70">
        <v>1.5</v>
      </c>
      <c r="F241" s="73">
        <v>0.4</v>
      </c>
      <c r="G241" s="98" t="s">
        <v>22</v>
      </c>
      <c r="H241" s="70">
        <v>-1</v>
      </c>
      <c r="I241" s="70">
        <f t="shared" si="30"/>
        <v>1.5</v>
      </c>
      <c r="J241" s="70">
        <f t="shared" si="30"/>
        <v>1.5</v>
      </c>
      <c r="K241" s="70">
        <v>0.1</v>
      </c>
      <c r="L241" s="70">
        <f t="shared" si="31"/>
        <v>-0.22500000000000001</v>
      </c>
      <c r="M241" s="70" t="str">
        <f t="shared" si="32"/>
        <v/>
      </c>
    </row>
    <row r="242" spans="1:19" s="70" customFormat="1">
      <c r="A242" s="2" t="s">
        <v>2</v>
      </c>
      <c r="B242" s="2" t="s">
        <v>3</v>
      </c>
      <c r="C242" s="2" t="s">
        <v>12</v>
      </c>
      <c r="D242" s="82"/>
      <c r="E242" s="73"/>
      <c r="F242" s="73"/>
      <c r="G242" s="98"/>
      <c r="K242" s="70" t="str">
        <f t="shared" ref="K242" si="33">IF(I242=6,G242*H242*J242,"")</f>
        <v/>
      </c>
      <c r="L242" s="70" t="str">
        <f t="shared" ref="L242" si="34">IF(I242=8,G242*H242*J242,"")</f>
        <v/>
      </c>
      <c r="M242" s="70" t="str">
        <f t="shared" si="32"/>
        <v/>
      </c>
      <c r="N242" s="70" t="str">
        <f t="shared" ref="N242" si="35">IF(I242=12,G242*H242*J242,"")</f>
        <v/>
      </c>
      <c r="O242" s="70" t="str">
        <f t="shared" ref="O242" si="36">IF(I242=14,G242*H242*J242,"")</f>
        <v/>
      </c>
      <c r="P242" s="70" t="str">
        <f t="shared" ref="P242" si="37">IF(I242=16,G242*H242*J242,"")</f>
        <v/>
      </c>
      <c r="Q242" s="70" t="str">
        <f t="shared" ref="Q242" si="38">IF(I242=20,G242*H242*J242,"")</f>
        <v/>
      </c>
      <c r="S242" s="70" t="str">
        <f t="shared" ref="S242" si="39">IF(I242=32,G242*H242*J242,"")</f>
        <v/>
      </c>
    </row>
    <row r="243" spans="1:19" s="70" customFormat="1">
      <c r="A243" s="71" t="s">
        <v>7</v>
      </c>
      <c r="B243" s="72" t="s">
        <v>70</v>
      </c>
      <c r="C243" s="89" t="s">
        <v>116</v>
      </c>
      <c r="D243" s="98"/>
      <c r="E243" s="98"/>
      <c r="F243" s="98"/>
      <c r="G243" s="98" t="s">
        <v>22</v>
      </c>
      <c r="H243" s="70">
        <v>-1</v>
      </c>
      <c r="I243" s="73">
        <v>4.8</v>
      </c>
      <c r="J243" s="73">
        <v>0.4</v>
      </c>
      <c r="K243" s="73">
        <v>0.1</v>
      </c>
      <c r="L243" s="70">
        <f>K243*J243*I243*H243</f>
        <v>-0.19200000000000003</v>
      </c>
    </row>
    <row r="244" spans="1:19" s="70" customFormat="1">
      <c r="A244" s="71" t="s">
        <v>7</v>
      </c>
      <c r="B244" s="72" t="s">
        <v>110</v>
      </c>
      <c r="C244" s="89" t="s">
        <v>116</v>
      </c>
      <c r="D244" s="98"/>
      <c r="E244" s="98"/>
      <c r="F244" s="98"/>
      <c r="G244" s="98" t="s">
        <v>22</v>
      </c>
      <c r="H244" s="70">
        <v>-1</v>
      </c>
      <c r="I244" s="73">
        <v>2.65</v>
      </c>
      <c r="J244" s="73">
        <v>0.4</v>
      </c>
      <c r="K244" s="73">
        <v>0.1</v>
      </c>
      <c r="L244" s="70">
        <f t="shared" ref="L244:L261" si="40">K244*J244*I244*H244</f>
        <v>-0.10600000000000001</v>
      </c>
    </row>
    <row r="245" spans="1:19" s="70" customFormat="1">
      <c r="A245" s="71" t="s">
        <v>7</v>
      </c>
      <c r="B245" s="72" t="s">
        <v>111</v>
      </c>
      <c r="C245" s="89" t="s">
        <v>116</v>
      </c>
      <c r="D245" s="98"/>
      <c r="E245" s="98"/>
      <c r="F245" s="98"/>
      <c r="G245" s="98" t="s">
        <v>22</v>
      </c>
      <c r="H245" s="70">
        <v>-1</v>
      </c>
      <c r="I245" s="73">
        <v>4.5999999999999996</v>
      </c>
      <c r="J245" s="73">
        <v>0.4</v>
      </c>
      <c r="K245" s="73">
        <v>0.1</v>
      </c>
      <c r="L245" s="70">
        <f t="shared" si="40"/>
        <v>-0.18400000000000002</v>
      </c>
    </row>
    <row r="246" spans="1:19" s="70" customFormat="1">
      <c r="A246" s="71" t="s">
        <v>8</v>
      </c>
      <c r="B246" s="72" t="s">
        <v>71</v>
      </c>
      <c r="C246" s="89" t="s">
        <v>14</v>
      </c>
      <c r="D246" s="98"/>
      <c r="E246" s="98"/>
      <c r="F246" s="98"/>
      <c r="G246" s="98" t="s">
        <v>22</v>
      </c>
      <c r="H246" s="70">
        <v>-1</v>
      </c>
      <c r="I246" s="73">
        <v>2.48</v>
      </c>
      <c r="J246" s="73">
        <v>0.4</v>
      </c>
      <c r="K246" s="73">
        <v>0.1</v>
      </c>
      <c r="L246" s="70">
        <f t="shared" si="40"/>
        <v>-9.9200000000000024E-2</v>
      </c>
    </row>
    <row r="247" spans="1:19" s="70" customFormat="1">
      <c r="A247" s="71" t="s">
        <v>8</v>
      </c>
      <c r="B247" s="72" t="s">
        <v>72</v>
      </c>
      <c r="C247" s="89" t="s">
        <v>14</v>
      </c>
      <c r="D247" s="98"/>
      <c r="E247" s="98"/>
      <c r="F247" s="98"/>
      <c r="G247" s="98" t="s">
        <v>22</v>
      </c>
      <c r="H247" s="70">
        <v>-1</v>
      </c>
      <c r="I247" s="73">
        <v>3.7</v>
      </c>
      <c r="J247" s="73">
        <v>0.4</v>
      </c>
      <c r="K247" s="73">
        <v>0.1</v>
      </c>
      <c r="L247" s="70">
        <f t="shared" si="40"/>
        <v>-0.14800000000000005</v>
      </c>
    </row>
    <row r="248" spans="1:19" s="70" customFormat="1">
      <c r="A248" s="71" t="s">
        <v>8</v>
      </c>
      <c r="B248" s="72" t="s">
        <v>73</v>
      </c>
      <c r="C248" s="89" t="s">
        <v>14</v>
      </c>
      <c r="D248" s="98"/>
      <c r="E248" s="98"/>
      <c r="F248" s="98"/>
      <c r="G248" s="98" t="s">
        <v>22</v>
      </c>
      <c r="H248" s="70">
        <v>-1</v>
      </c>
      <c r="I248" s="73">
        <v>3.7</v>
      </c>
      <c r="J248" s="73">
        <v>0.4</v>
      </c>
      <c r="K248" s="73">
        <v>0.1</v>
      </c>
      <c r="L248" s="70">
        <f t="shared" si="40"/>
        <v>-0.14800000000000005</v>
      </c>
    </row>
    <row r="249" spans="1:19" s="70" customFormat="1">
      <c r="A249" s="71" t="s">
        <v>8</v>
      </c>
      <c r="B249" s="72" t="s">
        <v>69</v>
      </c>
      <c r="C249" s="89" t="s">
        <v>14</v>
      </c>
      <c r="D249" s="98"/>
      <c r="E249" s="98"/>
      <c r="F249" s="98"/>
      <c r="G249" s="98" t="s">
        <v>22</v>
      </c>
      <c r="H249" s="70">
        <v>-1</v>
      </c>
      <c r="I249" s="73">
        <v>2.38</v>
      </c>
      <c r="J249" s="73">
        <v>0.4</v>
      </c>
      <c r="K249" s="73">
        <v>0.1</v>
      </c>
      <c r="L249" s="70">
        <f t="shared" si="40"/>
        <v>-9.5200000000000021E-2</v>
      </c>
    </row>
    <row r="250" spans="1:19" s="70" customFormat="1">
      <c r="A250" s="71" t="s">
        <v>9</v>
      </c>
      <c r="B250" s="72" t="s">
        <v>70</v>
      </c>
      <c r="C250" s="89" t="s">
        <v>116</v>
      </c>
      <c r="D250" s="98"/>
      <c r="E250" s="98"/>
      <c r="F250" s="98"/>
      <c r="G250" s="98" t="s">
        <v>22</v>
      </c>
      <c r="H250" s="70">
        <v>-1</v>
      </c>
      <c r="I250" s="73">
        <v>4.78</v>
      </c>
      <c r="J250" s="73">
        <v>0.4</v>
      </c>
      <c r="K250" s="73">
        <v>0.1</v>
      </c>
      <c r="L250" s="70">
        <f t="shared" si="40"/>
        <v>-0.19120000000000004</v>
      </c>
    </row>
    <row r="251" spans="1:19" s="70" customFormat="1">
      <c r="A251" s="71" t="s">
        <v>9</v>
      </c>
      <c r="B251" s="72" t="s">
        <v>110</v>
      </c>
      <c r="C251" s="89" t="s">
        <v>116</v>
      </c>
      <c r="D251" s="98"/>
      <c r="E251" s="98"/>
      <c r="F251" s="98"/>
      <c r="G251" s="98" t="s">
        <v>22</v>
      </c>
      <c r="H251" s="70">
        <v>-1</v>
      </c>
      <c r="I251" s="73">
        <v>2.65</v>
      </c>
      <c r="J251" s="73">
        <v>0.4</v>
      </c>
      <c r="K251" s="73">
        <v>0.1</v>
      </c>
      <c r="L251" s="70">
        <f t="shared" si="40"/>
        <v>-0.10600000000000001</v>
      </c>
    </row>
    <row r="252" spans="1:19" s="70" customFormat="1">
      <c r="A252" s="71" t="s">
        <v>25</v>
      </c>
      <c r="B252" s="72" t="s">
        <v>91</v>
      </c>
      <c r="C252" s="89" t="s">
        <v>14</v>
      </c>
      <c r="G252" s="98" t="s">
        <v>22</v>
      </c>
      <c r="H252" s="70">
        <v>-1</v>
      </c>
      <c r="I252" s="73">
        <f>3.82+0.4+0.82</f>
        <v>5.04</v>
      </c>
      <c r="J252" s="73">
        <v>0.4</v>
      </c>
      <c r="K252" s="73">
        <v>0.1</v>
      </c>
      <c r="L252" s="70">
        <f t="shared" si="40"/>
        <v>-0.20160000000000003</v>
      </c>
    </row>
    <row r="253" spans="1:19" s="70" customFormat="1">
      <c r="A253" s="89" t="s">
        <v>25</v>
      </c>
      <c r="B253" s="72" t="s">
        <v>79</v>
      </c>
      <c r="C253" s="89" t="s">
        <v>14</v>
      </c>
      <c r="D253" s="98"/>
      <c r="E253" s="98"/>
      <c r="F253" s="98"/>
      <c r="G253" s="98" t="s">
        <v>22</v>
      </c>
      <c r="H253" s="70">
        <v>-1</v>
      </c>
      <c r="I253" s="73">
        <v>5.04</v>
      </c>
      <c r="J253" s="73">
        <v>0.4</v>
      </c>
      <c r="K253" s="73">
        <v>0.1</v>
      </c>
      <c r="L253" s="70">
        <f t="shared" si="40"/>
        <v>-0.20160000000000003</v>
      </c>
    </row>
    <row r="254" spans="1:19" s="70" customFormat="1">
      <c r="A254" s="71" t="s">
        <v>113</v>
      </c>
      <c r="B254" s="72" t="s">
        <v>83</v>
      </c>
      <c r="C254" s="89" t="s">
        <v>116</v>
      </c>
      <c r="D254" s="98"/>
      <c r="E254" s="98"/>
      <c r="F254" s="98"/>
      <c r="G254" s="98" t="s">
        <v>22</v>
      </c>
      <c r="H254" s="70">
        <v>-1</v>
      </c>
      <c r="I254" s="73">
        <f>3.82+0.4+0.82+1.08</f>
        <v>6.12</v>
      </c>
      <c r="J254" s="73">
        <v>0.4</v>
      </c>
      <c r="K254" s="73">
        <v>0.1</v>
      </c>
      <c r="L254" s="70">
        <f t="shared" si="40"/>
        <v>-0.24480000000000005</v>
      </c>
    </row>
    <row r="255" spans="1:19" s="70" customFormat="1">
      <c r="A255" s="71" t="s">
        <v>113</v>
      </c>
      <c r="B255" s="72" t="s">
        <v>87</v>
      </c>
      <c r="C255" s="89" t="s">
        <v>116</v>
      </c>
      <c r="G255" s="98" t="s">
        <v>22</v>
      </c>
      <c r="H255" s="70">
        <v>-1</v>
      </c>
      <c r="I255" s="73">
        <v>6.12</v>
      </c>
      <c r="J255" s="73">
        <v>0.4</v>
      </c>
      <c r="K255" s="73">
        <v>0.1</v>
      </c>
      <c r="L255" s="70">
        <f t="shared" si="40"/>
        <v>-0.24480000000000005</v>
      </c>
    </row>
    <row r="256" spans="1:19" s="70" customFormat="1">
      <c r="A256" s="89" t="s">
        <v>113</v>
      </c>
      <c r="B256" s="72" t="s">
        <v>112</v>
      </c>
      <c r="C256" s="89" t="s">
        <v>116</v>
      </c>
      <c r="D256" s="98"/>
      <c r="E256" s="98"/>
      <c r="F256" s="98"/>
      <c r="G256" s="98" t="s">
        <v>22</v>
      </c>
      <c r="H256" s="70">
        <v>-1</v>
      </c>
      <c r="I256" s="73">
        <v>6.12</v>
      </c>
      <c r="J256" s="73">
        <v>0.4</v>
      </c>
      <c r="K256" s="73">
        <v>0.1</v>
      </c>
      <c r="L256" s="70">
        <f t="shared" si="40"/>
        <v>-0.24480000000000005</v>
      </c>
    </row>
    <row r="257" spans="1:12" s="70" customFormat="1">
      <c r="A257" s="71" t="s">
        <v>114</v>
      </c>
      <c r="B257" s="72" t="s">
        <v>91</v>
      </c>
      <c r="C257" s="89" t="s">
        <v>14</v>
      </c>
      <c r="D257" s="98"/>
      <c r="E257" s="98"/>
      <c r="F257" s="98"/>
      <c r="G257" s="98" t="s">
        <v>22</v>
      </c>
      <c r="H257" s="70">
        <v>-1</v>
      </c>
      <c r="I257" s="73">
        <f>1.8+0.15+3.82</f>
        <v>5.77</v>
      </c>
      <c r="J257" s="73">
        <v>0.4</v>
      </c>
      <c r="K257" s="73">
        <v>0.1</v>
      </c>
      <c r="L257" s="70">
        <f t="shared" si="40"/>
        <v>-0.23080000000000003</v>
      </c>
    </row>
    <row r="258" spans="1:12" s="70" customFormat="1">
      <c r="A258" s="71" t="s">
        <v>114</v>
      </c>
      <c r="B258" s="72" t="s">
        <v>82</v>
      </c>
      <c r="C258" s="89" t="s">
        <v>14</v>
      </c>
      <c r="D258" s="98"/>
      <c r="E258" s="98"/>
      <c r="F258" s="98"/>
      <c r="G258" s="98" t="s">
        <v>22</v>
      </c>
      <c r="H258" s="70">
        <v>-1</v>
      </c>
      <c r="I258" s="73">
        <v>5.77</v>
      </c>
      <c r="J258" s="73">
        <v>0.4</v>
      </c>
      <c r="K258" s="73">
        <v>0.1</v>
      </c>
      <c r="L258" s="70">
        <f t="shared" si="40"/>
        <v>-0.23080000000000003</v>
      </c>
    </row>
    <row r="259" spans="1:12" s="70" customFormat="1">
      <c r="A259" s="71" t="s">
        <v>115</v>
      </c>
      <c r="B259" s="72" t="s">
        <v>83</v>
      </c>
      <c r="C259" s="89" t="s">
        <v>116</v>
      </c>
      <c r="D259" s="98"/>
      <c r="E259" s="98"/>
      <c r="F259" s="98"/>
      <c r="G259" s="98" t="s">
        <v>22</v>
      </c>
      <c r="H259" s="70">
        <v>-1</v>
      </c>
      <c r="I259" s="73">
        <f>3.82+0.15</f>
        <v>3.9699999999999998</v>
      </c>
      <c r="J259" s="73">
        <v>0.4</v>
      </c>
      <c r="K259" s="73">
        <v>0.1</v>
      </c>
      <c r="L259" s="70">
        <f t="shared" si="40"/>
        <v>-0.15880000000000002</v>
      </c>
    </row>
    <row r="260" spans="1:12" s="70" customFormat="1">
      <c r="A260" s="71" t="s">
        <v>115</v>
      </c>
      <c r="B260" s="72" t="s">
        <v>87</v>
      </c>
      <c r="C260" s="89" t="s">
        <v>116</v>
      </c>
      <c r="D260" s="98"/>
      <c r="E260" s="98"/>
      <c r="F260" s="98"/>
      <c r="G260" s="98" t="s">
        <v>22</v>
      </c>
      <c r="H260" s="70">
        <v>-1</v>
      </c>
      <c r="I260" s="73">
        <f>0.15+3.82</f>
        <v>3.9699999999999998</v>
      </c>
      <c r="J260" s="73">
        <v>0.4</v>
      </c>
      <c r="K260" s="73">
        <v>0.1</v>
      </c>
      <c r="L260" s="70">
        <f t="shared" si="40"/>
        <v>-0.15880000000000002</v>
      </c>
    </row>
    <row r="261" spans="1:12" s="70" customFormat="1">
      <c r="A261" s="71" t="s">
        <v>115</v>
      </c>
      <c r="B261" s="72" t="s">
        <v>112</v>
      </c>
      <c r="C261" s="89" t="s">
        <v>116</v>
      </c>
      <c r="D261" s="98"/>
      <c r="E261" s="98"/>
      <c r="F261" s="98"/>
      <c r="G261" s="98" t="s">
        <v>22</v>
      </c>
      <c r="H261" s="70">
        <v>-1</v>
      </c>
      <c r="I261" s="73">
        <f>0.15+3.82</f>
        <v>3.9699999999999998</v>
      </c>
      <c r="J261" s="73">
        <v>0.4</v>
      </c>
      <c r="K261" s="73">
        <v>0.1</v>
      </c>
      <c r="L261" s="70">
        <f t="shared" si="40"/>
        <v>-0.15880000000000002</v>
      </c>
    </row>
    <row r="262" spans="1:12" s="70" customFormat="1">
      <c r="A262" s="2" t="s">
        <v>2</v>
      </c>
      <c r="B262" s="2" t="s">
        <v>3</v>
      </c>
      <c r="C262" s="2" t="s">
        <v>12</v>
      </c>
      <c r="D262" s="63"/>
      <c r="E262" s="73"/>
      <c r="F262" s="73"/>
      <c r="G262" s="98"/>
    </row>
    <row r="263" spans="1:12" s="70" customFormat="1">
      <c r="A263" s="72" t="s">
        <v>4</v>
      </c>
      <c r="B263" s="72" t="s">
        <v>71</v>
      </c>
      <c r="C263" s="73" t="s">
        <v>84</v>
      </c>
      <c r="D263" s="98"/>
      <c r="E263" s="98"/>
      <c r="F263" s="98"/>
      <c r="G263" s="98" t="s">
        <v>22</v>
      </c>
      <c r="H263" s="70">
        <v>-1</v>
      </c>
      <c r="I263" s="73">
        <v>2.48</v>
      </c>
      <c r="J263" s="73">
        <v>0.5</v>
      </c>
      <c r="K263" s="73">
        <v>0.1</v>
      </c>
      <c r="L263" s="70">
        <f t="shared" ref="L263:L268" si="41">K263*J263*I263*H263</f>
        <v>-0.124</v>
      </c>
    </row>
    <row r="264" spans="1:12" s="70" customFormat="1">
      <c r="A264" s="72" t="s">
        <v>4</v>
      </c>
      <c r="B264" s="72" t="s">
        <v>117</v>
      </c>
      <c r="C264" s="73" t="s">
        <v>84</v>
      </c>
      <c r="D264" s="98"/>
      <c r="E264" s="98"/>
      <c r="F264" s="98"/>
      <c r="G264" s="98" t="s">
        <v>22</v>
      </c>
      <c r="H264" s="70">
        <v>-1</v>
      </c>
      <c r="I264" s="73">
        <v>7.25</v>
      </c>
      <c r="J264" s="73">
        <v>0.5</v>
      </c>
      <c r="K264" s="73">
        <v>0.1</v>
      </c>
      <c r="L264" s="70">
        <f t="shared" si="41"/>
        <v>-0.36250000000000004</v>
      </c>
    </row>
    <row r="265" spans="1:12" s="70" customFormat="1">
      <c r="A265" s="72" t="s">
        <v>4</v>
      </c>
      <c r="B265" s="72" t="s">
        <v>69</v>
      </c>
      <c r="C265" s="73" t="s">
        <v>84</v>
      </c>
      <c r="D265" s="98"/>
      <c r="E265" s="98"/>
      <c r="F265" s="98"/>
      <c r="G265" s="98" t="s">
        <v>22</v>
      </c>
      <c r="H265" s="70">
        <v>-1</v>
      </c>
      <c r="I265" s="73">
        <v>2.38</v>
      </c>
      <c r="J265" s="73">
        <v>0.5</v>
      </c>
      <c r="K265" s="73">
        <v>0.1</v>
      </c>
      <c r="L265" s="70">
        <f t="shared" si="41"/>
        <v>-0.11899999999999999</v>
      </c>
    </row>
    <row r="266" spans="1:12" s="70" customFormat="1">
      <c r="A266" s="72" t="s">
        <v>4</v>
      </c>
      <c r="B266" s="72" t="s">
        <v>70</v>
      </c>
      <c r="C266" s="73" t="s">
        <v>84</v>
      </c>
      <c r="D266" s="98"/>
      <c r="E266" s="98"/>
      <c r="F266" s="98"/>
      <c r="G266" s="98" t="s">
        <v>22</v>
      </c>
      <c r="H266" s="70">
        <v>-1</v>
      </c>
      <c r="I266" s="73">
        <v>4.78</v>
      </c>
      <c r="J266" s="73">
        <v>0.5</v>
      </c>
      <c r="K266" s="73">
        <v>0.1</v>
      </c>
      <c r="L266" s="70">
        <f t="shared" si="41"/>
        <v>-0.23900000000000002</v>
      </c>
    </row>
    <row r="267" spans="1:12" s="70" customFormat="1">
      <c r="A267" s="72" t="s">
        <v>4</v>
      </c>
      <c r="B267" s="72" t="s">
        <v>110</v>
      </c>
      <c r="C267" s="73" t="s">
        <v>84</v>
      </c>
      <c r="D267" s="98"/>
      <c r="E267" s="98"/>
      <c r="F267" s="98"/>
      <c r="G267" s="98" t="s">
        <v>22</v>
      </c>
      <c r="H267" s="70">
        <v>-1</v>
      </c>
      <c r="I267" s="73">
        <v>2.65</v>
      </c>
      <c r="J267" s="73">
        <v>0.5</v>
      </c>
      <c r="K267" s="73">
        <v>0.1</v>
      </c>
      <c r="L267" s="70">
        <f t="shared" si="41"/>
        <v>-0.13250000000000001</v>
      </c>
    </row>
    <row r="268" spans="1:12" s="70" customFormat="1">
      <c r="A268" s="72" t="s">
        <v>4</v>
      </c>
      <c r="B268" s="72" t="s">
        <v>111</v>
      </c>
      <c r="C268" s="73" t="s">
        <v>84</v>
      </c>
      <c r="D268" s="98"/>
      <c r="E268" s="98"/>
      <c r="F268" s="98"/>
      <c r="G268" s="98" t="s">
        <v>22</v>
      </c>
      <c r="H268" s="70">
        <v>-1</v>
      </c>
      <c r="I268" s="73">
        <v>4.5999999999999996</v>
      </c>
      <c r="J268" s="73">
        <v>0.5</v>
      </c>
      <c r="K268" s="73">
        <v>0.1</v>
      </c>
      <c r="L268" s="70">
        <f t="shared" si="41"/>
        <v>-0.22999999999999998</v>
      </c>
    </row>
    <row r="269" spans="1:12" s="70" customFormat="1">
      <c r="A269" s="72" t="s">
        <v>11</v>
      </c>
      <c r="B269" s="72" t="s">
        <v>71</v>
      </c>
      <c r="C269" s="73" t="s">
        <v>84</v>
      </c>
      <c r="D269" s="98"/>
      <c r="E269" s="98"/>
      <c r="F269" s="98"/>
      <c r="G269" s="98" t="s">
        <v>22</v>
      </c>
      <c r="H269" s="70">
        <v>-1</v>
      </c>
      <c r="I269" s="73">
        <v>2.48</v>
      </c>
      <c r="J269" s="73">
        <v>0.5</v>
      </c>
      <c r="K269" s="73">
        <v>0.1</v>
      </c>
      <c r="L269" s="70">
        <f>K269*J269*I269*H269</f>
        <v>-0.124</v>
      </c>
    </row>
    <row r="270" spans="1:12" s="70" customFormat="1">
      <c r="A270" s="89" t="s">
        <v>11</v>
      </c>
      <c r="B270" s="72" t="s">
        <v>117</v>
      </c>
      <c r="C270" s="73" t="s">
        <v>84</v>
      </c>
      <c r="D270" s="98"/>
      <c r="E270" s="98"/>
      <c r="F270" s="98"/>
      <c r="G270" s="98" t="s">
        <v>22</v>
      </c>
      <c r="H270" s="70">
        <v>-1</v>
      </c>
      <c r="I270" s="73">
        <v>7.25</v>
      </c>
      <c r="J270" s="73">
        <v>0.5</v>
      </c>
      <c r="K270" s="73">
        <v>0.1</v>
      </c>
      <c r="L270" s="70">
        <f t="shared" ref="L270:L279" si="42">K270*J270*I270*H270</f>
        <v>-0.36250000000000004</v>
      </c>
    </row>
    <row r="271" spans="1:12" s="70" customFormat="1">
      <c r="A271" s="89" t="s">
        <v>11</v>
      </c>
      <c r="B271" s="72" t="s">
        <v>69</v>
      </c>
      <c r="C271" s="73" t="s">
        <v>84</v>
      </c>
      <c r="D271" s="98"/>
      <c r="E271" s="98"/>
      <c r="F271" s="98"/>
      <c r="G271" s="98" t="s">
        <v>22</v>
      </c>
      <c r="H271" s="70">
        <v>-1</v>
      </c>
      <c r="I271" s="73">
        <v>2.38</v>
      </c>
      <c r="J271" s="73">
        <v>0.5</v>
      </c>
      <c r="K271" s="73">
        <v>0.1</v>
      </c>
      <c r="L271" s="70">
        <f t="shared" si="42"/>
        <v>-0.11899999999999999</v>
      </c>
    </row>
    <row r="272" spans="1:12" s="70" customFormat="1">
      <c r="A272" s="89" t="s">
        <v>11</v>
      </c>
      <c r="B272" s="72" t="s">
        <v>70</v>
      </c>
      <c r="C272" s="73" t="s">
        <v>84</v>
      </c>
      <c r="D272" s="98"/>
      <c r="E272" s="98"/>
      <c r="F272" s="98"/>
      <c r="G272" s="98" t="s">
        <v>22</v>
      </c>
      <c r="H272" s="70">
        <v>-1</v>
      </c>
      <c r="I272" s="73">
        <v>4.78</v>
      </c>
      <c r="J272" s="73">
        <v>0.5</v>
      </c>
      <c r="K272" s="73">
        <v>0.1</v>
      </c>
      <c r="L272" s="70">
        <f t="shared" si="42"/>
        <v>-0.23900000000000002</v>
      </c>
    </row>
    <row r="273" spans="1:18" s="70" customFormat="1">
      <c r="A273" s="89" t="s">
        <v>11</v>
      </c>
      <c r="B273" s="72" t="s">
        <v>110</v>
      </c>
      <c r="C273" s="73" t="s">
        <v>84</v>
      </c>
      <c r="D273" s="98"/>
      <c r="E273" s="98"/>
      <c r="F273" s="98"/>
      <c r="G273" s="98" t="s">
        <v>22</v>
      </c>
      <c r="H273" s="70">
        <v>-1</v>
      </c>
      <c r="I273" s="73">
        <v>2.65</v>
      </c>
      <c r="J273" s="73">
        <v>0.5</v>
      </c>
      <c r="K273" s="73">
        <v>0.1</v>
      </c>
      <c r="L273" s="70">
        <f t="shared" si="42"/>
        <v>-0.13250000000000001</v>
      </c>
    </row>
    <row r="274" spans="1:18" s="70" customFormat="1">
      <c r="A274" s="89" t="s">
        <v>11</v>
      </c>
      <c r="B274" s="72" t="s">
        <v>111</v>
      </c>
      <c r="C274" s="73" t="s">
        <v>84</v>
      </c>
      <c r="D274" s="98"/>
      <c r="E274" s="98"/>
      <c r="F274" s="98"/>
      <c r="G274" s="98" t="s">
        <v>22</v>
      </c>
      <c r="H274" s="70">
        <v>-1</v>
      </c>
      <c r="I274" s="73">
        <v>4.5999999999999996</v>
      </c>
      <c r="J274" s="73">
        <v>0.5</v>
      </c>
      <c r="K274" s="73">
        <v>0.1</v>
      </c>
      <c r="L274" s="70">
        <f t="shared" si="42"/>
        <v>-0.22999999999999998</v>
      </c>
    </row>
    <row r="275" spans="1:18" s="70" customFormat="1">
      <c r="A275" s="89" t="s">
        <v>25</v>
      </c>
      <c r="B275" s="72" t="s">
        <v>80</v>
      </c>
      <c r="C275" s="73" t="s">
        <v>84</v>
      </c>
      <c r="D275" s="98"/>
      <c r="E275" s="98"/>
      <c r="F275" s="98"/>
      <c r="G275" s="98" t="s">
        <v>22</v>
      </c>
      <c r="H275" s="70">
        <v>-1</v>
      </c>
      <c r="I275" s="73">
        <f>3.82+0.4+0.82</f>
        <v>5.04</v>
      </c>
      <c r="J275" s="73">
        <v>0.5</v>
      </c>
      <c r="K275" s="73">
        <v>0.1</v>
      </c>
      <c r="L275" s="70">
        <f t="shared" si="42"/>
        <v>-0.252</v>
      </c>
    </row>
    <row r="276" spans="1:18" s="70" customFormat="1">
      <c r="A276" s="72" t="s">
        <v>114</v>
      </c>
      <c r="B276" s="72" t="s">
        <v>80</v>
      </c>
      <c r="C276" s="73" t="s">
        <v>84</v>
      </c>
      <c r="D276" s="98"/>
      <c r="E276" s="98"/>
      <c r="F276" s="98"/>
      <c r="G276" s="98" t="s">
        <v>22</v>
      </c>
      <c r="H276" s="70">
        <v>-1</v>
      </c>
      <c r="I276" s="73">
        <f>1.08+0.15+3.82</f>
        <v>5.05</v>
      </c>
      <c r="J276" s="73">
        <v>0.5</v>
      </c>
      <c r="K276" s="73">
        <v>0.1</v>
      </c>
      <c r="L276" s="70">
        <f t="shared" si="42"/>
        <v>-0.2525</v>
      </c>
    </row>
    <row r="277" spans="1:18" s="70" customFormat="1">
      <c r="A277" s="72" t="s">
        <v>85</v>
      </c>
      <c r="B277" s="72" t="s">
        <v>118</v>
      </c>
      <c r="C277" s="73" t="s">
        <v>84</v>
      </c>
      <c r="D277" s="98"/>
      <c r="E277" s="98"/>
      <c r="F277" s="98"/>
      <c r="G277" s="98" t="s">
        <v>22</v>
      </c>
      <c r="H277" s="70">
        <v>-1</v>
      </c>
      <c r="I277" s="73">
        <f>3.82+0.4</f>
        <v>4.22</v>
      </c>
      <c r="J277" s="73">
        <v>0.5</v>
      </c>
      <c r="K277" s="73">
        <v>0.1</v>
      </c>
      <c r="L277" s="70">
        <f t="shared" si="42"/>
        <v>-0.21099999999999999</v>
      </c>
    </row>
    <row r="278" spans="1:18" s="70" customFormat="1">
      <c r="A278" s="89" t="s">
        <v>119</v>
      </c>
      <c r="B278" s="72" t="s">
        <v>118</v>
      </c>
      <c r="C278" s="73" t="s">
        <v>84</v>
      </c>
      <c r="D278" s="98"/>
      <c r="E278" s="98"/>
      <c r="F278" s="98"/>
      <c r="G278" s="98" t="s">
        <v>22</v>
      </c>
      <c r="H278" s="70">
        <v>-1</v>
      </c>
      <c r="I278" s="73">
        <f>0.82+1.08</f>
        <v>1.9</v>
      </c>
      <c r="J278" s="73">
        <v>0.5</v>
      </c>
      <c r="K278" s="73">
        <v>0.1</v>
      </c>
      <c r="L278" s="70">
        <f t="shared" si="42"/>
        <v>-9.5000000000000001E-2</v>
      </c>
    </row>
    <row r="279" spans="1:18" s="70" customFormat="1">
      <c r="A279" s="89" t="s">
        <v>115</v>
      </c>
      <c r="B279" s="72" t="s">
        <v>118</v>
      </c>
      <c r="C279" s="73" t="s">
        <v>84</v>
      </c>
      <c r="D279" s="98"/>
      <c r="E279" s="98"/>
      <c r="F279" s="98"/>
      <c r="G279" s="98" t="s">
        <v>22</v>
      </c>
      <c r="H279" s="70">
        <v>-1</v>
      </c>
      <c r="I279" s="73">
        <f>0.15+3.82</f>
        <v>3.9699999999999998</v>
      </c>
      <c r="J279" s="73">
        <v>0.5</v>
      </c>
      <c r="K279" s="73">
        <v>0.1</v>
      </c>
      <c r="L279" s="70">
        <f t="shared" si="42"/>
        <v>-0.19850000000000001</v>
      </c>
    </row>
    <row r="280" spans="1:18" ht="13.8" customHeight="1">
      <c r="A280" s="19"/>
      <c r="B280" s="2" t="s">
        <v>2</v>
      </c>
      <c r="C280" s="2" t="s">
        <v>3</v>
      </c>
      <c r="D280" s="132"/>
      <c r="E280" s="132"/>
      <c r="F280" s="132"/>
      <c r="G280" s="132"/>
      <c r="H280" s="70"/>
      <c r="I280" s="59"/>
      <c r="J280" s="59"/>
      <c r="K280" s="59"/>
      <c r="L280" s="59"/>
      <c r="M280" s="59"/>
    </row>
    <row r="281" spans="1:18" s="49" customFormat="1">
      <c r="A281" s="83" t="s">
        <v>109</v>
      </c>
      <c r="B281" s="66" t="s">
        <v>4</v>
      </c>
      <c r="C281" s="66">
        <v>8</v>
      </c>
      <c r="F281" s="68"/>
      <c r="G281" s="67" t="s">
        <v>22</v>
      </c>
      <c r="H281" s="70">
        <v>-1</v>
      </c>
      <c r="I281" s="49">
        <v>1.2</v>
      </c>
      <c r="J281" s="49">
        <v>1.2</v>
      </c>
      <c r="K281" s="49">
        <v>0.5</v>
      </c>
      <c r="L281" s="87">
        <f t="shared" ref="L281:L296" si="43">K281*J281*I281*H281</f>
        <v>-0.72</v>
      </c>
      <c r="R281" s="68"/>
    </row>
    <row r="282" spans="1:18" s="49" customFormat="1">
      <c r="A282" s="83" t="s">
        <v>108</v>
      </c>
      <c r="B282" s="66" t="s">
        <v>6</v>
      </c>
      <c r="C282" s="66">
        <v>5</v>
      </c>
      <c r="D282" s="87"/>
      <c r="E282" s="87"/>
      <c r="F282" s="68"/>
      <c r="G282" s="67" t="s">
        <v>22</v>
      </c>
      <c r="H282" s="70">
        <v>-1</v>
      </c>
      <c r="I282" s="87">
        <v>1.5</v>
      </c>
      <c r="J282" s="87">
        <v>1.5</v>
      </c>
      <c r="K282" s="49">
        <v>0.5</v>
      </c>
      <c r="L282" s="87">
        <f t="shared" si="43"/>
        <v>-1.125</v>
      </c>
      <c r="R282" s="73"/>
    </row>
    <row r="283" spans="1:18">
      <c r="A283" s="88" t="s">
        <v>107</v>
      </c>
      <c r="B283" s="89" t="s">
        <v>7</v>
      </c>
      <c r="C283" s="89">
        <v>6</v>
      </c>
      <c r="D283" s="90"/>
      <c r="E283" s="90"/>
      <c r="F283" s="73"/>
      <c r="G283" s="98" t="s">
        <v>22</v>
      </c>
      <c r="H283" s="70">
        <v>-1</v>
      </c>
      <c r="I283" s="90">
        <v>1.5</v>
      </c>
      <c r="J283" s="90">
        <v>1.5</v>
      </c>
      <c r="K283" s="70">
        <v>0.5</v>
      </c>
      <c r="L283" s="87">
        <f t="shared" si="43"/>
        <v>-1.125</v>
      </c>
      <c r="M283" s="55"/>
      <c r="R283" s="73"/>
    </row>
    <row r="284" spans="1:18">
      <c r="A284" s="88" t="s">
        <v>107</v>
      </c>
      <c r="B284" s="89" t="s">
        <v>7</v>
      </c>
      <c r="C284" s="89">
        <v>7</v>
      </c>
      <c r="D284" s="90"/>
      <c r="E284" s="90"/>
      <c r="F284" s="73"/>
      <c r="G284" s="98" t="s">
        <v>22</v>
      </c>
      <c r="H284" s="70">
        <v>-1</v>
      </c>
      <c r="I284" s="90">
        <v>1.5</v>
      </c>
      <c r="J284" s="90">
        <v>1.5</v>
      </c>
      <c r="K284" s="70">
        <v>0.5</v>
      </c>
      <c r="L284" s="87">
        <f t="shared" si="43"/>
        <v>-1.125</v>
      </c>
      <c r="M284" s="55"/>
      <c r="R284" s="73"/>
    </row>
    <row r="285" spans="1:18">
      <c r="A285" s="88" t="s">
        <v>109</v>
      </c>
      <c r="B285" s="89" t="s">
        <v>7</v>
      </c>
      <c r="C285" s="89">
        <v>8</v>
      </c>
      <c r="D285" s="90"/>
      <c r="E285" s="90"/>
      <c r="F285" s="73"/>
      <c r="G285" s="98" t="s">
        <v>22</v>
      </c>
      <c r="H285" s="70">
        <v>-1</v>
      </c>
      <c r="I285" s="90">
        <v>1.2</v>
      </c>
      <c r="J285" s="90">
        <v>1.2</v>
      </c>
      <c r="K285" s="70">
        <v>0.5</v>
      </c>
      <c r="L285" s="87">
        <f t="shared" si="43"/>
        <v>-0.72</v>
      </c>
      <c r="M285" s="55"/>
      <c r="R285" s="73"/>
    </row>
    <row r="286" spans="1:18">
      <c r="A286" s="88" t="s">
        <v>108</v>
      </c>
      <c r="B286" s="89" t="s">
        <v>9</v>
      </c>
      <c r="C286" s="89">
        <v>5</v>
      </c>
      <c r="D286" s="90"/>
      <c r="E286" s="90"/>
      <c r="F286" s="73"/>
      <c r="G286" s="98" t="s">
        <v>22</v>
      </c>
      <c r="H286" s="70">
        <v>-1</v>
      </c>
      <c r="I286" s="90">
        <v>1.5</v>
      </c>
      <c r="J286" s="90">
        <v>1.3</v>
      </c>
      <c r="K286" s="70">
        <v>0.5</v>
      </c>
      <c r="L286" s="87">
        <f t="shared" si="43"/>
        <v>-0.97500000000000009</v>
      </c>
      <c r="M286" s="55"/>
      <c r="R286" s="73"/>
    </row>
    <row r="287" spans="1:18">
      <c r="A287" s="88" t="s">
        <v>107</v>
      </c>
      <c r="B287" s="89" t="s">
        <v>9</v>
      </c>
      <c r="C287" s="89">
        <v>6</v>
      </c>
      <c r="D287" s="90"/>
      <c r="E287" s="90"/>
      <c r="F287" s="73"/>
      <c r="G287" s="98" t="s">
        <v>22</v>
      </c>
      <c r="H287" s="70">
        <v>-1</v>
      </c>
      <c r="I287" s="90">
        <v>1.5</v>
      </c>
      <c r="J287" s="90">
        <v>1.5</v>
      </c>
      <c r="K287" s="70">
        <v>0.5</v>
      </c>
      <c r="L287" s="87">
        <f t="shared" si="43"/>
        <v>-1.125</v>
      </c>
      <c r="M287" s="55"/>
      <c r="R287" s="73"/>
    </row>
    <row r="288" spans="1:18">
      <c r="A288" s="88" t="s">
        <v>107</v>
      </c>
      <c r="B288" s="89" t="s">
        <v>9</v>
      </c>
      <c r="C288" s="89">
        <v>7</v>
      </c>
      <c r="D288" s="90"/>
      <c r="E288" s="90"/>
      <c r="F288" s="73"/>
      <c r="G288" s="98" t="s">
        <v>22</v>
      </c>
      <c r="H288" s="70">
        <v>-1</v>
      </c>
      <c r="I288" s="90">
        <v>1.5</v>
      </c>
      <c r="J288" s="90">
        <v>1.5</v>
      </c>
      <c r="K288" s="70">
        <v>0.5</v>
      </c>
      <c r="L288" s="87">
        <f t="shared" si="43"/>
        <v>-1.125</v>
      </c>
      <c r="M288" s="55"/>
      <c r="R288" s="73"/>
    </row>
    <row r="289" spans="1:18">
      <c r="A289" s="88" t="s">
        <v>109</v>
      </c>
      <c r="B289" s="89" t="s">
        <v>9</v>
      </c>
      <c r="C289" s="89">
        <v>8</v>
      </c>
      <c r="D289" s="90"/>
      <c r="E289" s="90"/>
      <c r="F289" s="73"/>
      <c r="G289" s="98" t="s">
        <v>22</v>
      </c>
      <c r="H289" s="70">
        <v>-1</v>
      </c>
      <c r="I289" s="90">
        <v>1.2</v>
      </c>
      <c r="J289" s="90">
        <v>1.2</v>
      </c>
      <c r="K289" s="70">
        <v>0.5</v>
      </c>
      <c r="L289" s="87">
        <f t="shared" si="43"/>
        <v>-0.72</v>
      </c>
      <c r="M289" s="55"/>
      <c r="R289" s="73"/>
    </row>
    <row r="290" spans="1:18">
      <c r="A290" s="88" t="s">
        <v>20</v>
      </c>
      <c r="B290" s="89" t="s">
        <v>11</v>
      </c>
      <c r="C290" s="89">
        <v>1</v>
      </c>
      <c r="D290" s="70"/>
      <c r="E290" s="70"/>
      <c r="F290" s="73"/>
      <c r="G290" s="98" t="s">
        <v>22</v>
      </c>
      <c r="H290" s="70">
        <v>-1</v>
      </c>
      <c r="I290" s="70">
        <v>1</v>
      </c>
      <c r="J290" s="70">
        <v>1</v>
      </c>
      <c r="K290" s="70">
        <v>0.5</v>
      </c>
      <c r="L290" s="87">
        <f t="shared" si="43"/>
        <v>-0.5</v>
      </c>
      <c r="M290" s="55"/>
      <c r="R290" s="73"/>
    </row>
    <row r="291" spans="1:18">
      <c r="A291" s="88" t="s">
        <v>107</v>
      </c>
      <c r="B291" s="89" t="s">
        <v>11</v>
      </c>
      <c r="C291" s="89">
        <v>2</v>
      </c>
      <c r="D291" s="70"/>
      <c r="E291" s="70"/>
      <c r="F291" s="73"/>
      <c r="G291" s="98" t="s">
        <v>22</v>
      </c>
      <c r="H291" s="70">
        <v>-1</v>
      </c>
      <c r="I291" s="70">
        <v>1.5</v>
      </c>
      <c r="J291" s="70">
        <v>1.5</v>
      </c>
      <c r="K291" s="70">
        <v>0.5</v>
      </c>
      <c r="L291" s="87">
        <f t="shared" si="43"/>
        <v>-1.125</v>
      </c>
      <c r="M291" s="55"/>
      <c r="R291" s="73"/>
    </row>
    <row r="292" spans="1:18">
      <c r="A292" s="88" t="s">
        <v>107</v>
      </c>
      <c r="B292" s="89" t="s">
        <v>11</v>
      </c>
      <c r="C292" s="89">
        <v>3</v>
      </c>
      <c r="D292" s="70"/>
      <c r="E292" s="70"/>
      <c r="F292" s="73"/>
      <c r="G292" s="98" t="s">
        <v>22</v>
      </c>
      <c r="H292" s="70">
        <v>-1</v>
      </c>
      <c r="I292" s="70">
        <v>1.5</v>
      </c>
      <c r="J292" s="70">
        <v>1.5</v>
      </c>
      <c r="K292" s="70">
        <v>0.5</v>
      </c>
      <c r="L292" s="87">
        <f t="shared" si="43"/>
        <v>-1.125</v>
      </c>
      <c r="M292" s="55"/>
      <c r="R292" s="73"/>
    </row>
    <row r="293" spans="1:18">
      <c r="A293" s="88" t="s">
        <v>108</v>
      </c>
      <c r="B293" s="89" t="s">
        <v>11</v>
      </c>
      <c r="C293" s="89">
        <v>5</v>
      </c>
      <c r="D293" s="70"/>
      <c r="E293" s="70"/>
      <c r="F293" s="73"/>
      <c r="G293" s="98" t="s">
        <v>22</v>
      </c>
      <c r="H293" s="70">
        <v>-1</v>
      </c>
      <c r="I293" s="70">
        <v>1.5</v>
      </c>
      <c r="J293" s="70">
        <v>1.5</v>
      </c>
      <c r="K293" s="70">
        <v>0.5</v>
      </c>
      <c r="L293" s="87">
        <f t="shared" si="43"/>
        <v>-1.125</v>
      </c>
      <c r="M293" s="55"/>
      <c r="R293" s="73"/>
    </row>
    <row r="294" spans="1:18">
      <c r="A294" s="88" t="s">
        <v>109</v>
      </c>
      <c r="B294" s="89" t="s">
        <v>11</v>
      </c>
      <c r="C294" s="89">
        <v>6</v>
      </c>
      <c r="D294" s="70"/>
      <c r="E294" s="70"/>
      <c r="F294" s="73"/>
      <c r="G294" s="98" t="s">
        <v>22</v>
      </c>
      <c r="H294" s="70">
        <v>-1</v>
      </c>
      <c r="I294" s="70">
        <v>1.2</v>
      </c>
      <c r="J294" s="70">
        <v>1.2</v>
      </c>
      <c r="K294" s="70">
        <v>0.5</v>
      </c>
      <c r="L294" s="87">
        <f t="shared" si="43"/>
        <v>-0.72</v>
      </c>
      <c r="M294" s="55"/>
      <c r="R294" s="73"/>
    </row>
    <row r="295" spans="1:18" s="49" customFormat="1">
      <c r="A295" s="88" t="s">
        <v>109</v>
      </c>
      <c r="B295" s="89" t="s">
        <v>11</v>
      </c>
      <c r="C295" s="89">
        <v>7</v>
      </c>
      <c r="D295" s="70"/>
      <c r="E295" s="70"/>
      <c r="F295" s="73"/>
      <c r="G295" s="98" t="s">
        <v>22</v>
      </c>
      <c r="H295" s="70">
        <v>-1</v>
      </c>
      <c r="I295" s="70">
        <v>1.2</v>
      </c>
      <c r="J295" s="70">
        <v>1.2</v>
      </c>
      <c r="K295" s="70">
        <v>0.5</v>
      </c>
      <c r="L295" s="87">
        <f t="shared" si="43"/>
        <v>-0.72</v>
      </c>
      <c r="M295" s="49" t="s">
        <v>95</v>
      </c>
      <c r="R295" s="73"/>
    </row>
    <row r="296" spans="1:18" s="49" customFormat="1">
      <c r="A296" s="88" t="s">
        <v>109</v>
      </c>
      <c r="B296" s="89" t="s">
        <v>11</v>
      </c>
      <c r="C296" s="89">
        <v>8</v>
      </c>
      <c r="D296" s="70"/>
      <c r="E296" s="70"/>
      <c r="F296" s="73"/>
      <c r="G296" s="98" t="s">
        <v>22</v>
      </c>
      <c r="H296" s="70">
        <v>-1</v>
      </c>
      <c r="I296" s="70">
        <v>1.2</v>
      </c>
      <c r="J296" s="70">
        <v>1.2</v>
      </c>
      <c r="K296" s="70">
        <v>0.5</v>
      </c>
      <c r="L296" s="87">
        <f t="shared" si="43"/>
        <v>-0.72</v>
      </c>
      <c r="M296" s="49" t="s">
        <v>95</v>
      </c>
    </row>
    <row r="297" spans="1:18" s="49" customFormat="1">
      <c r="B297" s="2" t="s">
        <v>2</v>
      </c>
      <c r="C297" s="2" t="s">
        <v>3</v>
      </c>
      <c r="G297" s="67"/>
      <c r="H297" s="70"/>
      <c r="L297" s="49" t="s">
        <v>95</v>
      </c>
      <c r="M297" s="49" t="s">
        <v>95</v>
      </c>
    </row>
    <row r="298" spans="1:18" s="49" customFormat="1">
      <c r="B298" s="69" t="s">
        <v>4</v>
      </c>
      <c r="C298" s="69" t="s">
        <v>71</v>
      </c>
      <c r="E298" s="67"/>
      <c r="F298" s="67"/>
      <c r="G298" s="67" t="s">
        <v>22</v>
      </c>
      <c r="H298" s="70">
        <v>-1</v>
      </c>
      <c r="I298" s="68">
        <v>2.48</v>
      </c>
      <c r="J298" s="68">
        <v>0.4</v>
      </c>
      <c r="K298" s="68">
        <f>$N$13-0.1</f>
        <v>1.38</v>
      </c>
      <c r="L298" s="49">
        <f t="shared" ref="L298:L303" si="44">K298*J298*I298*H298</f>
        <v>-1.3689599999999997</v>
      </c>
    </row>
    <row r="299" spans="1:18" s="49" customFormat="1">
      <c r="B299" s="69" t="s">
        <v>4</v>
      </c>
      <c r="C299" s="69" t="s">
        <v>117</v>
      </c>
      <c r="E299" s="67"/>
      <c r="F299" s="67"/>
      <c r="G299" s="67" t="s">
        <v>22</v>
      </c>
      <c r="H299" s="70">
        <v>-1</v>
      </c>
      <c r="I299" s="68">
        <v>7.25</v>
      </c>
      <c r="J299" s="68">
        <v>0.4</v>
      </c>
      <c r="K299" s="68">
        <f t="shared" ref="K299:K314" si="45">$N$13-0.1</f>
        <v>1.38</v>
      </c>
      <c r="L299" s="49">
        <f t="shared" si="44"/>
        <v>-4.0019999999999998</v>
      </c>
    </row>
    <row r="300" spans="1:18" s="49" customFormat="1">
      <c r="B300" s="69" t="s">
        <v>4</v>
      </c>
      <c r="C300" s="69" t="s">
        <v>69</v>
      </c>
      <c r="E300" s="67"/>
      <c r="F300" s="67"/>
      <c r="G300" s="67" t="s">
        <v>22</v>
      </c>
      <c r="H300" s="70">
        <v>-1</v>
      </c>
      <c r="I300" s="68">
        <v>2.38</v>
      </c>
      <c r="J300" s="68">
        <v>0.4</v>
      </c>
      <c r="K300" s="68">
        <f t="shared" si="45"/>
        <v>1.38</v>
      </c>
      <c r="L300" s="49">
        <f t="shared" si="44"/>
        <v>-1.3137599999999998</v>
      </c>
    </row>
    <row r="301" spans="1:18" s="49" customFormat="1">
      <c r="B301" s="69" t="s">
        <v>4</v>
      </c>
      <c r="C301" s="69" t="s">
        <v>70</v>
      </c>
      <c r="E301" s="67"/>
      <c r="F301" s="67"/>
      <c r="G301" s="67" t="s">
        <v>22</v>
      </c>
      <c r="H301" s="70">
        <v>-1</v>
      </c>
      <c r="I301" s="68">
        <v>4.78</v>
      </c>
      <c r="J301" s="68">
        <v>0.4</v>
      </c>
      <c r="K301" s="68">
        <f t="shared" si="45"/>
        <v>1.38</v>
      </c>
      <c r="L301" s="49">
        <f t="shared" si="44"/>
        <v>-2.63856</v>
      </c>
    </row>
    <row r="302" spans="1:18" s="49" customFormat="1">
      <c r="B302" s="69" t="s">
        <v>4</v>
      </c>
      <c r="C302" s="69" t="s">
        <v>110</v>
      </c>
      <c r="E302" s="67"/>
      <c r="F302" s="67"/>
      <c r="G302" s="67" t="s">
        <v>22</v>
      </c>
      <c r="H302" s="70">
        <v>-1</v>
      </c>
      <c r="I302" s="68">
        <v>2.65</v>
      </c>
      <c r="J302" s="68">
        <v>0.4</v>
      </c>
      <c r="K302" s="68">
        <f t="shared" si="45"/>
        <v>1.38</v>
      </c>
      <c r="L302" s="49">
        <f t="shared" si="44"/>
        <v>-1.4627999999999999</v>
      </c>
    </row>
    <row r="303" spans="1:18" s="49" customFormat="1">
      <c r="B303" s="69" t="s">
        <v>4</v>
      </c>
      <c r="C303" s="69" t="s">
        <v>111</v>
      </c>
      <c r="E303" s="67"/>
      <c r="F303" s="67"/>
      <c r="G303" s="67" t="s">
        <v>22</v>
      </c>
      <c r="H303" s="70">
        <v>-1</v>
      </c>
      <c r="I303" s="68">
        <v>4.5999999999999996</v>
      </c>
      <c r="J303" s="68">
        <v>0.4</v>
      </c>
      <c r="K303" s="68">
        <f t="shared" si="45"/>
        <v>1.38</v>
      </c>
      <c r="L303" s="49">
        <f t="shared" si="44"/>
        <v>-2.5391999999999997</v>
      </c>
    </row>
    <row r="304" spans="1:18" s="49" customFormat="1">
      <c r="B304" s="69" t="s">
        <v>11</v>
      </c>
      <c r="C304" s="69" t="s">
        <v>71</v>
      </c>
      <c r="E304" s="67"/>
      <c r="F304" s="67"/>
      <c r="G304" s="67" t="s">
        <v>22</v>
      </c>
      <c r="H304" s="70">
        <v>-1</v>
      </c>
      <c r="I304" s="68">
        <v>2.48</v>
      </c>
      <c r="J304" s="68">
        <v>0.4</v>
      </c>
      <c r="K304" s="68">
        <f t="shared" si="45"/>
        <v>1.38</v>
      </c>
      <c r="L304" s="49">
        <f>K304*J304*I304*H304</f>
        <v>-1.3689599999999997</v>
      </c>
    </row>
    <row r="305" spans="1:23" s="49" customFormat="1">
      <c r="B305" s="66" t="s">
        <v>11</v>
      </c>
      <c r="C305" s="69" t="s">
        <v>117</v>
      </c>
      <c r="E305" s="67"/>
      <c r="F305" s="67"/>
      <c r="G305" s="67" t="s">
        <v>22</v>
      </c>
      <c r="H305" s="70">
        <v>-1</v>
      </c>
      <c r="I305" s="68">
        <v>7.25</v>
      </c>
      <c r="J305" s="68">
        <v>0.4</v>
      </c>
      <c r="K305" s="68">
        <f t="shared" si="45"/>
        <v>1.38</v>
      </c>
      <c r="L305" s="49">
        <f t="shared" ref="L305:L314" si="46">K305*J305*I305*H305</f>
        <v>-4.0019999999999998</v>
      </c>
    </row>
    <row r="306" spans="1:23" s="49" customFormat="1">
      <c r="B306" s="66" t="s">
        <v>11</v>
      </c>
      <c r="C306" s="69" t="s">
        <v>69</v>
      </c>
      <c r="E306" s="67"/>
      <c r="F306" s="67"/>
      <c r="G306" s="67" t="s">
        <v>22</v>
      </c>
      <c r="H306" s="70">
        <v>-1</v>
      </c>
      <c r="I306" s="68">
        <v>2.38</v>
      </c>
      <c r="J306" s="68">
        <v>0.4</v>
      </c>
      <c r="K306" s="68">
        <f t="shared" si="45"/>
        <v>1.38</v>
      </c>
      <c r="L306" s="49">
        <f t="shared" si="46"/>
        <v>-1.3137599999999998</v>
      </c>
    </row>
    <row r="307" spans="1:23" s="49" customFormat="1">
      <c r="B307" s="66" t="s">
        <v>11</v>
      </c>
      <c r="C307" s="69" t="s">
        <v>70</v>
      </c>
      <c r="E307" s="67"/>
      <c r="F307" s="67"/>
      <c r="G307" s="67" t="s">
        <v>22</v>
      </c>
      <c r="H307" s="70">
        <v>-1</v>
      </c>
      <c r="I307" s="68">
        <v>4.78</v>
      </c>
      <c r="J307" s="68">
        <v>0.4</v>
      </c>
      <c r="K307" s="68">
        <f t="shared" si="45"/>
        <v>1.38</v>
      </c>
      <c r="L307" s="49">
        <f t="shared" si="46"/>
        <v>-2.63856</v>
      </c>
    </row>
    <row r="308" spans="1:23" s="49" customFormat="1">
      <c r="B308" s="66" t="s">
        <v>11</v>
      </c>
      <c r="C308" s="69" t="s">
        <v>110</v>
      </c>
      <c r="E308" s="67"/>
      <c r="F308" s="67"/>
      <c r="G308" s="67" t="s">
        <v>22</v>
      </c>
      <c r="H308" s="70">
        <v>-1</v>
      </c>
      <c r="I308" s="68">
        <v>2.65</v>
      </c>
      <c r="J308" s="68">
        <v>0.4</v>
      </c>
      <c r="K308" s="68">
        <f t="shared" si="45"/>
        <v>1.38</v>
      </c>
      <c r="L308" s="49">
        <f t="shared" si="46"/>
        <v>-1.4627999999999999</v>
      </c>
    </row>
    <row r="309" spans="1:23" s="49" customFormat="1">
      <c r="B309" s="66" t="s">
        <v>11</v>
      </c>
      <c r="C309" s="69" t="s">
        <v>111</v>
      </c>
      <c r="E309" s="67"/>
      <c r="F309" s="67"/>
      <c r="G309" s="67" t="s">
        <v>22</v>
      </c>
      <c r="H309" s="70">
        <v>-1</v>
      </c>
      <c r="I309" s="68">
        <v>4.5999999999999996</v>
      </c>
      <c r="J309" s="68">
        <v>0.4</v>
      </c>
      <c r="K309" s="68">
        <f t="shared" si="45"/>
        <v>1.38</v>
      </c>
      <c r="L309" s="49">
        <f t="shared" si="46"/>
        <v>-2.5391999999999997</v>
      </c>
    </row>
    <row r="310" spans="1:23" s="49" customFormat="1">
      <c r="B310" s="66" t="s">
        <v>25</v>
      </c>
      <c r="C310" s="69" t="s">
        <v>80</v>
      </c>
      <c r="E310" s="67"/>
      <c r="F310" s="67"/>
      <c r="G310" s="67" t="s">
        <v>22</v>
      </c>
      <c r="H310" s="70">
        <v>-1</v>
      </c>
      <c r="I310" s="68">
        <f>3.82+0.4+0.82</f>
        <v>5.04</v>
      </c>
      <c r="J310" s="68">
        <v>0.4</v>
      </c>
      <c r="K310" s="68">
        <f t="shared" si="45"/>
        <v>1.38</v>
      </c>
      <c r="L310" s="49">
        <f t="shared" si="46"/>
        <v>-2.7820799999999997</v>
      </c>
    </row>
    <row r="311" spans="1:23" s="49" customFormat="1">
      <c r="B311" s="69" t="s">
        <v>114</v>
      </c>
      <c r="C311" s="69" t="s">
        <v>80</v>
      </c>
      <c r="E311" s="67"/>
      <c r="F311" s="67"/>
      <c r="G311" s="67" t="s">
        <v>22</v>
      </c>
      <c r="H311" s="70">
        <v>-1</v>
      </c>
      <c r="I311" s="68">
        <f>1.08+0.15+3.82</f>
        <v>5.05</v>
      </c>
      <c r="J311" s="68">
        <v>0.4</v>
      </c>
      <c r="K311" s="68">
        <f t="shared" si="45"/>
        <v>1.38</v>
      </c>
      <c r="L311" s="49">
        <f t="shared" si="46"/>
        <v>-2.7875999999999994</v>
      </c>
    </row>
    <row r="312" spans="1:23" s="49" customFormat="1">
      <c r="B312" s="69" t="s">
        <v>85</v>
      </c>
      <c r="C312" s="69" t="s">
        <v>118</v>
      </c>
      <c r="E312" s="67"/>
      <c r="F312" s="67"/>
      <c r="G312" s="67" t="s">
        <v>22</v>
      </c>
      <c r="H312" s="70">
        <v>-1</v>
      </c>
      <c r="I312" s="68">
        <f>3.82+0.4</f>
        <v>4.22</v>
      </c>
      <c r="J312" s="68">
        <v>0.4</v>
      </c>
      <c r="K312" s="68">
        <f t="shared" si="45"/>
        <v>1.38</v>
      </c>
      <c r="L312" s="49">
        <f t="shared" si="46"/>
        <v>-2.3294399999999995</v>
      </c>
    </row>
    <row r="313" spans="1:23" s="49" customFormat="1">
      <c r="B313" s="66" t="s">
        <v>119</v>
      </c>
      <c r="C313" s="69" t="s">
        <v>118</v>
      </c>
      <c r="E313" s="67"/>
      <c r="F313" s="67"/>
      <c r="G313" s="67" t="s">
        <v>22</v>
      </c>
      <c r="H313" s="70">
        <v>-1</v>
      </c>
      <c r="I313" s="68">
        <f>0.82+1.08</f>
        <v>1.9</v>
      </c>
      <c r="J313" s="68">
        <v>0.4</v>
      </c>
      <c r="K313" s="68">
        <f t="shared" si="45"/>
        <v>1.38</v>
      </c>
      <c r="L313" s="49">
        <f t="shared" si="46"/>
        <v>-1.0487999999999997</v>
      </c>
    </row>
    <row r="314" spans="1:23" s="49" customFormat="1">
      <c r="B314" s="66" t="s">
        <v>115</v>
      </c>
      <c r="C314" s="69" t="s">
        <v>118</v>
      </c>
      <c r="E314" s="67"/>
      <c r="F314" s="67"/>
      <c r="G314" s="67" t="s">
        <v>22</v>
      </c>
      <c r="H314" s="70">
        <v>-1</v>
      </c>
      <c r="I314" s="68">
        <f>0.15+3.82</f>
        <v>3.9699999999999998</v>
      </c>
      <c r="J314" s="68">
        <v>0.4</v>
      </c>
      <c r="K314" s="68">
        <f t="shared" si="45"/>
        <v>1.38</v>
      </c>
      <c r="L314" s="49">
        <f t="shared" si="46"/>
        <v>-2.1914399999999996</v>
      </c>
    </row>
    <row r="315" spans="1:23" ht="15.6" customHeight="1">
      <c r="A315" s="75"/>
      <c r="B315" s="2" t="s">
        <v>2</v>
      </c>
      <c r="C315" s="2" t="s">
        <v>3</v>
      </c>
      <c r="D315" s="76"/>
      <c r="E315" s="76"/>
      <c r="F315" s="76"/>
      <c r="G315" s="101"/>
      <c r="H315" s="70"/>
      <c r="I315" s="78"/>
      <c r="J315" s="78"/>
      <c r="K315" s="78"/>
      <c r="L315" s="78"/>
      <c r="M315" s="78"/>
      <c r="N315" s="77"/>
      <c r="O315" s="77"/>
      <c r="W315" s="77"/>
    </row>
    <row r="316" spans="1:23" ht="15.6" customHeight="1">
      <c r="A316" s="75"/>
      <c r="B316" s="117" t="s">
        <v>90</v>
      </c>
      <c r="C316" s="118" t="s">
        <v>53</v>
      </c>
      <c r="D316" s="76"/>
      <c r="E316" s="76"/>
      <c r="F316" s="76"/>
      <c r="G316" s="76" t="s">
        <v>99</v>
      </c>
      <c r="H316" s="70">
        <v>-1</v>
      </c>
      <c r="I316" s="79">
        <v>24.44</v>
      </c>
      <c r="J316" s="81">
        <f>3.82+0.4+0.82+1.08+0.15+3.82+0.15+0.15</f>
        <v>10.39</v>
      </c>
      <c r="K316" s="81">
        <v>0.13</v>
      </c>
      <c r="L316" s="78">
        <f>J316*I316*H316*K316</f>
        <v>-33.011108000000007</v>
      </c>
      <c r="M316" s="76"/>
      <c r="N316" s="77"/>
      <c r="O316" s="77"/>
      <c r="W316" s="77"/>
    </row>
    <row r="317" spans="1:23" s="45" customFormat="1">
      <c r="A317"/>
      <c r="B317" s="2" t="s">
        <v>2</v>
      </c>
      <c r="C317" s="2" t="s">
        <v>3</v>
      </c>
      <c r="D317"/>
      <c r="E317"/>
      <c r="F317" s="55"/>
      <c r="G317" s="96"/>
      <c r="H317" s="70"/>
      <c r="I317" s="64"/>
      <c r="J317" s="64"/>
      <c r="K317" s="64"/>
      <c r="L317" s="64"/>
      <c r="M317" s="64"/>
      <c r="P317"/>
    </row>
    <row r="318" spans="1:23" s="49" customFormat="1">
      <c r="A318" s="50" t="s">
        <v>106</v>
      </c>
      <c r="B318" s="53" t="s">
        <v>4</v>
      </c>
      <c r="C318" s="53">
        <v>1</v>
      </c>
      <c r="G318" s="67" t="s">
        <v>22</v>
      </c>
      <c r="H318" s="70">
        <v>-1</v>
      </c>
      <c r="I318">
        <v>1</v>
      </c>
      <c r="J318">
        <v>1</v>
      </c>
      <c r="K318" s="54">
        <v>0.25</v>
      </c>
      <c r="L318" s="87">
        <f>K318*J318*I318*H318</f>
        <v>-0.25</v>
      </c>
      <c r="P318"/>
    </row>
    <row r="319" spans="1:23" s="49" customFormat="1">
      <c r="A319" s="50" t="s">
        <v>105</v>
      </c>
      <c r="B319" s="53" t="s">
        <v>4</v>
      </c>
      <c r="C319" s="55">
        <v>2</v>
      </c>
      <c r="G319" s="67" t="s">
        <v>22</v>
      </c>
      <c r="H319" s="70">
        <v>-1</v>
      </c>
      <c r="I319">
        <v>1.5</v>
      </c>
      <c r="J319">
        <v>1.5</v>
      </c>
      <c r="K319" s="54">
        <v>0.4</v>
      </c>
      <c r="L319" s="87">
        <f t="shared" ref="L319:L340" si="47">K319*J319*I319*H319</f>
        <v>-0.90000000000000013</v>
      </c>
      <c r="P319"/>
    </row>
    <row r="320" spans="1:23">
      <c r="A320" s="50" t="s">
        <v>107</v>
      </c>
      <c r="B320" s="53" t="s">
        <v>4</v>
      </c>
      <c r="C320" s="53">
        <v>4</v>
      </c>
      <c r="D320" s="49"/>
      <c r="E320" s="49"/>
      <c r="F320" s="1"/>
      <c r="G320" s="98" t="s">
        <v>22</v>
      </c>
      <c r="H320" s="70">
        <v>-1</v>
      </c>
      <c r="I320">
        <v>1.5</v>
      </c>
      <c r="J320" s="24">
        <v>1.5</v>
      </c>
      <c r="K320" s="55">
        <v>0.4</v>
      </c>
      <c r="L320" s="87">
        <f t="shared" si="47"/>
        <v>-0.90000000000000013</v>
      </c>
      <c r="M320" s="55"/>
    </row>
    <row r="321" spans="1:16">
      <c r="A321" s="50" t="s">
        <v>21</v>
      </c>
      <c r="B321" s="53" t="s">
        <v>4</v>
      </c>
      <c r="C321" s="55">
        <v>5</v>
      </c>
      <c r="D321" s="49"/>
      <c r="E321" s="49"/>
      <c r="F321" s="1"/>
      <c r="G321" s="98" t="s">
        <v>22</v>
      </c>
      <c r="H321" s="70">
        <v>-1</v>
      </c>
      <c r="I321">
        <v>1.1000000000000001</v>
      </c>
      <c r="J321">
        <v>1.1000000000000001</v>
      </c>
      <c r="K321" s="55">
        <v>0.25</v>
      </c>
      <c r="L321" s="87">
        <f t="shared" si="47"/>
        <v>-0.30250000000000005</v>
      </c>
      <c r="M321" s="55"/>
    </row>
    <row r="322" spans="1:16">
      <c r="A322" t="s">
        <v>109</v>
      </c>
      <c r="B322" s="53" t="s">
        <v>4</v>
      </c>
      <c r="C322" s="55">
        <v>6</v>
      </c>
      <c r="D322" s="49"/>
      <c r="E322" s="49"/>
      <c r="F322" s="1"/>
      <c r="G322" s="98" t="s">
        <v>22</v>
      </c>
      <c r="H322" s="70">
        <v>-1</v>
      </c>
      <c r="I322">
        <v>1.2</v>
      </c>
      <c r="J322">
        <v>1.2</v>
      </c>
      <c r="K322" s="55">
        <v>0.3</v>
      </c>
      <c r="L322" s="87">
        <f t="shared" si="47"/>
        <v>-0.432</v>
      </c>
      <c r="M322" s="55"/>
    </row>
    <row r="323" spans="1:16">
      <c r="A323" s="50" t="s">
        <v>109</v>
      </c>
      <c r="B323" s="53" t="s">
        <v>4</v>
      </c>
      <c r="C323" s="53">
        <v>7</v>
      </c>
      <c r="D323" s="49"/>
      <c r="E323" s="49"/>
      <c r="F323" s="1"/>
      <c r="G323" s="98" t="s">
        <v>22</v>
      </c>
      <c r="H323" s="70">
        <v>-1</v>
      </c>
      <c r="I323" s="42">
        <v>1.2</v>
      </c>
      <c r="J323" s="42">
        <v>1.2</v>
      </c>
      <c r="K323" s="55">
        <v>0.3</v>
      </c>
      <c r="L323" s="87">
        <f t="shared" si="47"/>
        <v>-0.432</v>
      </c>
      <c r="M323" s="55"/>
      <c r="P323" s="49"/>
    </row>
    <row r="324" spans="1:16">
      <c r="A324" s="50" t="s">
        <v>109</v>
      </c>
      <c r="B324" s="53" t="s">
        <v>4</v>
      </c>
      <c r="C324" s="53">
        <v>8</v>
      </c>
      <c r="D324" s="49"/>
      <c r="E324" s="49"/>
      <c r="F324" s="1"/>
      <c r="G324" s="98" t="s">
        <v>22</v>
      </c>
      <c r="H324" s="70">
        <v>-1</v>
      </c>
      <c r="I324">
        <v>1.2</v>
      </c>
      <c r="J324">
        <v>1.2</v>
      </c>
      <c r="K324" s="55">
        <v>0.3</v>
      </c>
      <c r="L324" s="87">
        <f t="shared" si="47"/>
        <v>-0.432</v>
      </c>
      <c r="M324" s="55"/>
      <c r="P324" s="49"/>
    </row>
    <row r="325" spans="1:16">
      <c r="A325" s="50" t="s">
        <v>108</v>
      </c>
      <c r="B325" s="53" t="s">
        <v>6</v>
      </c>
      <c r="C325" s="53">
        <v>5</v>
      </c>
      <c r="D325" s="49"/>
      <c r="E325" s="49"/>
      <c r="F325" s="1"/>
      <c r="G325" s="98" t="s">
        <v>22</v>
      </c>
      <c r="H325" s="70">
        <v>-1</v>
      </c>
      <c r="I325" s="42">
        <v>1.5</v>
      </c>
      <c r="J325" s="42">
        <v>1.5</v>
      </c>
      <c r="K325" s="55">
        <v>0.4</v>
      </c>
      <c r="L325" s="87">
        <f t="shared" si="47"/>
        <v>-0.90000000000000013</v>
      </c>
      <c r="M325" s="55"/>
      <c r="P325" s="70"/>
    </row>
    <row r="326" spans="1:16">
      <c r="A326" s="50" t="s">
        <v>107</v>
      </c>
      <c r="B326" s="53" t="s">
        <v>7</v>
      </c>
      <c r="C326" s="53">
        <v>6</v>
      </c>
      <c r="D326" s="49"/>
      <c r="E326" s="49"/>
      <c r="F326" s="1"/>
      <c r="G326" s="98" t="s">
        <v>22</v>
      </c>
      <c r="H326" s="70">
        <v>-1</v>
      </c>
      <c r="I326" s="42">
        <v>1.5</v>
      </c>
      <c r="J326" s="42">
        <v>1.5</v>
      </c>
      <c r="K326" s="55">
        <v>0.4</v>
      </c>
      <c r="L326" s="87">
        <f t="shared" si="47"/>
        <v>-0.90000000000000013</v>
      </c>
      <c r="M326" s="55"/>
      <c r="P326" s="70"/>
    </row>
    <row r="327" spans="1:16">
      <c r="A327" s="50" t="s">
        <v>107</v>
      </c>
      <c r="B327" s="53" t="s">
        <v>7</v>
      </c>
      <c r="C327" s="53">
        <v>7</v>
      </c>
      <c r="D327" s="49"/>
      <c r="E327" s="49"/>
      <c r="F327" s="1"/>
      <c r="G327" s="98" t="s">
        <v>22</v>
      </c>
      <c r="H327" s="70">
        <v>-1</v>
      </c>
      <c r="I327" s="42">
        <v>1.5</v>
      </c>
      <c r="J327" s="42">
        <v>1.5</v>
      </c>
      <c r="K327" s="55">
        <v>0.4</v>
      </c>
      <c r="L327" s="87">
        <f t="shared" si="47"/>
        <v>-0.90000000000000013</v>
      </c>
      <c r="M327" s="55"/>
      <c r="P327" s="70"/>
    </row>
    <row r="328" spans="1:16">
      <c r="A328" s="50" t="s">
        <v>109</v>
      </c>
      <c r="B328" s="53" t="s">
        <v>7</v>
      </c>
      <c r="C328" s="53">
        <v>8</v>
      </c>
      <c r="D328" s="49"/>
      <c r="E328" s="49"/>
      <c r="F328" s="1"/>
      <c r="G328" s="98" t="s">
        <v>22</v>
      </c>
      <c r="H328" s="70">
        <v>-1</v>
      </c>
      <c r="I328" s="42">
        <v>1.2</v>
      </c>
      <c r="J328" s="42">
        <v>1.2</v>
      </c>
      <c r="K328" s="55">
        <v>0.3</v>
      </c>
      <c r="L328" s="87">
        <f t="shared" si="47"/>
        <v>-0.432</v>
      </c>
      <c r="M328" s="55"/>
      <c r="P328" s="70"/>
    </row>
    <row r="329" spans="1:16">
      <c r="A329" s="50" t="s">
        <v>107</v>
      </c>
      <c r="B329" s="53" t="s">
        <v>8</v>
      </c>
      <c r="C329" s="53">
        <v>1</v>
      </c>
      <c r="D329" s="49"/>
      <c r="E329" s="49"/>
      <c r="F329" s="1"/>
      <c r="G329" s="98" t="s">
        <v>22</v>
      </c>
      <c r="H329" s="70">
        <v>-1</v>
      </c>
      <c r="I329">
        <v>1.5</v>
      </c>
      <c r="J329">
        <v>1.5</v>
      </c>
      <c r="K329" s="55">
        <v>0.4</v>
      </c>
      <c r="L329" s="87">
        <f t="shared" si="47"/>
        <v>-0.90000000000000013</v>
      </c>
      <c r="M329" s="55"/>
      <c r="P329" s="70"/>
    </row>
    <row r="330" spans="1:16">
      <c r="A330" s="50" t="s">
        <v>108</v>
      </c>
      <c r="B330" s="53" t="s">
        <v>10</v>
      </c>
      <c r="C330" s="53">
        <v>5</v>
      </c>
      <c r="D330" s="49"/>
      <c r="E330" s="49"/>
      <c r="F330" s="1"/>
      <c r="G330" s="98" t="s">
        <v>22</v>
      </c>
      <c r="H330" s="70">
        <v>-1</v>
      </c>
      <c r="I330" s="42">
        <v>1.5</v>
      </c>
      <c r="J330" s="42">
        <v>1.3</v>
      </c>
      <c r="K330" s="55">
        <v>0.4</v>
      </c>
      <c r="L330" s="87">
        <f t="shared" si="47"/>
        <v>-0.78</v>
      </c>
      <c r="M330" s="55"/>
      <c r="P330" s="70"/>
    </row>
    <row r="331" spans="1:16">
      <c r="A331" s="50" t="s">
        <v>107</v>
      </c>
      <c r="B331" s="53" t="s">
        <v>9</v>
      </c>
      <c r="C331" s="53">
        <v>6</v>
      </c>
      <c r="D331" s="49"/>
      <c r="E331" s="49"/>
      <c r="F331" s="1"/>
      <c r="G331" s="98" t="s">
        <v>22</v>
      </c>
      <c r="H331" s="70">
        <v>-1</v>
      </c>
      <c r="I331" s="42">
        <v>1.5</v>
      </c>
      <c r="J331" s="42">
        <v>1.5</v>
      </c>
      <c r="K331" s="55">
        <v>0.4</v>
      </c>
      <c r="L331" s="87">
        <f t="shared" si="47"/>
        <v>-0.90000000000000013</v>
      </c>
      <c r="M331" s="55"/>
      <c r="P331" s="70"/>
    </row>
    <row r="332" spans="1:16" s="49" customFormat="1">
      <c r="A332" s="50" t="s">
        <v>107</v>
      </c>
      <c r="B332" s="53" t="s">
        <v>9</v>
      </c>
      <c r="C332" s="53">
        <v>7</v>
      </c>
      <c r="G332" s="98" t="s">
        <v>22</v>
      </c>
      <c r="H332" s="70">
        <v>-1</v>
      </c>
      <c r="I332" s="42">
        <v>1.5</v>
      </c>
      <c r="J332" s="42">
        <v>1.5</v>
      </c>
      <c r="K332" s="55">
        <v>0.4</v>
      </c>
      <c r="L332" s="87">
        <f t="shared" si="47"/>
        <v>-0.90000000000000013</v>
      </c>
      <c r="M332" s="49" t="s">
        <v>95</v>
      </c>
      <c r="P332" s="98"/>
    </row>
    <row r="333" spans="1:16" s="49" customFormat="1">
      <c r="A333" s="50" t="s">
        <v>109</v>
      </c>
      <c r="B333" s="53" t="s">
        <v>9</v>
      </c>
      <c r="C333" s="53">
        <v>8</v>
      </c>
      <c r="G333" s="98" t="s">
        <v>22</v>
      </c>
      <c r="H333" s="70">
        <v>-1</v>
      </c>
      <c r="I333" s="42">
        <v>1.2</v>
      </c>
      <c r="J333" s="42">
        <v>1.2</v>
      </c>
      <c r="K333" s="55">
        <v>0.3</v>
      </c>
      <c r="L333" s="87">
        <f t="shared" si="47"/>
        <v>-0.432</v>
      </c>
      <c r="M333" s="49" t="s">
        <v>95</v>
      </c>
      <c r="P333" s="70"/>
    </row>
    <row r="334" spans="1:16" s="70" customFormat="1">
      <c r="A334" s="50" t="s">
        <v>20</v>
      </c>
      <c r="B334" s="53" t="s">
        <v>11</v>
      </c>
      <c r="C334" s="53">
        <v>1</v>
      </c>
      <c r="D334" s="49"/>
      <c r="E334" s="49"/>
      <c r="G334" s="98" t="s">
        <v>22</v>
      </c>
      <c r="H334" s="70">
        <v>-1</v>
      </c>
      <c r="I334">
        <v>1</v>
      </c>
      <c r="J334">
        <v>1</v>
      </c>
      <c r="K334" s="55">
        <v>0.25</v>
      </c>
      <c r="L334" s="87">
        <f t="shared" si="47"/>
        <v>-0.25</v>
      </c>
      <c r="P334" s="70" t="str">
        <f>IF(I341=16,G341*H341*J341,"")</f>
        <v/>
      </c>
    </row>
    <row r="335" spans="1:16" s="70" customFormat="1">
      <c r="A335" s="50" t="s">
        <v>107</v>
      </c>
      <c r="B335" s="53" t="s">
        <v>11</v>
      </c>
      <c r="C335" s="53">
        <v>2</v>
      </c>
      <c r="D335" s="49"/>
      <c r="E335" s="49"/>
      <c r="G335" s="98" t="s">
        <v>22</v>
      </c>
      <c r="H335" s="70">
        <v>-1</v>
      </c>
      <c r="I335">
        <v>1.5</v>
      </c>
      <c r="J335">
        <v>1.5</v>
      </c>
      <c r="K335" s="55">
        <v>0.25</v>
      </c>
      <c r="L335" s="87">
        <f t="shared" si="47"/>
        <v>-0.5625</v>
      </c>
      <c r="M335" s="49" t="s">
        <v>95</v>
      </c>
    </row>
    <row r="336" spans="1:16" s="70" customFormat="1">
      <c r="A336" s="50" t="s">
        <v>107</v>
      </c>
      <c r="B336" s="53" t="s">
        <v>11</v>
      </c>
      <c r="C336" s="53">
        <v>3</v>
      </c>
      <c r="D336" s="49"/>
      <c r="E336" s="49"/>
      <c r="G336" s="98" t="s">
        <v>22</v>
      </c>
      <c r="H336" s="70">
        <v>-1</v>
      </c>
      <c r="I336">
        <v>1.5</v>
      </c>
      <c r="J336">
        <v>1.5</v>
      </c>
      <c r="K336" s="55">
        <v>0.4</v>
      </c>
      <c r="L336" s="87">
        <f t="shared" si="47"/>
        <v>-0.90000000000000013</v>
      </c>
    </row>
    <row r="337" spans="1:15" s="70" customFormat="1">
      <c r="A337" s="50" t="s">
        <v>108</v>
      </c>
      <c r="B337" s="53" t="s">
        <v>11</v>
      </c>
      <c r="C337" s="53">
        <v>5</v>
      </c>
      <c r="D337" s="49"/>
      <c r="E337" s="49"/>
      <c r="G337" s="98" t="s">
        <v>22</v>
      </c>
      <c r="H337" s="70">
        <v>-1</v>
      </c>
      <c r="I337">
        <v>1.5</v>
      </c>
      <c r="J337">
        <v>1.5</v>
      </c>
      <c r="K337" s="55">
        <v>0.4</v>
      </c>
      <c r="L337" s="87">
        <f t="shared" si="47"/>
        <v>-0.90000000000000013</v>
      </c>
      <c r="M337" s="49" t="s">
        <v>95</v>
      </c>
    </row>
    <row r="338" spans="1:15" s="70" customFormat="1">
      <c r="A338" s="50" t="s">
        <v>109</v>
      </c>
      <c r="B338" s="53" t="s">
        <v>11</v>
      </c>
      <c r="C338" s="53">
        <v>6</v>
      </c>
      <c r="D338" s="49"/>
      <c r="E338" s="49"/>
      <c r="G338" s="98" t="s">
        <v>22</v>
      </c>
      <c r="H338" s="70">
        <v>-1</v>
      </c>
      <c r="I338">
        <v>1.2</v>
      </c>
      <c r="J338">
        <v>1.2</v>
      </c>
      <c r="K338" s="55">
        <v>0.3</v>
      </c>
      <c r="L338" s="87">
        <f t="shared" si="47"/>
        <v>-0.432</v>
      </c>
    </row>
    <row r="339" spans="1:15" s="70" customFormat="1">
      <c r="A339" s="50" t="s">
        <v>109</v>
      </c>
      <c r="B339" s="53" t="s">
        <v>11</v>
      </c>
      <c r="C339" s="53">
        <v>7</v>
      </c>
      <c r="D339" s="49"/>
      <c r="E339" s="49"/>
      <c r="G339" s="98" t="s">
        <v>22</v>
      </c>
      <c r="H339" s="70">
        <v>-1</v>
      </c>
      <c r="I339">
        <v>1.2</v>
      </c>
      <c r="J339">
        <v>1.2</v>
      </c>
      <c r="K339" s="55">
        <v>0.3</v>
      </c>
      <c r="L339" s="87">
        <f t="shared" si="47"/>
        <v>-0.432</v>
      </c>
    </row>
    <row r="340" spans="1:15" s="70" customFormat="1">
      <c r="A340" s="50" t="s">
        <v>109</v>
      </c>
      <c r="B340" s="53" t="s">
        <v>11</v>
      </c>
      <c r="C340" s="53">
        <v>8</v>
      </c>
      <c r="D340" s="49"/>
      <c r="E340" s="49"/>
      <c r="G340" s="98" t="s">
        <v>22</v>
      </c>
      <c r="H340" s="70">
        <v>-1</v>
      </c>
      <c r="I340">
        <v>1.2</v>
      </c>
      <c r="J340">
        <v>1.2</v>
      </c>
      <c r="K340" s="55">
        <v>0.3</v>
      </c>
      <c r="L340" s="87">
        <f t="shared" si="47"/>
        <v>-0.432</v>
      </c>
    </row>
    <row r="341" spans="1:15" s="70" customFormat="1">
      <c r="A341" s="2" t="s">
        <v>2</v>
      </c>
      <c r="B341" s="2" t="s">
        <v>3</v>
      </c>
      <c r="C341" s="2" t="s">
        <v>12</v>
      </c>
      <c r="D341" s="82"/>
      <c r="E341" s="73"/>
      <c r="F341" s="73"/>
      <c r="G341" s="98"/>
      <c r="H341" s="70">
        <v>-1</v>
      </c>
      <c r="K341" s="70" t="str">
        <f t="shared" ref="K341" si="48">IF(I341=6,G341*H341*J341,"")</f>
        <v/>
      </c>
      <c r="L341" s="70" t="str">
        <f t="shared" ref="L341" si="49">IF(I341=8,G341*H341*J341,"")</f>
        <v/>
      </c>
      <c r="M341" s="70" t="str">
        <f t="shared" ref="M341" si="50">IF(I341=10,G341*H341*J341,"")</f>
        <v/>
      </c>
      <c r="N341" s="70" t="str">
        <f t="shared" ref="N341" si="51">IF(I341=12,G341*H341*J341,"")</f>
        <v/>
      </c>
      <c r="O341" s="70" t="str">
        <f t="shared" ref="O341" si="52">IF(I341=14,G341*H341*J341,"")</f>
        <v/>
      </c>
    </row>
    <row r="342" spans="1:15" s="70" customFormat="1">
      <c r="A342" s="71" t="s">
        <v>7</v>
      </c>
      <c r="B342" s="72" t="s">
        <v>70</v>
      </c>
      <c r="C342" s="89" t="s">
        <v>116</v>
      </c>
      <c r="D342" s="98"/>
      <c r="E342" s="98"/>
      <c r="F342" s="98"/>
      <c r="G342" s="98" t="s">
        <v>22</v>
      </c>
      <c r="H342" s="70">
        <v>-1</v>
      </c>
      <c r="I342" s="73">
        <v>4.8</v>
      </c>
      <c r="J342" s="73">
        <v>0.5</v>
      </c>
      <c r="K342" s="73">
        <v>0.2</v>
      </c>
      <c r="L342" s="70">
        <f>K342*J342*I342*H342</f>
        <v>-0.48</v>
      </c>
    </row>
    <row r="343" spans="1:15" s="70" customFormat="1">
      <c r="A343" s="71" t="s">
        <v>7</v>
      </c>
      <c r="B343" s="72" t="s">
        <v>110</v>
      </c>
      <c r="C343" s="89" t="s">
        <v>116</v>
      </c>
      <c r="D343" s="98"/>
      <c r="E343" s="98"/>
      <c r="F343" s="98"/>
      <c r="G343" s="98" t="s">
        <v>22</v>
      </c>
      <c r="H343" s="70">
        <v>-1</v>
      </c>
      <c r="I343" s="73">
        <v>2.65</v>
      </c>
      <c r="J343" s="73">
        <v>0.5</v>
      </c>
      <c r="K343" s="73">
        <v>0.2</v>
      </c>
      <c r="L343" s="70">
        <f t="shared" ref="L343:L360" si="53">K343*J343*I343*H343</f>
        <v>-0.26500000000000001</v>
      </c>
    </row>
    <row r="344" spans="1:15" s="70" customFormat="1">
      <c r="A344" s="71" t="s">
        <v>7</v>
      </c>
      <c r="B344" s="72" t="s">
        <v>111</v>
      </c>
      <c r="C344" s="89" t="s">
        <v>116</v>
      </c>
      <c r="D344" s="98"/>
      <c r="E344" s="98"/>
      <c r="F344" s="98"/>
      <c r="G344" s="98" t="s">
        <v>22</v>
      </c>
      <c r="H344" s="70">
        <v>-1</v>
      </c>
      <c r="I344" s="73">
        <v>4.5999999999999996</v>
      </c>
      <c r="J344" s="73">
        <v>0.5</v>
      </c>
      <c r="K344" s="73">
        <v>0.2</v>
      </c>
      <c r="L344" s="70">
        <f t="shared" si="53"/>
        <v>-0.45999999999999996</v>
      </c>
    </row>
    <row r="345" spans="1:15" s="70" customFormat="1">
      <c r="A345" s="71" t="s">
        <v>8</v>
      </c>
      <c r="B345" s="72" t="s">
        <v>71</v>
      </c>
      <c r="C345" s="89" t="s">
        <v>14</v>
      </c>
      <c r="D345" s="98"/>
      <c r="E345" s="98"/>
      <c r="F345" s="98"/>
      <c r="G345" s="98" t="s">
        <v>22</v>
      </c>
      <c r="H345" s="70">
        <v>-1</v>
      </c>
      <c r="I345" s="73">
        <v>2.48</v>
      </c>
      <c r="J345" s="73">
        <v>0.4</v>
      </c>
      <c r="K345" s="73">
        <v>0.2</v>
      </c>
      <c r="L345" s="70">
        <f t="shared" si="53"/>
        <v>-0.19840000000000005</v>
      </c>
    </row>
    <row r="346" spans="1:15" s="70" customFormat="1">
      <c r="A346" s="71" t="s">
        <v>8</v>
      </c>
      <c r="B346" s="72" t="s">
        <v>72</v>
      </c>
      <c r="C346" s="89" t="s">
        <v>14</v>
      </c>
      <c r="D346" s="98"/>
      <c r="E346" s="98"/>
      <c r="F346" s="98"/>
      <c r="G346" s="98" t="s">
        <v>22</v>
      </c>
      <c r="H346" s="70">
        <v>-1</v>
      </c>
      <c r="I346" s="73">
        <v>3.7</v>
      </c>
      <c r="J346" s="73">
        <v>0.4</v>
      </c>
      <c r="K346" s="73">
        <v>0.2</v>
      </c>
      <c r="L346" s="70">
        <f t="shared" si="53"/>
        <v>-0.2960000000000001</v>
      </c>
    </row>
    <row r="347" spans="1:15" s="70" customFormat="1">
      <c r="A347" s="71" t="s">
        <v>8</v>
      </c>
      <c r="B347" s="72" t="s">
        <v>73</v>
      </c>
      <c r="C347" s="89" t="s">
        <v>14</v>
      </c>
      <c r="D347" s="98"/>
      <c r="E347" s="98"/>
      <c r="F347" s="98"/>
      <c r="G347" s="98" t="s">
        <v>22</v>
      </c>
      <c r="H347" s="70">
        <v>-1</v>
      </c>
      <c r="I347" s="73">
        <v>3.7</v>
      </c>
      <c r="J347" s="73">
        <v>0.4</v>
      </c>
      <c r="K347" s="73">
        <v>0.2</v>
      </c>
      <c r="L347" s="70">
        <f t="shared" si="53"/>
        <v>-0.2960000000000001</v>
      </c>
    </row>
    <row r="348" spans="1:15" s="70" customFormat="1">
      <c r="A348" s="71" t="s">
        <v>8</v>
      </c>
      <c r="B348" s="72" t="s">
        <v>69</v>
      </c>
      <c r="C348" s="89" t="s">
        <v>14</v>
      </c>
      <c r="D348" s="98"/>
      <c r="E348" s="98"/>
      <c r="F348" s="98"/>
      <c r="G348" s="98" t="s">
        <v>22</v>
      </c>
      <c r="H348" s="70">
        <v>-1</v>
      </c>
      <c r="I348" s="73">
        <v>2.38</v>
      </c>
      <c r="J348" s="73">
        <v>0.4</v>
      </c>
      <c r="K348" s="73">
        <v>0.2</v>
      </c>
      <c r="L348" s="70">
        <f t="shared" si="53"/>
        <v>-0.19040000000000004</v>
      </c>
    </row>
    <row r="349" spans="1:15" s="70" customFormat="1">
      <c r="A349" s="71" t="s">
        <v>9</v>
      </c>
      <c r="B349" s="72" t="s">
        <v>70</v>
      </c>
      <c r="C349" s="89" t="s">
        <v>116</v>
      </c>
      <c r="D349" s="98"/>
      <c r="E349" s="98"/>
      <c r="F349" s="98"/>
      <c r="G349" s="98" t="s">
        <v>22</v>
      </c>
      <c r="H349" s="70">
        <v>-1</v>
      </c>
      <c r="I349" s="73">
        <v>4.78</v>
      </c>
      <c r="J349" s="73">
        <v>0.5</v>
      </c>
      <c r="K349" s="73">
        <v>0.2</v>
      </c>
      <c r="L349" s="70">
        <f t="shared" si="53"/>
        <v>-0.47800000000000004</v>
      </c>
    </row>
    <row r="350" spans="1:15" s="70" customFormat="1">
      <c r="A350" s="71" t="s">
        <v>9</v>
      </c>
      <c r="B350" s="72" t="s">
        <v>110</v>
      </c>
      <c r="C350" s="89" t="s">
        <v>116</v>
      </c>
      <c r="D350" s="98"/>
      <c r="E350" s="98"/>
      <c r="F350" s="98"/>
      <c r="G350" s="98" t="s">
        <v>22</v>
      </c>
      <c r="H350" s="70">
        <v>-1</v>
      </c>
      <c r="I350" s="73">
        <v>2.65</v>
      </c>
      <c r="J350" s="73">
        <v>0.5</v>
      </c>
      <c r="K350" s="73">
        <v>0.2</v>
      </c>
      <c r="L350" s="70">
        <f t="shared" si="53"/>
        <v>-0.26500000000000001</v>
      </c>
    </row>
    <row r="351" spans="1:15" s="70" customFormat="1">
      <c r="A351" s="71" t="s">
        <v>25</v>
      </c>
      <c r="B351" s="72" t="s">
        <v>91</v>
      </c>
      <c r="C351" s="89" t="s">
        <v>14</v>
      </c>
      <c r="G351" s="98" t="s">
        <v>22</v>
      </c>
      <c r="H351" s="70">
        <v>-1</v>
      </c>
      <c r="I351" s="73">
        <f>3.82+0.4+0.82</f>
        <v>5.04</v>
      </c>
      <c r="J351" s="73">
        <v>0.4</v>
      </c>
      <c r="K351" s="73">
        <v>0.2</v>
      </c>
      <c r="L351" s="70">
        <f t="shared" si="53"/>
        <v>-0.40320000000000006</v>
      </c>
    </row>
    <row r="352" spans="1:15" s="70" customFormat="1">
      <c r="A352" s="89" t="s">
        <v>25</v>
      </c>
      <c r="B352" s="72" t="s">
        <v>79</v>
      </c>
      <c r="C352" s="89" t="s">
        <v>14</v>
      </c>
      <c r="D352" s="98"/>
      <c r="E352" s="98"/>
      <c r="F352" s="98"/>
      <c r="G352" s="98" t="s">
        <v>22</v>
      </c>
      <c r="H352" s="70">
        <v>-1</v>
      </c>
      <c r="I352" s="73">
        <v>5.04</v>
      </c>
      <c r="J352" s="73">
        <v>0.4</v>
      </c>
      <c r="K352" s="73">
        <v>0.2</v>
      </c>
      <c r="L352" s="70">
        <f t="shared" si="53"/>
        <v>-0.40320000000000006</v>
      </c>
    </row>
    <row r="353" spans="1:12" s="70" customFormat="1">
      <c r="A353" s="71" t="s">
        <v>113</v>
      </c>
      <c r="B353" s="72" t="s">
        <v>83</v>
      </c>
      <c r="C353" s="89" t="s">
        <v>116</v>
      </c>
      <c r="D353" s="98"/>
      <c r="E353" s="98"/>
      <c r="F353" s="98"/>
      <c r="G353" s="98" t="s">
        <v>22</v>
      </c>
      <c r="H353" s="70">
        <v>-1</v>
      </c>
      <c r="I353" s="73">
        <f>3.82+0.4+0.82+1.08</f>
        <v>6.12</v>
      </c>
      <c r="J353" s="73">
        <v>0.5</v>
      </c>
      <c r="K353" s="73">
        <v>0.2</v>
      </c>
      <c r="L353" s="70">
        <f t="shared" si="53"/>
        <v>-0.6120000000000001</v>
      </c>
    </row>
    <row r="354" spans="1:12" s="70" customFormat="1">
      <c r="A354" s="71" t="s">
        <v>113</v>
      </c>
      <c r="B354" s="72" t="s">
        <v>87</v>
      </c>
      <c r="C354" s="89" t="s">
        <v>116</v>
      </c>
      <c r="G354" s="98" t="s">
        <v>22</v>
      </c>
      <c r="H354" s="70">
        <v>-1</v>
      </c>
      <c r="I354" s="73">
        <v>6.12</v>
      </c>
      <c r="J354" s="73">
        <v>0.5</v>
      </c>
      <c r="K354" s="73">
        <v>0.2</v>
      </c>
      <c r="L354" s="70">
        <f t="shared" si="53"/>
        <v>-0.6120000000000001</v>
      </c>
    </row>
    <row r="355" spans="1:12" s="70" customFormat="1">
      <c r="A355" s="89" t="s">
        <v>113</v>
      </c>
      <c r="B355" s="72" t="s">
        <v>112</v>
      </c>
      <c r="C355" s="89" t="s">
        <v>116</v>
      </c>
      <c r="D355" s="98"/>
      <c r="E355" s="98"/>
      <c r="F355" s="98"/>
      <c r="G355" s="98" t="s">
        <v>22</v>
      </c>
      <c r="H355" s="70">
        <v>-1</v>
      </c>
      <c r="I355" s="73">
        <v>6.12</v>
      </c>
      <c r="J355" s="73">
        <v>0.5</v>
      </c>
      <c r="K355" s="73">
        <v>0.2</v>
      </c>
      <c r="L355" s="70">
        <f t="shared" si="53"/>
        <v>-0.6120000000000001</v>
      </c>
    </row>
    <row r="356" spans="1:12" s="70" customFormat="1">
      <c r="A356" s="71" t="s">
        <v>114</v>
      </c>
      <c r="B356" s="72" t="s">
        <v>91</v>
      </c>
      <c r="C356" s="89" t="s">
        <v>14</v>
      </c>
      <c r="D356" s="98"/>
      <c r="E356" s="98"/>
      <c r="F356" s="98"/>
      <c r="G356" s="98" t="s">
        <v>22</v>
      </c>
      <c r="H356" s="70">
        <v>-1</v>
      </c>
      <c r="I356" s="73">
        <f>1.8+0.15+3.82</f>
        <v>5.77</v>
      </c>
      <c r="J356" s="73">
        <v>0.4</v>
      </c>
      <c r="K356" s="73">
        <v>0.2</v>
      </c>
      <c r="L356" s="70">
        <f t="shared" si="53"/>
        <v>-0.46160000000000007</v>
      </c>
    </row>
    <row r="357" spans="1:12" s="70" customFormat="1">
      <c r="A357" s="71" t="s">
        <v>114</v>
      </c>
      <c r="B357" s="72" t="s">
        <v>82</v>
      </c>
      <c r="C357" s="89" t="s">
        <v>14</v>
      </c>
      <c r="D357" s="98"/>
      <c r="E357" s="98"/>
      <c r="F357" s="98"/>
      <c r="G357" s="98" t="s">
        <v>22</v>
      </c>
      <c r="H357" s="70">
        <v>-1</v>
      </c>
      <c r="I357" s="73">
        <v>5.77</v>
      </c>
      <c r="J357" s="73">
        <v>0.4</v>
      </c>
      <c r="K357" s="73">
        <v>0.2</v>
      </c>
      <c r="L357" s="70">
        <f t="shared" si="53"/>
        <v>-0.46160000000000007</v>
      </c>
    </row>
    <row r="358" spans="1:12" s="70" customFormat="1">
      <c r="A358" s="71" t="s">
        <v>115</v>
      </c>
      <c r="B358" s="72" t="s">
        <v>83</v>
      </c>
      <c r="C358" s="89" t="s">
        <v>116</v>
      </c>
      <c r="D358" s="98"/>
      <c r="E358" s="98"/>
      <c r="F358" s="98"/>
      <c r="G358" s="98" t="s">
        <v>22</v>
      </c>
      <c r="H358" s="70">
        <v>-1</v>
      </c>
      <c r="I358" s="73">
        <f>3.82+0.15</f>
        <v>3.9699999999999998</v>
      </c>
      <c r="J358" s="73">
        <v>0.5</v>
      </c>
      <c r="K358" s="73">
        <v>0.2</v>
      </c>
      <c r="L358" s="70">
        <f t="shared" si="53"/>
        <v>-0.39700000000000002</v>
      </c>
    </row>
    <row r="359" spans="1:12" s="70" customFormat="1">
      <c r="A359" s="71" t="s">
        <v>115</v>
      </c>
      <c r="B359" s="72" t="s">
        <v>87</v>
      </c>
      <c r="C359" s="89" t="s">
        <v>116</v>
      </c>
      <c r="D359" s="98"/>
      <c r="E359" s="98"/>
      <c r="F359" s="98"/>
      <c r="G359" s="98" t="s">
        <v>22</v>
      </c>
      <c r="H359" s="70">
        <v>-1</v>
      </c>
      <c r="I359" s="73">
        <f>0.15+3.82</f>
        <v>3.9699999999999998</v>
      </c>
      <c r="J359" s="73">
        <v>0.5</v>
      </c>
      <c r="K359" s="73">
        <v>0.2</v>
      </c>
      <c r="L359" s="70">
        <f t="shared" si="53"/>
        <v>-0.39700000000000002</v>
      </c>
    </row>
    <row r="360" spans="1:12" s="70" customFormat="1">
      <c r="A360" s="71" t="s">
        <v>115</v>
      </c>
      <c r="B360" s="72" t="s">
        <v>112</v>
      </c>
      <c r="C360" s="89" t="s">
        <v>116</v>
      </c>
      <c r="D360" s="98"/>
      <c r="E360" s="98"/>
      <c r="F360" s="98"/>
      <c r="G360" s="98" t="s">
        <v>22</v>
      </c>
      <c r="H360" s="70">
        <v>-1</v>
      </c>
      <c r="I360" s="73">
        <f>0.15+3.82</f>
        <v>3.9699999999999998</v>
      </c>
      <c r="J360" s="73">
        <v>0.5</v>
      </c>
      <c r="K360" s="73">
        <v>0.2</v>
      </c>
      <c r="L360" s="70">
        <f t="shared" si="53"/>
        <v>-0.39700000000000002</v>
      </c>
    </row>
    <row r="361" spans="1:12" s="70" customFormat="1">
      <c r="A361" s="2" t="s">
        <v>2</v>
      </c>
      <c r="B361" s="2" t="s">
        <v>3</v>
      </c>
      <c r="C361" s="2" t="s">
        <v>12</v>
      </c>
      <c r="D361" s="82"/>
      <c r="E361" s="73"/>
      <c r="F361" s="73"/>
      <c r="G361" s="98"/>
      <c r="H361" s="70">
        <v>-1</v>
      </c>
    </row>
    <row r="362" spans="1:12" s="70" customFormat="1">
      <c r="A362" s="72" t="s">
        <v>4</v>
      </c>
      <c r="B362" s="72" t="s">
        <v>71</v>
      </c>
      <c r="C362" s="73" t="s">
        <v>84</v>
      </c>
      <c r="D362" s="98"/>
      <c r="E362" s="98"/>
      <c r="F362" s="98"/>
      <c r="G362" s="98" t="s">
        <v>22</v>
      </c>
      <c r="H362" s="70">
        <v>-1</v>
      </c>
      <c r="I362" s="73">
        <v>2.48</v>
      </c>
      <c r="J362" s="73">
        <v>0.4</v>
      </c>
      <c r="K362" s="73">
        <v>0.2</v>
      </c>
      <c r="L362" s="70">
        <f t="shared" ref="L362:L367" si="54">K362*J362*I362*H362</f>
        <v>-0.19840000000000005</v>
      </c>
    </row>
    <row r="363" spans="1:12" s="70" customFormat="1">
      <c r="A363" s="72" t="s">
        <v>4</v>
      </c>
      <c r="B363" s="72" t="s">
        <v>117</v>
      </c>
      <c r="C363" s="73" t="s">
        <v>84</v>
      </c>
      <c r="D363" s="98"/>
      <c r="E363" s="98"/>
      <c r="F363" s="98"/>
      <c r="G363" s="98" t="s">
        <v>22</v>
      </c>
      <c r="H363" s="70">
        <v>-1</v>
      </c>
      <c r="I363" s="73">
        <v>7.25</v>
      </c>
      <c r="J363" s="73">
        <v>0.4</v>
      </c>
      <c r="K363" s="73">
        <v>0.2</v>
      </c>
      <c r="L363" s="70">
        <f t="shared" si="54"/>
        <v>-0.58000000000000007</v>
      </c>
    </row>
    <row r="364" spans="1:12" s="70" customFormat="1">
      <c r="A364" s="72" t="s">
        <v>4</v>
      </c>
      <c r="B364" s="72" t="s">
        <v>69</v>
      </c>
      <c r="C364" s="73" t="s">
        <v>84</v>
      </c>
      <c r="D364" s="98"/>
      <c r="E364" s="98"/>
      <c r="F364" s="98"/>
      <c r="G364" s="98" t="s">
        <v>22</v>
      </c>
      <c r="H364" s="70">
        <v>-1</v>
      </c>
      <c r="I364" s="73">
        <v>2.38</v>
      </c>
      <c r="J364" s="73">
        <v>0.4</v>
      </c>
      <c r="K364" s="73">
        <v>0.2</v>
      </c>
      <c r="L364" s="70">
        <f t="shared" si="54"/>
        <v>-0.19040000000000004</v>
      </c>
    </row>
    <row r="365" spans="1:12" s="70" customFormat="1">
      <c r="A365" s="72" t="s">
        <v>4</v>
      </c>
      <c r="B365" s="72" t="s">
        <v>70</v>
      </c>
      <c r="C365" s="73" t="s">
        <v>84</v>
      </c>
      <c r="D365" s="98"/>
      <c r="E365" s="98"/>
      <c r="F365" s="98"/>
      <c r="G365" s="98" t="s">
        <v>22</v>
      </c>
      <c r="H365" s="70">
        <v>-1</v>
      </c>
      <c r="I365" s="73">
        <v>4.78</v>
      </c>
      <c r="J365" s="73">
        <v>0.4</v>
      </c>
      <c r="K365" s="73">
        <v>0.2</v>
      </c>
      <c r="L365" s="70">
        <f t="shared" si="54"/>
        <v>-0.38240000000000007</v>
      </c>
    </row>
    <row r="366" spans="1:12" s="70" customFormat="1">
      <c r="A366" s="72" t="s">
        <v>4</v>
      </c>
      <c r="B366" s="72" t="s">
        <v>110</v>
      </c>
      <c r="C366" s="73" t="s">
        <v>84</v>
      </c>
      <c r="D366" s="98"/>
      <c r="E366" s="98"/>
      <c r="F366" s="98"/>
      <c r="G366" s="98" t="s">
        <v>22</v>
      </c>
      <c r="H366" s="70">
        <v>-1</v>
      </c>
      <c r="I366" s="73">
        <v>2.65</v>
      </c>
      <c r="J366" s="73">
        <v>0.4</v>
      </c>
      <c r="K366" s="73">
        <v>0.2</v>
      </c>
      <c r="L366" s="70">
        <f t="shared" si="54"/>
        <v>-0.21200000000000002</v>
      </c>
    </row>
    <row r="367" spans="1:12" s="70" customFormat="1">
      <c r="A367" s="72" t="s">
        <v>4</v>
      </c>
      <c r="B367" s="72" t="s">
        <v>111</v>
      </c>
      <c r="C367" s="73" t="s">
        <v>84</v>
      </c>
      <c r="D367" s="98"/>
      <c r="E367" s="98"/>
      <c r="F367" s="98"/>
      <c r="G367" s="98" t="s">
        <v>22</v>
      </c>
      <c r="H367" s="70">
        <v>-1</v>
      </c>
      <c r="I367" s="73">
        <v>4.5999999999999996</v>
      </c>
      <c r="J367" s="73">
        <v>0.4</v>
      </c>
      <c r="K367" s="73">
        <v>0.2</v>
      </c>
      <c r="L367" s="70">
        <f t="shared" si="54"/>
        <v>-0.36800000000000005</v>
      </c>
    </row>
    <row r="368" spans="1:12" s="70" customFormat="1">
      <c r="A368" s="72" t="s">
        <v>11</v>
      </c>
      <c r="B368" s="72" t="s">
        <v>71</v>
      </c>
      <c r="C368" s="73" t="s">
        <v>84</v>
      </c>
      <c r="D368" s="98"/>
      <c r="E368" s="98"/>
      <c r="F368" s="98"/>
      <c r="G368" s="98" t="s">
        <v>22</v>
      </c>
      <c r="H368" s="70">
        <v>-1</v>
      </c>
      <c r="I368" s="73">
        <v>2.48</v>
      </c>
      <c r="J368" s="73">
        <v>0.4</v>
      </c>
      <c r="K368" s="73">
        <v>0.2</v>
      </c>
      <c r="L368" s="70">
        <f>K368*J368*I368*H368</f>
        <v>-0.19840000000000005</v>
      </c>
    </row>
    <row r="369" spans="1:20" s="70" customFormat="1">
      <c r="A369" s="89" t="s">
        <v>11</v>
      </c>
      <c r="B369" s="72" t="s">
        <v>117</v>
      </c>
      <c r="C369" s="73" t="s">
        <v>84</v>
      </c>
      <c r="D369" s="98"/>
      <c r="E369" s="98"/>
      <c r="F369" s="98"/>
      <c r="G369" s="98" t="s">
        <v>22</v>
      </c>
      <c r="H369" s="70">
        <v>-1</v>
      </c>
      <c r="I369" s="73">
        <v>7.25</v>
      </c>
      <c r="J369" s="73">
        <v>0.4</v>
      </c>
      <c r="K369" s="73">
        <v>0.2</v>
      </c>
      <c r="L369" s="70">
        <f t="shared" ref="L369:L378" si="55">K369*J369*I369*H369</f>
        <v>-0.58000000000000007</v>
      </c>
    </row>
    <row r="370" spans="1:20" s="70" customFormat="1">
      <c r="A370" s="89" t="s">
        <v>11</v>
      </c>
      <c r="B370" s="72" t="s">
        <v>69</v>
      </c>
      <c r="C370" s="73" t="s">
        <v>84</v>
      </c>
      <c r="D370" s="98"/>
      <c r="E370" s="98"/>
      <c r="F370" s="98"/>
      <c r="G370" s="98" t="s">
        <v>22</v>
      </c>
      <c r="H370" s="70">
        <v>-1</v>
      </c>
      <c r="I370" s="73">
        <v>2.38</v>
      </c>
      <c r="J370" s="73">
        <v>0.4</v>
      </c>
      <c r="K370" s="73">
        <v>0.2</v>
      </c>
      <c r="L370" s="70">
        <f t="shared" si="55"/>
        <v>-0.19040000000000004</v>
      </c>
    </row>
    <row r="371" spans="1:20" s="70" customFormat="1">
      <c r="A371" s="89" t="s">
        <v>11</v>
      </c>
      <c r="B371" s="72" t="s">
        <v>70</v>
      </c>
      <c r="C371" s="73" t="s">
        <v>84</v>
      </c>
      <c r="D371" s="98"/>
      <c r="E371" s="98"/>
      <c r="F371" s="98"/>
      <c r="G371" s="98" t="s">
        <v>22</v>
      </c>
      <c r="H371" s="70">
        <v>-1</v>
      </c>
      <c r="I371" s="73">
        <v>4.78</v>
      </c>
      <c r="J371" s="73">
        <v>0.4</v>
      </c>
      <c r="K371" s="73">
        <v>0.2</v>
      </c>
      <c r="L371" s="70">
        <f t="shared" si="55"/>
        <v>-0.38240000000000007</v>
      </c>
    </row>
    <row r="372" spans="1:20" s="70" customFormat="1">
      <c r="A372" s="89" t="s">
        <v>11</v>
      </c>
      <c r="B372" s="72" t="s">
        <v>110</v>
      </c>
      <c r="C372" s="73" t="s">
        <v>84</v>
      </c>
      <c r="D372" s="98"/>
      <c r="E372" s="98"/>
      <c r="F372" s="98"/>
      <c r="G372" s="98" t="s">
        <v>22</v>
      </c>
      <c r="H372" s="70">
        <v>-1</v>
      </c>
      <c r="I372" s="73">
        <v>2.65</v>
      </c>
      <c r="J372" s="73">
        <v>0.4</v>
      </c>
      <c r="K372" s="73">
        <v>0.2</v>
      </c>
      <c r="L372" s="70">
        <f t="shared" si="55"/>
        <v>-0.21200000000000002</v>
      </c>
    </row>
    <row r="373" spans="1:20" s="70" customFormat="1">
      <c r="A373" s="89" t="s">
        <v>11</v>
      </c>
      <c r="B373" s="72" t="s">
        <v>111</v>
      </c>
      <c r="C373" s="73" t="s">
        <v>84</v>
      </c>
      <c r="D373" s="98"/>
      <c r="E373" s="98"/>
      <c r="F373" s="98"/>
      <c r="G373" s="98" t="s">
        <v>22</v>
      </c>
      <c r="H373" s="70">
        <v>-1</v>
      </c>
      <c r="I373" s="73">
        <v>4.5999999999999996</v>
      </c>
      <c r="J373" s="73">
        <v>0.4</v>
      </c>
      <c r="K373" s="73">
        <v>0.2</v>
      </c>
      <c r="L373" s="70">
        <f t="shared" si="55"/>
        <v>-0.36800000000000005</v>
      </c>
    </row>
    <row r="374" spans="1:20" s="70" customFormat="1">
      <c r="A374" s="89" t="s">
        <v>25</v>
      </c>
      <c r="B374" s="72" t="s">
        <v>80</v>
      </c>
      <c r="C374" s="73" t="s">
        <v>84</v>
      </c>
      <c r="D374" s="98"/>
      <c r="E374" s="98"/>
      <c r="F374" s="98"/>
      <c r="G374" s="98" t="s">
        <v>22</v>
      </c>
      <c r="H374" s="70">
        <v>-1</v>
      </c>
      <c r="I374" s="73">
        <f>3.82+0.4+0.82</f>
        <v>5.04</v>
      </c>
      <c r="J374" s="73">
        <v>0.4</v>
      </c>
      <c r="K374" s="73">
        <v>0.2</v>
      </c>
      <c r="L374" s="70">
        <f t="shared" si="55"/>
        <v>-0.40320000000000006</v>
      </c>
    </row>
    <row r="375" spans="1:20" s="70" customFormat="1">
      <c r="A375" s="72" t="s">
        <v>114</v>
      </c>
      <c r="B375" s="72" t="s">
        <v>80</v>
      </c>
      <c r="C375" s="73" t="s">
        <v>84</v>
      </c>
      <c r="D375" s="98"/>
      <c r="E375" s="98"/>
      <c r="F375" s="98"/>
      <c r="G375" s="98" t="s">
        <v>22</v>
      </c>
      <c r="H375" s="70">
        <v>-1</v>
      </c>
      <c r="I375" s="73">
        <f>1.08+0.15+3.82</f>
        <v>5.05</v>
      </c>
      <c r="J375" s="73">
        <v>0.4</v>
      </c>
      <c r="K375" s="73">
        <v>0.2</v>
      </c>
      <c r="L375" s="70">
        <f t="shared" si="55"/>
        <v>-0.40400000000000008</v>
      </c>
    </row>
    <row r="376" spans="1:20" s="70" customFormat="1">
      <c r="A376" s="72" t="s">
        <v>85</v>
      </c>
      <c r="B376" s="72" t="s">
        <v>118</v>
      </c>
      <c r="C376" s="73" t="s">
        <v>84</v>
      </c>
      <c r="D376" s="98"/>
      <c r="E376" s="98"/>
      <c r="F376" s="98"/>
      <c r="G376" s="98" t="s">
        <v>22</v>
      </c>
      <c r="H376" s="70">
        <v>-1</v>
      </c>
      <c r="I376" s="73">
        <f>3.82+0.4</f>
        <v>4.22</v>
      </c>
      <c r="J376" s="73">
        <v>0.4</v>
      </c>
      <c r="K376" s="73">
        <v>0.2</v>
      </c>
      <c r="L376" s="70">
        <f t="shared" si="55"/>
        <v>-0.33760000000000007</v>
      </c>
    </row>
    <row r="377" spans="1:20" s="70" customFormat="1">
      <c r="A377" s="89" t="s">
        <v>119</v>
      </c>
      <c r="B377" s="72" t="s">
        <v>118</v>
      </c>
      <c r="C377" s="73" t="s">
        <v>84</v>
      </c>
      <c r="D377" s="98"/>
      <c r="E377" s="98"/>
      <c r="F377" s="98"/>
      <c r="G377" s="98" t="s">
        <v>22</v>
      </c>
      <c r="H377" s="70">
        <v>-1</v>
      </c>
      <c r="I377" s="73">
        <f>0.82+1.08</f>
        <v>1.9</v>
      </c>
      <c r="J377" s="73">
        <v>0.4</v>
      </c>
      <c r="K377" s="73">
        <v>0.2</v>
      </c>
      <c r="L377" s="70">
        <f t="shared" si="55"/>
        <v>-0.15200000000000002</v>
      </c>
    </row>
    <row r="378" spans="1:20" s="70" customFormat="1">
      <c r="A378" s="89" t="s">
        <v>115</v>
      </c>
      <c r="B378" s="72" t="s">
        <v>118</v>
      </c>
      <c r="C378" s="73" t="s">
        <v>84</v>
      </c>
      <c r="D378" s="98"/>
      <c r="E378" s="98"/>
      <c r="F378" s="98"/>
      <c r="G378" s="98" t="s">
        <v>22</v>
      </c>
      <c r="H378" s="70">
        <v>-1</v>
      </c>
      <c r="I378" s="73">
        <f>0.15+3.82</f>
        <v>3.9699999999999998</v>
      </c>
      <c r="J378" s="73">
        <v>0.4</v>
      </c>
      <c r="K378" s="73">
        <v>0.2</v>
      </c>
      <c r="L378" s="70">
        <f t="shared" si="55"/>
        <v>-0.31760000000000005</v>
      </c>
    </row>
    <row r="379" spans="1:20">
      <c r="A379" s="63"/>
      <c r="B379" s="2" t="s">
        <v>2</v>
      </c>
      <c r="C379" s="2" t="s">
        <v>3</v>
      </c>
      <c r="D379" s="2" t="s">
        <v>12</v>
      </c>
      <c r="E379" s="43"/>
      <c r="F379" s="43"/>
      <c r="G379" s="22"/>
      <c r="H379" s="70">
        <v>-1</v>
      </c>
      <c r="I379" s="55"/>
      <c r="J379" s="55"/>
      <c r="K379" s="55"/>
      <c r="L379" s="55"/>
      <c r="M379" s="55"/>
    </row>
    <row r="380" spans="1:20">
      <c r="B380" s="53" t="s">
        <v>4</v>
      </c>
      <c r="C380" s="53">
        <v>1</v>
      </c>
      <c r="D380" s="43" t="s">
        <v>43</v>
      </c>
      <c r="E380" s="1"/>
      <c r="F380" s="1"/>
      <c r="G380" s="22" t="s">
        <v>22</v>
      </c>
      <c r="H380" s="70">
        <v>-1</v>
      </c>
      <c r="I380" s="43">
        <v>0.3</v>
      </c>
      <c r="J380" s="43">
        <v>0.3</v>
      </c>
      <c r="K380" s="54">
        <f>$N$13-0.13-0.1-0.25</f>
        <v>1</v>
      </c>
      <c r="L380" s="55">
        <f>K380*J380*I380*H380</f>
        <v>-0.09</v>
      </c>
      <c r="M380" s="55"/>
      <c r="T380" s="43"/>
    </row>
    <row r="381" spans="1:20">
      <c r="B381" s="53" t="s">
        <v>4</v>
      </c>
      <c r="C381" s="55">
        <v>2</v>
      </c>
      <c r="D381" s="43" t="s">
        <v>42</v>
      </c>
      <c r="E381" s="1"/>
      <c r="F381" s="1"/>
      <c r="G381" s="22" t="s">
        <v>22</v>
      </c>
      <c r="H381" s="70">
        <v>-1</v>
      </c>
      <c r="I381" s="43">
        <v>0.4</v>
      </c>
      <c r="J381" s="43">
        <v>0.4</v>
      </c>
      <c r="K381" s="54">
        <f t="shared" ref="K381:K402" si="56">$N$13-0.13-0.1-0.25</f>
        <v>1</v>
      </c>
      <c r="L381" s="55">
        <f t="shared" ref="L381:L402" si="57">K381*J381*I381*H381</f>
        <v>-0.16000000000000003</v>
      </c>
      <c r="M381" s="55"/>
      <c r="T381" s="43"/>
    </row>
    <row r="382" spans="1:20">
      <c r="B382" s="53" t="s">
        <v>4</v>
      </c>
      <c r="C382" s="55">
        <v>4</v>
      </c>
      <c r="D382" s="43" t="s">
        <v>42</v>
      </c>
      <c r="E382" s="1"/>
      <c r="F382" s="1"/>
      <c r="G382" s="22" t="s">
        <v>22</v>
      </c>
      <c r="H382" s="70">
        <v>-1</v>
      </c>
      <c r="I382" s="43">
        <v>0.4</v>
      </c>
      <c r="J382" s="43">
        <v>0.4</v>
      </c>
      <c r="K382" s="54">
        <f t="shared" si="56"/>
        <v>1</v>
      </c>
      <c r="L382" s="55">
        <f t="shared" si="57"/>
        <v>-0.16000000000000003</v>
      </c>
      <c r="M382" s="55"/>
      <c r="T382" s="43"/>
    </row>
    <row r="383" spans="1:20">
      <c r="B383" s="53" t="s">
        <v>4</v>
      </c>
      <c r="C383" s="53">
        <v>5</v>
      </c>
      <c r="D383" s="43" t="s">
        <v>43</v>
      </c>
      <c r="E383" s="1"/>
      <c r="F383" s="1"/>
      <c r="G383" s="22" t="s">
        <v>22</v>
      </c>
      <c r="H383" s="70">
        <v>-1</v>
      </c>
      <c r="I383" s="43">
        <v>0.3</v>
      </c>
      <c r="J383" s="43">
        <v>0.3</v>
      </c>
      <c r="K383" s="54">
        <f t="shared" si="56"/>
        <v>1</v>
      </c>
      <c r="L383" s="55">
        <f t="shared" si="57"/>
        <v>-0.09</v>
      </c>
      <c r="M383" s="55"/>
      <c r="T383" s="43"/>
    </row>
    <row r="384" spans="1:20">
      <c r="B384" s="53" t="s">
        <v>4</v>
      </c>
      <c r="C384" s="55">
        <v>6</v>
      </c>
      <c r="D384" s="43" t="s">
        <v>24</v>
      </c>
      <c r="E384" s="1"/>
      <c r="F384" s="1"/>
      <c r="G384" s="22" t="s">
        <v>22</v>
      </c>
      <c r="H384" s="70">
        <v>-1</v>
      </c>
      <c r="I384" s="43">
        <v>0.25</v>
      </c>
      <c r="J384" s="43">
        <v>0.35</v>
      </c>
      <c r="K384" s="54">
        <f t="shared" si="56"/>
        <v>1</v>
      </c>
      <c r="L384" s="55">
        <f t="shared" si="57"/>
        <v>-8.7499999999999994E-2</v>
      </c>
      <c r="M384" s="55"/>
      <c r="T384" s="43"/>
    </row>
    <row r="385" spans="2:20">
      <c r="B385" s="53" t="s">
        <v>4</v>
      </c>
      <c r="C385" s="55">
        <v>7</v>
      </c>
      <c r="D385" s="43" t="s">
        <v>24</v>
      </c>
      <c r="E385" s="1"/>
      <c r="F385" s="1"/>
      <c r="G385" s="22" t="s">
        <v>22</v>
      </c>
      <c r="H385" s="70">
        <v>-1</v>
      </c>
      <c r="I385" s="43">
        <v>0.25</v>
      </c>
      <c r="J385" s="43">
        <v>0.35</v>
      </c>
      <c r="K385" s="54">
        <f t="shared" si="56"/>
        <v>1</v>
      </c>
      <c r="L385" s="55">
        <f t="shared" si="57"/>
        <v>-8.7499999999999994E-2</v>
      </c>
      <c r="M385" s="55"/>
      <c r="T385" s="43"/>
    </row>
    <row r="386" spans="2:20">
      <c r="B386" s="53" t="s">
        <v>4</v>
      </c>
      <c r="C386" s="55">
        <v>8</v>
      </c>
      <c r="D386" s="43" t="s">
        <v>24</v>
      </c>
      <c r="E386" s="1"/>
      <c r="F386" s="1"/>
      <c r="G386" s="22" t="s">
        <v>22</v>
      </c>
      <c r="H386" s="70">
        <v>-1</v>
      </c>
      <c r="I386" s="43">
        <v>0.25</v>
      </c>
      <c r="J386" s="43">
        <v>0.35</v>
      </c>
      <c r="K386" s="54">
        <f t="shared" si="56"/>
        <v>1</v>
      </c>
      <c r="L386" s="55">
        <f t="shared" si="57"/>
        <v>-8.7499999999999994E-2</v>
      </c>
      <c r="M386" s="55"/>
      <c r="T386" s="43"/>
    </row>
    <row r="387" spans="2:20">
      <c r="B387" s="53" t="s">
        <v>6</v>
      </c>
      <c r="C387" s="53">
        <v>5</v>
      </c>
      <c r="D387" s="43" t="s">
        <v>44</v>
      </c>
      <c r="E387" s="1"/>
      <c r="F387" s="1"/>
      <c r="G387" s="22" t="s">
        <v>22</v>
      </c>
      <c r="H387" s="70">
        <v>-1</v>
      </c>
      <c r="I387" s="43">
        <v>0.35</v>
      </c>
      <c r="J387" s="43">
        <v>0.35</v>
      </c>
      <c r="K387" s="54">
        <f t="shared" si="56"/>
        <v>1</v>
      </c>
      <c r="L387" s="55">
        <f t="shared" si="57"/>
        <v>-0.12249999999999998</v>
      </c>
      <c r="M387" s="55"/>
      <c r="T387" s="43"/>
    </row>
    <row r="388" spans="2:20">
      <c r="B388" s="53" t="s">
        <v>7</v>
      </c>
      <c r="C388" s="53">
        <v>6</v>
      </c>
      <c r="D388" s="43" t="s">
        <v>24</v>
      </c>
      <c r="E388" s="1"/>
      <c r="F388" s="1"/>
      <c r="G388" s="22" t="s">
        <v>22</v>
      </c>
      <c r="H388" s="70">
        <v>-1</v>
      </c>
      <c r="I388" s="43">
        <v>0.25</v>
      </c>
      <c r="J388" s="43">
        <v>0.35</v>
      </c>
      <c r="K388" s="54">
        <f t="shared" si="56"/>
        <v>1</v>
      </c>
      <c r="L388" s="55">
        <f t="shared" si="57"/>
        <v>-8.7499999999999994E-2</v>
      </c>
      <c r="M388" s="55"/>
      <c r="T388" s="43"/>
    </row>
    <row r="389" spans="2:20">
      <c r="B389" s="53" t="s">
        <v>7</v>
      </c>
      <c r="C389" s="53">
        <v>7</v>
      </c>
      <c r="D389" s="43" t="s">
        <v>24</v>
      </c>
      <c r="E389" s="1"/>
      <c r="F389" s="1"/>
      <c r="G389" s="22" t="s">
        <v>22</v>
      </c>
      <c r="H389" s="70">
        <v>-1</v>
      </c>
      <c r="I389" s="43">
        <v>0.25</v>
      </c>
      <c r="J389" s="43">
        <v>0.35</v>
      </c>
      <c r="K389" s="54">
        <f t="shared" si="56"/>
        <v>1</v>
      </c>
      <c r="L389" s="55">
        <f t="shared" si="57"/>
        <v>-8.7499999999999994E-2</v>
      </c>
      <c r="M389" s="55"/>
      <c r="T389" s="43"/>
    </row>
    <row r="390" spans="2:20">
      <c r="B390" s="53" t="s">
        <v>7</v>
      </c>
      <c r="C390" s="53">
        <v>8</v>
      </c>
      <c r="D390" s="43" t="s">
        <v>24</v>
      </c>
      <c r="E390" s="1"/>
      <c r="F390" s="1"/>
      <c r="G390" s="22" t="s">
        <v>22</v>
      </c>
      <c r="H390" s="70">
        <v>-1</v>
      </c>
      <c r="I390" s="43">
        <v>0.25</v>
      </c>
      <c r="J390" s="43">
        <v>0.35</v>
      </c>
      <c r="K390" s="54">
        <f t="shared" si="56"/>
        <v>1</v>
      </c>
      <c r="L390" s="55">
        <f t="shared" si="57"/>
        <v>-8.7499999999999994E-2</v>
      </c>
      <c r="M390" s="55"/>
      <c r="T390" s="43"/>
    </row>
    <row r="391" spans="2:20">
      <c r="B391" s="53" t="s">
        <v>10</v>
      </c>
      <c r="C391" s="53">
        <v>5</v>
      </c>
      <c r="D391" s="43" t="s">
        <v>44</v>
      </c>
      <c r="E391" s="1"/>
      <c r="F391" s="1"/>
      <c r="G391" s="22" t="s">
        <v>22</v>
      </c>
      <c r="H391" s="70">
        <v>-1</v>
      </c>
      <c r="I391" s="43">
        <v>0.35</v>
      </c>
      <c r="J391" s="43">
        <v>0.35</v>
      </c>
      <c r="K391" s="54">
        <f t="shared" si="56"/>
        <v>1</v>
      </c>
      <c r="L391" s="55">
        <f t="shared" si="57"/>
        <v>-0.12249999999999998</v>
      </c>
      <c r="M391" s="55"/>
      <c r="T391" s="43"/>
    </row>
    <row r="392" spans="2:20">
      <c r="B392" s="53" t="s">
        <v>9</v>
      </c>
      <c r="C392" s="53">
        <v>6</v>
      </c>
      <c r="D392" s="43" t="s">
        <v>24</v>
      </c>
      <c r="E392" s="1"/>
      <c r="F392" s="1"/>
      <c r="G392" s="22" t="s">
        <v>22</v>
      </c>
      <c r="H392" s="70">
        <v>-1</v>
      </c>
      <c r="I392" s="43">
        <v>0.25</v>
      </c>
      <c r="J392" s="43">
        <v>0.35</v>
      </c>
      <c r="K392" s="54">
        <f t="shared" si="56"/>
        <v>1</v>
      </c>
      <c r="L392" s="55">
        <f t="shared" si="57"/>
        <v>-8.7499999999999994E-2</v>
      </c>
      <c r="M392" s="55"/>
      <c r="T392" s="43"/>
    </row>
    <row r="393" spans="2:20">
      <c r="B393" s="53" t="s">
        <v>9</v>
      </c>
      <c r="C393" s="53">
        <v>7</v>
      </c>
      <c r="D393" s="43" t="s">
        <v>24</v>
      </c>
      <c r="E393" s="1"/>
      <c r="F393" s="1"/>
      <c r="G393" s="22" t="s">
        <v>22</v>
      </c>
      <c r="H393" s="70">
        <v>-1</v>
      </c>
      <c r="I393" s="43">
        <v>0.25</v>
      </c>
      <c r="J393" s="43">
        <v>0.35</v>
      </c>
      <c r="K393" s="54">
        <f t="shared" si="56"/>
        <v>1</v>
      </c>
      <c r="L393" s="55">
        <f t="shared" si="57"/>
        <v>-8.7499999999999994E-2</v>
      </c>
      <c r="M393" s="55"/>
      <c r="T393" s="43"/>
    </row>
    <row r="394" spans="2:20">
      <c r="B394" s="53" t="s">
        <v>9</v>
      </c>
      <c r="C394" s="53">
        <v>8</v>
      </c>
      <c r="D394" s="43" t="s">
        <v>24</v>
      </c>
      <c r="E394" s="1"/>
      <c r="F394" s="1"/>
      <c r="G394" s="22" t="s">
        <v>22</v>
      </c>
      <c r="H394" s="70">
        <v>-1</v>
      </c>
      <c r="I394" s="43">
        <v>0.25</v>
      </c>
      <c r="J394" s="43">
        <v>0.35</v>
      </c>
      <c r="K394" s="54">
        <f t="shared" si="56"/>
        <v>1</v>
      </c>
      <c r="L394" s="55">
        <f t="shared" si="57"/>
        <v>-8.7499999999999994E-2</v>
      </c>
      <c r="M394" s="55"/>
      <c r="T394" s="43"/>
    </row>
    <row r="395" spans="2:20">
      <c r="B395" s="53" t="s">
        <v>11</v>
      </c>
      <c r="C395" s="53">
        <v>1</v>
      </c>
      <c r="D395" s="43" t="s">
        <v>43</v>
      </c>
      <c r="E395" s="1"/>
      <c r="F395" s="1"/>
      <c r="G395" s="22" t="s">
        <v>22</v>
      </c>
      <c r="H395" s="70">
        <v>-1</v>
      </c>
      <c r="I395" s="43">
        <v>0.3</v>
      </c>
      <c r="J395" s="43">
        <v>0.3</v>
      </c>
      <c r="K395" s="54">
        <f t="shared" si="56"/>
        <v>1</v>
      </c>
      <c r="L395" s="55">
        <f t="shared" si="57"/>
        <v>-0.09</v>
      </c>
      <c r="M395" s="55"/>
      <c r="T395" s="43"/>
    </row>
    <row r="396" spans="2:20">
      <c r="B396" s="53" t="s">
        <v>11</v>
      </c>
      <c r="C396" s="53">
        <v>2</v>
      </c>
      <c r="D396" s="43" t="s">
        <v>42</v>
      </c>
      <c r="E396" s="1"/>
      <c r="F396" s="1"/>
      <c r="G396" s="22" t="s">
        <v>22</v>
      </c>
      <c r="H396" s="70">
        <v>-1</v>
      </c>
      <c r="I396" s="43">
        <v>0.4</v>
      </c>
      <c r="J396" s="43">
        <v>0.4</v>
      </c>
      <c r="K396" s="54">
        <f t="shared" si="56"/>
        <v>1</v>
      </c>
      <c r="L396" s="55">
        <f t="shared" si="57"/>
        <v>-0.16000000000000003</v>
      </c>
      <c r="M396" s="55"/>
      <c r="T396" s="43"/>
    </row>
    <row r="397" spans="2:20">
      <c r="B397" s="53" t="s">
        <v>8</v>
      </c>
      <c r="C397" s="53">
        <v>1</v>
      </c>
      <c r="D397" s="43" t="s">
        <v>42</v>
      </c>
      <c r="E397" s="1"/>
      <c r="F397" s="1"/>
      <c r="G397" s="22" t="s">
        <v>22</v>
      </c>
      <c r="H397" s="70">
        <v>-1</v>
      </c>
      <c r="I397" s="43">
        <v>0.4</v>
      </c>
      <c r="J397" s="43">
        <v>0.4</v>
      </c>
      <c r="K397" s="54">
        <f t="shared" si="56"/>
        <v>1</v>
      </c>
      <c r="L397" s="55">
        <f t="shared" si="57"/>
        <v>-0.16000000000000003</v>
      </c>
      <c r="M397" s="55"/>
    </row>
    <row r="398" spans="2:20">
      <c r="B398" s="53" t="s">
        <v>11</v>
      </c>
      <c r="C398" s="53">
        <v>3</v>
      </c>
      <c r="D398" s="43" t="s">
        <v>42</v>
      </c>
      <c r="E398" s="1"/>
      <c r="F398" s="1"/>
      <c r="G398" s="22" t="s">
        <v>22</v>
      </c>
      <c r="H398" s="70">
        <v>-1</v>
      </c>
      <c r="I398" s="43">
        <v>0.4</v>
      </c>
      <c r="J398" s="43">
        <v>0.4</v>
      </c>
      <c r="K398" s="54">
        <f t="shared" si="56"/>
        <v>1</v>
      </c>
      <c r="L398" s="55">
        <f t="shared" si="57"/>
        <v>-0.16000000000000003</v>
      </c>
      <c r="M398" s="55"/>
      <c r="T398" s="43"/>
    </row>
    <row r="399" spans="2:20">
      <c r="B399" s="53" t="s">
        <v>11</v>
      </c>
      <c r="C399" s="53">
        <v>5</v>
      </c>
      <c r="D399" s="43" t="s">
        <v>43</v>
      </c>
      <c r="E399" s="1"/>
      <c r="F399" s="1"/>
      <c r="G399" s="22" t="s">
        <v>22</v>
      </c>
      <c r="H399" s="70">
        <v>-1</v>
      </c>
      <c r="I399" s="43">
        <v>0.3</v>
      </c>
      <c r="J399" s="43">
        <v>0.3</v>
      </c>
      <c r="K399" s="54">
        <f t="shared" si="56"/>
        <v>1</v>
      </c>
      <c r="L399" s="55">
        <f t="shared" si="57"/>
        <v>-0.09</v>
      </c>
      <c r="M399" s="55"/>
      <c r="T399" s="43"/>
    </row>
    <row r="400" spans="2:20">
      <c r="B400" s="53" t="s">
        <v>11</v>
      </c>
      <c r="C400" s="53">
        <v>6</v>
      </c>
      <c r="D400" s="43" t="s">
        <v>24</v>
      </c>
      <c r="E400" s="1"/>
      <c r="F400" s="1"/>
      <c r="G400" s="22" t="s">
        <v>22</v>
      </c>
      <c r="H400" s="70">
        <v>-1</v>
      </c>
      <c r="I400" s="43">
        <v>0.25</v>
      </c>
      <c r="J400" s="43">
        <v>0.35</v>
      </c>
      <c r="K400" s="54">
        <f t="shared" si="56"/>
        <v>1</v>
      </c>
      <c r="L400" s="55">
        <f t="shared" si="57"/>
        <v>-8.7499999999999994E-2</v>
      </c>
      <c r="M400" s="55"/>
      <c r="T400" s="43"/>
    </row>
    <row r="401" spans="1:20">
      <c r="B401" s="53" t="s">
        <v>11</v>
      </c>
      <c r="C401" s="53">
        <v>7</v>
      </c>
      <c r="D401" s="43" t="s">
        <v>24</v>
      </c>
      <c r="E401" s="1"/>
      <c r="F401" s="1"/>
      <c r="G401" s="22" t="s">
        <v>22</v>
      </c>
      <c r="H401" s="70">
        <v>-1</v>
      </c>
      <c r="I401" s="43">
        <v>0.25</v>
      </c>
      <c r="J401" s="43">
        <v>0.35</v>
      </c>
      <c r="K401" s="54">
        <f t="shared" si="56"/>
        <v>1</v>
      </c>
      <c r="L401" s="55">
        <f t="shared" si="57"/>
        <v>-8.7499999999999994E-2</v>
      </c>
      <c r="M401" s="55"/>
      <c r="T401" s="43"/>
    </row>
    <row r="402" spans="1:20">
      <c r="B402" s="53" t="s">
        <v>11</v>
      </c>
      <c r="C402" s="53">
        <v>8</v>
      </c>
      <c r="D402" s="43" t="s">
        <v>24</v>
      </c>
      <c r="E402" s="1"/>
      <c r="F402" s="1"/>
      <c r="G402" s="22" t="s">
        <v>22</v>
      </c>
      <c r="H402" s="70">
        <v>-1</v>
      </c>
      <c r="I402" s="43">
        <v>0.25</v>
      </c>
      <c r="J402" s="43">
        <v>0.35</v>
      </c>
      <c r="K402" s="54">
        <f t="shared" si="56"/>
        <v>1</v>
      </c>
      <c r="L402" s="55">
        <f t="shared" si="57"/>
        <v>-8.7499999999999994E-2</v>
      </c>
      <c r="M402" s="55"/>
      <c r="T402" s="43"/>
    </row>
    <row r="403" spans="1:20">
      <c r="A403" s="22"/>
      <c r="B403" s="53" t="s">
        <v>148</v>
      </c>
      <c r="C403" s="53"/>
      <c r="D403" s="53"/>
      <c r="E403" s="53"/>
      <c r="F403" s="53"/>
      <c r="G403" s="22"/>
      <c r="H403" s="55">
        <v>-3</v>
      </c>
      <c r="I403" s="55">
        <v>0.5</v>
      </c>
      <c r="J403" s="55">
        <v>0.5</v>
      </c>
      <c r="K403" s="55">
        <v>0.5</v>
      </c>
      <c r="L403" s="55">
        <f>K403*J403*I403*H403</f>
        <v>-0.375</v>
      </c>
      <c r="M403" s="55"/>
    </row>
    <row r="404" spans="1:20">
      <c r="A404" s="137" t="s">
        <v>41</v>
      </c>
      <c r="B404" s="137"/>
      <c r="C404" s="137"/>
      <c r="D404" s="137"/>
      <c r="E404" s="137"/>
      <c r="F404" s="137"/>
      <c r="G404" s="137"/>
      <c r="H404" s="137"/>
      <c r="I404" s="137"/>
      <c r="J404" s="137"/>
      <c r="K404" s="137"/>
      <c r="L404" s="137"/>
      <c r="M404" s="99">
        <f>SUM(L225:L232,L235:L403)</f>
        <v>90.143371999999843</v>
      </c>
    </row>
    <row r="405" spans="1:20" s="105" customFormat="1" ht="33.6" customHeight="1">
      <c r="A405" s="106">
        <v>19</v>
      </c>
      <c r="B405" s="135" t="s">
        <v>150</v>
      </c>
      <c r="C405" s="135"/>
      <c r="D405" s="135"/>
      <c r="E405" s="135"/>
      <c r="F405" s="135"/>
      <c r="G405" s="135"/>
      <c r="H405" s="135"/>
    </row>
    <row r="406" spans="1:20" s="70" customFormat="1">
      <c r="A406" s="139" t="s">
        <v>120</v>
      </c>
      <c r="B406" s="139"/>
      <c r="C406" s="139"/>
      <c r="D406" s="139"/>
      <c r="E406" s="139"/>
      <c r="F406" s="139"/>
    </row>
    <row r="407" spans="1:20" s="49" customFormat="1">
      <c r="B407" s="107" t="s">
        <v>2</v>
      </c>
      <c r="C407" s="107" t="s">
        <v>3</v>
      </c>
    </row>
    <row r="408" spans="1:20" s="49" customFormat="1">
      <c r="B408" s="111" t="s">
        <v>121</v>
      </c>
      <c r="C408" s="112" t="s">
        <v>122</v>
      </c>
      <c r="I408" s="49">
        <f>4.78+2.65+4.6</f>
        <v>12.03</v>
      </c>
      <c r="J408" s="136">
        <f>3.82+0.4+0.82+1.8+0.15+3.82</f>
        <v>10.81</v>
      </c>
      <c r="K408" s="136"/>
      <c r="L408" s="49">
        <f>I408*J408</f>
        <v>130.04429999999999</v>
      </c>
    </row>
    <row r="409" spans="1:20" s="70" customFormat="1">
      <c r="A409" s="139" t="s">
        <v>123</v>
      </c>
      <c r="B409" s="139"/>
      <c r="C409" s="139"/>
      <c r="D409" s="139"/>
      <c r="E409" s="139"/>
      <c r="F409" s="139"/>
    </row>
    <row r="410" spans="1:20" s="49" customFormat="1">
      <c r="B410" s="111" t="s">
        <v>121</v>
      </c>
      <c r="C410" s="112" t="s">
        <v>54</v>
      </c>
      <c r="I410" s="49">
        <f>2.32+7.25+2.48</f>
        <v>12.05</v>
      </c>
      <c r="J410" s="136">
        <f>3.82+0.4+0.82+1.8+0.15+3.82</f>
        <v>10.81</v>
      </c>
      <c r="K410" s="136"/>
      <c r="L410" s="49">
        <f>I410*J410</f>
        <v>130.26050000000001</v>
      </c>
    </row>
    <row r="411" spans="1:20">
      <c r="A411" s="137" t="s">
        <v>41</v>
      </c>
      <c r="B411" s="137"/>
      <c r="C411" s="137"/>
      <c r="D411" s="137"/>
      <c r="E411" s="137"/>
      <c r="F411" s="137"/>
      <c r="G411" s="137"/>
      <c r="H411" s="137"/>
      <c r="I411" s="137"/>
      <c r="J411" s="137"/>
      <c r="K411" s="137"/>
      <c r="L411" s="137"/>
      <c r="M411" s="99">
        <f>L408+L410</f>
        <v>260.3048</v>
      </c>
    </row>
  </sheetData>
  <mergeCells count="50">
    <mergeCell ref="A409:F409"/>
    <mergeCell ref="J410:K410"/>
    <mergeCell ref="A221:L221"/>
    <mergeCell ref="A411:L411"/>
    <mergeCell ref="B222:M222"/>
    <mergeCell ref="A404:L404"/>
    <mergeCell ref="B405:H405"/>
    <mergeCell ref="A406:F406"/>
    <mergeCell ref="J408:K408"/>
    <mergeCell ref="A219:M219"/>
    <mergeCell ref="A170:M170"/>
    <mergeCell ref="A189:L189"/>
    <mergeCell ref="A190:M190"/>
    <mergeCell ref="A215:L215"/>
    <mergeCell ref="A216:M216"/>
    <mergeCell ref="A218:L218"/>
    <mergeCell ref="A120:L120"/>
    <mergeCell ref="B121:M121"/>
    <mergeCell ref="A122:M122"/>
    <mergeCell ref="A147:L147"/>
    <mergeCell ref="A148:M148"/>
    <mergeCell ref="A169:L169"/>
    <mergeCell ref="A55:L55"/>
    <mergeCell ref="A56:M56"/>
    <mergeCell ref="A75:L75"/>
    <mergeCell ref="B76:M76"/>
    <mergeCell ref="A100:L100"/>
    <mergeCell ref="B101:M101"/>
    <mergeCell ref="B11:M11"/>
    <mergeCell ref="A22:L22"/>
    <mergeCell ref="B23:M23"/>
    <mergeCell ref="A24:M24"/>
    <mergeCell ref="A33:L33"/>
    <mergeCell ref="A34:M34"/>
    <mergeCell ref="K6:K7"/>
    <mergeCell ref="L6:L7"/>
    <mergeCell ref="M6:M7"/>
    <mergeCell ref="A8:M8"/>
    <mergeCell ref="B9:F9"/>
    <mergeCell ref="A10:M10"/>
    <mergeCell ref="A4:B4"/>
    <mergeCell ref="C4:K4"/>
    <mergeCell ref="L4:M4"/>
    <mergeCell ref="E5:J5"/>
    <mergeCell ref="A6:A7"/>
    <mergeCell ref="B6:F7"/>
    <mergeCell ref="G6:G7"/>
    <mergeCell ref="H6:H7"/>
    <mergeCell ref="I6:I7"/>
    <mergeCell ref="J6:J7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CB68864-B655-4B11-8311-57C975A94B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Detail quontitafif fondation</vt:lpstr>
      <vt:lpstr>Armatures </vt:lpstr>
      <vt:lpstr>ATTACHEMENT 1</vt:lpstr>
      <vt:lpstr>GO ATTACHEMENT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adnane amarzou</dc:creator>
  <cp:lastModifiedBy>Adnane AMARZOU</cp:lastModifiedBy>
  <cp:lastPrinted>2026-02-06T15:39:00Z</cp:lastPrinted>
  <dcterms:created xsi:type="dcterms:W3CDTF">2025-08-15T12:13:53Z</dcterms:created>
  <dcterms:modified xsi:type="dcterms:W3CDTF">2026-08-05T15:43:11Z</dcterms:modified>
</cp:coreProperties>
</file>