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etail_Quantitatif" sheetId="1" state="visible" r:id="rId1"/>
    <sheet name="02_Armatures" sheetId="2" state="visible" r:id="rId2"/>
    <sheet name="03_Attachement_Ferraillage" sheetId="3" state="visible" r:id="rId3"/>
    <sheet name="04_GO_Attachement" sheetId="4" state="visible" r:id="rId4"/>
    <sheet name="05_Catalogue_Armatures_Stand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i val="1"/>
      <color rgb="000000AA"/>
      <sz val="10"/>
    </font>
    <font>
      <name val="Segoe UI"/>
      <b val="1"/>
      <color rgb="000F172A"/>
      <sz val="10"/>
    </font>
    <font>
      <name val="Segoe UI"/>
      <i val="1"/>
      <color rgb="00FFFFFF"/>
      <sz val="10"/>
    </font>
    <font>
      <name val="Segoe UI"/>
      <b val="1"/>
      <color rgb="001B365D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2E5B88"/>
        <bgColor rgb="002E5B88"/>
      </patternFill>
    </fill>
    <fill>
      <patternFill patternType="solid">
        <fgColor rgb="00F0F4F8"/>
        <bgColor rgb="00F0F4F8"/>
      </patternFill>
    </fill>
    <fill>
      <patternFill patternType="solid">
        <fgColor rgb="000D9488"/>
        <bgColor rgb="000D9488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0" fontId="7" fillId="4" borderId="1" pivotButton="0" quotePrefix="0" xfId="0"/>
    <xf numFmtId="0" fontId="4" fillId="6" borderId="2" pivotButton="0" quotePrefix="0" xfId="0"/>
    <xf numFmtId="0" fontId="0" fillId="6" borderId="2" pivotButton="0" quotePrefix="0" xfId="0"/>
    <xf numFmtId="0" fontId="6" fillId="6" borderId="2" pivotButton="0" quotePrefix="0" xfId="0"/>
    <xf numFmtId="49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4" fontId="6" fillId="5" borderId="1" pivotButton="0" quotePrefix="0" xfId="0"/>
    <xf numFmtId="3" fontId="6" fillId="5" borderId="1" pivotButton="0" quotePrefix="0" xfId="0"/>
    <xf numFmtId="0" fontId="7" fillId="6" borderId="2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pivotButton="0" quotePrefix="0" xfId="0"/>
    <xf numFmtId="4" fontId="0" fillId="3" borderId="1" pivotButton="0" quotePrefix="0" xfId="0"/>
    <xf numFmtId="0" fontId="7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3" borderId="1" pivotButton="0" quotePrefix="0" xfId="0"/>
    <xf numFmtId="4" fontId="5" fillId="5" borderId="1" pivotButton="0" quotePrefix="0" xfId="0"/>
    <xf numFmtId="4" fontId="5" fillId="0" borderId="1" pivotButton="0" quotePrefix="0" xfId="0"/>
    <xf numFmtId="164" fontId="5" fillId="0" borderId="1" pivotButton="0" quotePrefix="0" xfId="0"/>
    <xf numFmtId="3" fontId="5" fillId="5" borderId="1" pivotButton="0" quotePrefix="0" xfId="0"/>
    <xf numFmtId="0" fontId="0" fillId="0" borderId="6" pivotButton="0" quotePrefix="0" xfId="0"/>
    <xf numFmtId="0" fontId="0" fillId="0" borderId="5" pivotButton="0" quotePrefix="0" xfId="0"/>
    <xf numFmtId="164" fontId="5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42" customWidth="1" min="4" max="4"/>
    <col width="6" customWidth="1" min="5" max="5"/>
    <col width="6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DÉTAIL QUANTITATIF ESTIMATIF — GROS ŒUVRES</t>
        </is>
      </c>
    </row>
    <row r="2">
      <c r="A2" s="2" t="inlineStr">
        <is>
          <t>N° Marché :</t>
        </is>
      </c>
      <c r="B2" s="3" t="n"/>
      <c r="C2" s="34" t="n"/>
      <c r="D2" s="2" t="inlineStr">
        <is>
          <t>Projet :</t>
        </is>
      </c>
      <c r="E2" s="3" t="inlineStr">
        <is>
          <t>Projet extrait</t>
        </is>
      </c>
      <c r="F2" s="35" t="n"/>
      <c r="G2" s="34" t="n"/>
      <c r="H2" s="2" t="inlineStr">
        <is>
          <t>Bâtiment :</t>
        </is>
      </c>
      <c r="I2" s="3" t="n"/>
      <c r="J2" s="35" t="n"/>
      <c r="K2" s="34" t="n"/>
    </row>
    <row r="3">
      <c r="A3" s="2" t="inlineStr">
        <is>
          <t>Date :</t>
        </is>
      </c>
      <c r="B3" s="3" t="n"/>
      <c r="C3" s="34" t="n"/>
      <c r="D3" s="2" t="inlineStr">
        <is>
          <t>Établi par :</t>
        </is>
      </c>
      <c r="E3" s="3" t="n"/>
      <c r="F3" s="35" t="n"/>
      <c r="G3" s="34" t="n"/>
      <c r="H3" s="2" t="inlineStr">
        <is>
          <t>Vérifié par :</t>
        </is>
      </c>
      <c r="I3" s="3" t="n"/>
      <c r="J3" s="35" t="n"/>
      <c r="K3" s="34" t="n"/>
    </row>
    <row r="4"/>
    <row r="5">
      <c r="A5" s="1" t="inlineStr">
        <is>
          <t>DÉTAIL QUANTITATIF — FONDATIONS &amp; ÉLÉVATION</t>
        </is>
      </c>
    </row>
    <row r="6">
      <c r="A6" s="4" t="inlineStr">
        <is>
          <t>N°</t>
        </is>
      </c>
      <c r="B6" s="4" t="inlineStr">
        <is>
          <t>Axe</t>
        </is>
      </c>
      <c r="C6" s="4" t="inlineStr">
        <is>
          <t>File</t>
        </is>
      </c>
      <c r="D6" s="4" t="inlineStr">
        <is>
          <t>Désignation des Ouvrages</t>
        </is>
      </c>
      <c r="E6" s="4" t="inlineStr">
        <is>
          <t>U</t>
        </is>
      </c>
      <c r="F6" s="4" t="inlineStr">
        <is>
          <t>N</t>
        </is>
      </c>
      <c r="G6" s="4" t="inlineStr">
        <is>
          <t>Longueur (m)</t>
        </is>
      </c>
      <c r="H6" s="4" t="inlineStr">
        <is>
          <t>Largeur (m)</t>
        </is>
      </c>
      <c r="I6" s="4" t="inlineStr">
        <is>
          <t>Hauteur (m)</t>
        </is>
      </c>
      <c r="J6" s="4" t="inlineStr">
        <is>
          <t>Qté Partielle</t>
        </is>
      </c>
      <c r="K6" s="4" t="inlineStr">
        <is>
          <t>Qté Totale</t>
        </is>
      </c>
    </row>
    <row r="7">
      <c r="A7" s="5" t="n">
        <v>1</v>
      </c>
      <c r="B7" s="5" t="n"/>
      <c r="C7" s="5" t="n"/>
      <c r="D7" s="5" t="inlineStr">
        <is>
          <t>Terrassement en fouilles</t>
        </is>
      </c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inlineStr">
        <is>
          <t>Axe</t>
        </is>
      </c>
      <c r="C8" s="5" t="inlineStr">
        <is>
          <t>File</t>
        </is>
      </c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7" t="n"/>
      <c r="B9" s="7" t="inlineStr">
        <is>
          <t>A</t>
        </is>
      </c>
      <c r="C9" s="7" t="inlineStr">
        <is>
          <t>5</t>
        </is>
      </c>
      <c r="D9" s="8" t="inlineStr">
        <is>
          <t>Fouille Semelle S2</t>
        </is>
      </c>
      <c r="E9" s="7" t="inlineStr">
        <is>
          <t>M3</t>
        </is>
      </c>
      <c r="F9" s="9" t="n">
        <v>1</v>
      </c>
      <c r="G9" s="10" t="n">
        <v>1.3</v>
      </c>
      <c r="H9" s="10" t="n">
        <v>1.3</v>
      </c>
      <c r="I9" s="10" t="n">
        <v>1.2</v>
      </c>
      <c r="J9" s="11">
        <f>IF(COUNTA(G9:I9)&gt;0,F9*PRODUCT(G9:I9),F9)</f>
        <v/>
      </c>
      <c r="K9" s="10" t="n"/>
    </row>
    <row r="10">
      <c r="A10" s="7" t="n"/>
      <c r="B10" s="7" t="inlineStr">
        <is>
          <t>A</t>
        </is>
      </c>
      <c r="C10" s="7" t="inlineStr">
        <is>
          <t>8</t>
        </is>
      </c>
      <c r="D10" s="8" t="inlineStr">
        <is>
          <t>Fouille Semelle S3</t>
        </is>
      </c>
      <c r="E10" s="7" t="inlineStr">
        <is>
          <t>M3</t>
        </is>
      </c>
      <c r="F10" s="9" t="n">
        <v>1</v>
      </c>
      <c r="G10" s="10" t="n">
        <v>1.4</v>
      </c>
      <c r="H10" s="10" t="n">
        <v>1.4</v>
      </c>
      <c r="I10" s="10" t="n">
        <v>1.2</v>
      </c>
      <c r="J10" s="11">
        <f>IF(COUNTA(G10:I10)&gt;0,F10*PRODUCT(G10:I10),F10)</f>
        <v/>
      </c>
      <c r="K10" s="10" t="n"/>
    </row>
    <row r="11">
      <c r="A11" s="7" t="n"/>
      <c r="B11" s="7" t="inlineStr">
        <is>
          <t>G</t>
        </is>
      </c>
      <c r="C11" s="7" t="inlineStr">
        <is>
          <t>8</t>
        </is>
      </c>
      <c r="D11" s="8" t="inlineStr">
        <is>
          <t>Fouille Semelle S3</t>
        </is>
      </c>
      <c r="E11" s="7" t="inlineStr">
        <is>
          <t>M3</t>
        </is>
      </c>
      <c r="F11" s="9" t="n">
        <v>1</v>
      </c>
      <c r="G11" s="10" t="n">
        <v>1.4</v>
      </c>
      <c r="H11" s="10" t="n">
        <v>1.4</v>
      </c>
      <c r="I11" s="10" t="n">
        <v>1.2</v>
      </c>
      <c r="J11" s="11">
        <f>IF(COUNTA(G11:I11)&gt;0,F11*PRODUCT(G11:I11),F11)</f>
        <v/>
      </c>
      <c r="K11" s="10" t="n"/>
    </row>
    <row r="12">
      <c r="A12" s="7" t="n"/>
      <c r="B12" s="7" t="inlineStr">
        <is>
          <t>G</t>
        </is>
      </c>
      <c r="C12" s="7" t="inlineStr">
        <is>
          <t>7</t>
        </is>
      </c>
      <c r="D12" s="8" t="inlineStr">
        <is>
          <t>Fouille Semelle S3</t>
        </is>
      </c>
      <c r="E12" s="7" t="inlineStr">
        <is>
          <t>M3</t>
        </is>
      </c>
      <c r="F12" s="9" t="n">
        <v>1</v>
      </c>
      <c r="G12" s="10" t="n">
        <v>1.4</v>
      </c>
      <c r="H12" s="10" t="n">
        <v>1.4</v>
      </c>
      <c r="I12" s="10" t="n">
        <v>1.2</v>
      </c>
      <c r="J12" s="11">
        <f>IF(COUNTA(G12:I12)&gt;0,F12*PRODUCT(G12:I12),F12)</f>
        <v/>
      </c>
      <c r="K12" s="10" t="n"/>
    </row>
    <row r="13">
      <c r="A13" s="7" t="n"/>
      <c r="B13" s="7" t="inlineStr">
        <is>
          <t>G</t>
        </is>
      </c>
      <c r="C13" s="7" t="inlineStr">
        <is>
          <t>6</t>
        </is>
      </c>
      <c r="D13" s="8" t="inlineStr">
        <is>
          <t>Fouille Semelle S3</t>
        </is>
      </c>
      <c r="E13" s="7" t="inlineStr">
        <is>
          <t>M3</t>
        </is>
      </c>
      <c r="F13" s="9" t="n">
        <v>1</v>
      </c>
      <c r="G13" s="10" t="n">
        <v>1.4</v>
      </c>
      <c r="H13" s="10" t="n">
        <v>1.4</v>
      </c>
      <c r="I13" s="10" t="n">
        <v>1.2</v>
      </c>
      <c r="J13" s="11">
        <f>IF(COUNTA(G13:I13)&gt;0,F13*PRODUCT(G13:I13),F13)</f>
        <v/>
      </c>
      <c r="K13" s="10" t="n"/>
    </row>
    <row r="14">
      <c r="A14" s="7" t="n"/>
      <c r="B14" s="7" t="inlineStr">
        <is>
          <t>A</t>
        </is>
      </c>
      <c r="C14" s="7" t="inlineStr">
        <is>
          <t>7</t>
        </is>
      </c>
      <c r="D14" s="8" t="inlineStr">
        <is>
          <t>Fouille Semelle S3</t>
        </is>
      </c>
      <c r="E14" s="7" t="inlineStr">
        <is>
          <t>M3</t>
        </is>
      </c>
      <c r="F14" s="9" t="n">
        <v>1</v>
      </c>
      <c r="G14" s="10" t="n">
        <v>1.4</v>
      </c>
      <c r="H14" s="10" t="n">
        <v>1.4</v>
      </c>
      <c r="I14" s="10" t="n">
        <v>1.2</v>
      </c>
      <c r="J14" s="11">
        <f>IF(COUNTA(G14:I14)&gt;0,F14*PRODUCT(G14:I14),F14)</f>
        <v/>
      </c>
      <c r="K14" s="10" t="n"/>
    </row>
    <row r="15">
      <c r="A15" s="7" t="n"/>
      <c r="B15" s="7" t="inlineStr">
        <is>
          <t>A</t>
        </is>
      </c>
      <c r="C15" s="7" t="inlineStr">
        <is>
          <t>6</t>
        </is>
      </c>
      <c r="D15" s="8" t="inlineStr">
        <is>
          <t>Fouille Semelle S3</t>
        </is>
      </c>
      <c r="E15" s="7" t="inlineStr">
        <is>
          <t>M3</t>
        </is>
      </c>
      <c r="F15" s="9" t="n">
        <v>1</v>
      </c>
      <c r="G15" s="10" t="n">
        <v>1.4</v>
      </c>
      <c r="H15" s="10" t="n">
        <v>1.4</v>
      </c>
      <c r="I15" s="10" t="n">
        <v>1.2</v>
      </c>
      <c r="J15" s="11">
        <f>IF(COUNTA(G15:I15)&gt;0,F15*PRODUCT(G15:I15),F15)</f>
        <v/>
      </c>
      <c r="K15" s="10" t="n"/>
    </row>
    <row r="16">
      <c r="A16" s="7" t="n"/>
      <c r="B16" s="7" t="inlineStr">
        <is>
          <t>D</t>
        </is>
      </c>
      <c r="C16" s="7" t="inlineStr">
        <is>
          <t>7</t>
        </is>
      </c>
      <c r="D16" s="8" t="inlineStr">
        <is>
          <t>Fouille Semelle S4</t>
        </is>
      </c>
      <c r="E16" s="7" t="inlineStr">
        <is>
          <t>M3</t>
        </is>
      </c>
      <c r="F16" s="9" t="n">
        <v>1</v>
      </c>
      <c r="G16" s="10" t="n">
        <v>1.7</v>
      </c>
      <c r="H16" s="10" t="n">
        <v>1.7</v>
      </c>
      <c r="I16" s="10" t="n">
        <v>1.2</v>
      </c>
      <c r="J16" s="11">
        <f>IF(COUNTA(G16:I16)&gt;0,F16*PRODUCT(G16:I16),F16)</f>
        <v/>
      </c>
      <c r="K16" s="10" t="n"/>
    </row>
    <row r="17">
      <c r="A17" s="7" t="n"/>
      <c r="B17" s="7" t="inlineStr">
        <is>
          <t>D</t>
        </is>
      </c>
      <c r="C17" s="7" t="inlineStr">
        <is>
          <t>8</t>
        </is>
      </c>
      <c r="D17" s="8" t="inlineStr">
        <is>
          <t>Fouille Semelle S3</t>
        </is>
      </c>
      <c r="E17" s="7" t="inlineStr">
        <is>
          <t>M3</t>
        </is>
      </c>
      <c r="F17" s="9" t="n">
        <v>1</v>
      </c>
      <c r="G17" s="10" t="n">
        <v>1.4</v>
      </c>
      <c r="H17" s="10" t="n">
        <v>1.4</v>
      </c>
      <c r="I17" s="10" t="n">
        <v>1.2</v>
      </c>
      <c r="J17" s="11">
        <f>IF(COUNTA(G17:I17)&gt;0,F17*PRODUCT(G17:I17),F17)</f>
        <v/>
      </c>
      <c r="K17" s="10" t="n"/>
    </row>
    <row r="18">
      <c r="A18" s="7" t="n"/>
      <c r="B18" s="7" t="inlineStr">
        <is>
          <t>B</t>
        </is>
      </c>
      <c r="C18" s="7" t="inlineStr">
        <is>
          <t>8</t>
        </is>
      </c>
      <c r="D18" s="8" t="inlineStr">
        <is>
          <t>Fouille Semelle S3</t>
        </is>
      </c>
      <c r="E18" s="7" t="inlineStr">
        <is>
          <t>M3</t>
        </is>
      </c>
      <c r="F18" s="9" t="n">
        <v>1</v>
      </c>
      <c r="G18" s="10" t="n">
        <v>1.4</v>
      </c>
      <c r="H18" s="10" t="n">
        <v>1.4</v>
      </c>
      <c r="I18" s="10" t="n">
        <v>1.2</v>
      </c>
      <c r="J18" s="11">
        <f>IF(COUNTA(G18:I18)&gt;0,F18*PRODUCT(G18:I18),F18)</f>
        <v/>
      </c>
      <c r="K18" s="10" t="n"/>
    </row>
    <row r="19">
      <c r="A19" s="7" t="n"/>
      <c r="B19" s="7" t="inlineStr">
        <is>
          <t>G</t>
        </is>
      </c>
      <c r="C19" s="7" t="inlineStr">
        <is>
          <t>1</t>
        </is>
      </c>
      <c r="D19" s="8" t="inlineStr">
        <is>
          <t>Fouille Semelle S1</t>
        </is>
      </c>
      <c r="E19" s="7" t="inlineStr">
        <is>
          <t>M3</t>
        </is>
      </c>
      <c r="F19" s="9" t="n">
        <v>1</v>
      </c>
      <c r="G19" s="10" t="n">
        <v>1.2</v>
      </c>
      <c r="H19" s="10" t="n">
        <v>1.2</v>
      </c>
      <c r="I19" s="10" t="n">
        <v>1.2</v>
      </c>
      <c r="J19" s="11">
        <f>IF(COUNTA(G19:I19)&gt;0,F19*PRODUCT(G19:I19),F19)</f>
        <v/>
      </c>
      <c r="K19" s="10" t="n"/>
    </row>
    <row r="20">
      <c r="A20" s="7" t="n"/>
      <c r="B20" s="7" t="inlineStr">
        <is>
          <t>A</t>
        </is>
      </c>
      <c r="C20" s="7" t="inlineStr">
        <is>
          <t>1</t>
        </is>
      </c>
      <c r="D20" s="8" t="inlineStr">
        <is>
          <t>Fouille Semelle S1</t>
        </is>
      </c>
      <c r="E20" s="7" t="inlineStr">
        <is>
          <t>M3</t>
        </is>
      </c>
      <c r="F20" s="9" t="n">
        <v>1</v>
      </c>
      <c r="G20" s="10" t="n">
        <v>1.2</v>
      </c>
      <c r="H20" s="10" t="n">
        <v>1.2</v>
      </c>
      <c r="I20" s="10" t="n">
        <v>1.2</v>
      </c>
      <c r="J20" s="11">
        <f>IF(COUNTA(G20:I20)&gt;0,F20*PRODUCT(G20:I20),F20)</f>
        <v/>
      </c>
      <c r="K20" s="10" t="n"/>
    </row>
    <row r="21">
      <c r="A21" s="7" t="n"/>
      <c r="B21" s="7" t="inlineStr">
        <is>
          <t>F</t>
        </is>
      </c>
      <c r="C21" s="7" t="inlineStr">
        <is>
          <t>5</t>
        </is>
      </c>
      <c r="D21" s="8" t="inlineStr">
        <is>
          <t>Fouille Semelle S5</t>
        </is>
      </c>
      <c r="E21" s="7" t="inlineStr">
        <is>
          <t>M3</t>
        </is>
      </c>
      <c r="F21" s="9" t="n">
        <v>1</v>
      </c>
      <c r="G21" s="10" t="n">
        <v>1.7</v>
      </c>
      <c r="H21" s="10" t="n">
        <v>1.7</v>
      </c>
      <c r="I21" s="10" t="n">
        <v>1.2</v>
      </c>
      <c r="J21" s="11">
        <f>IF(COUNTA(G21:I21)&gt;0,F21*PRODUCT(G21:I21),F21)</f>
        <v/>
      </c>
      <c r="K21" s="10" t="n"/>
    </row>
    <row r="22">
      <c r="A22" s="7" t="n"/>
      <c r="B22" s="7" t="inlineStr">
        <is>
          <t>B</t>
        </is>
      </c>
      <c r="C22" s="7" t="inlineStr">
        <is>
          <t>5</t>
        </is>
      </c>
      <c r="D22" s="8" t="inlineStr">
        <is>
          <t>Fouille Semelle S5</t>
        </is>
      </c>
      <c r="E22" s="7" t="inlineStr">
        <is>
          <t>M3</t>
        </is>
      </c>
      <c r="F22" s="9" t="n">
        <v>1</v>
      </c>
      <c r="G22" s="10" t="n">
        <v>1.7</v>
      </c>
      <c r="H22" s="10" t="n">
        <v>1.7</v>
      </c>
      <c r="I22" s="10" t="n">
        <v>1.2</v>
      </c>
      <c r="J22" s="11">
        <f>IF(COUNTA(G22:I22)&gt;0,F22*PRODUCT(G22:I22),F22)</f>
        <v/>
      </c>
      <c r="K22" s="10" t="n"/>
    </row>
    <row r="23">
      <c r="A23" s="7" t="n"/>
      <c r="B23" s="7" t="inlineStr">
        <is>
          <t>D</t>
        </is>
      </c>
      <c r="C23" s="7" t="inlineStr">
        <is>
          <t>6</t>
        </is>
      </c>
      <c r="D23" s="8" t="inlineStr">
        <is>
          <t>Fouille Semelle S4</t>
        </is>
      </c>
      <c r="E23" s="7" t="inlineStr">
        <is>
          <t>M3</t>
        </is>
      </c>
      <c r="F23" s="9" t="n">
        <v>1</v>
      </c>
      <c r="G23" s="10" t="n">
        <v>1.7</v>
      </c>
      <c r="H23" s="10" t="n">
        <v>1.7</v>
      </c>
      <c r="I23" s="10" t="n">
        <v>1.2</v>
      </c>
      <c r="J23" s="11">
        <f>IF(COUNTA(G23:I23)&gt;0,F23*PRODUCT(G23:I23),F23)</f>
        <v/>
      </c>
      <c r="K23" s="10" t="n"/>
    </row>
    <row r="24">
      <c r="A24" s="7" t="n"/>
      <c r="B24" s="7" t="inlineStr">
        <is>
          <t>F</t>
        </is>
      </c>
      <c r="C24" s="7" t="inlineStr">
        <is>
          <t>6</t>
        </is>
      </c>
      <c r="D24" s="8" t="inlineStr">
        <is>
          <t>Fouille Semelle S4</t>
        </is>
      </c>
      <c r="E24" s="7" t="inlineStr">
        <is>
          <t>M3</t>
        </is>
      </c>
      <c r="F24" s="9" t="n">
        <v>1</v>
      </c>
      <c r="G24" s="10" t="n">
        <v>1.7</v>
      </c>
      <c r="H24" s="10" t="n">
        <v>1.7</v>
      </c>
      <c r="I24" s="10" t="n">
        <v>1.2</v>
      </c>
      <c r="J24" s="11">
        <f>IF(COUNTA(G24:I24)&gt;0,F24*PRODUCT(G24:I24),F24)</f>
        <v/>
      </c>
      <c r="K24" s="10" t="n"/>
    </row>
    <row r="25">
      <c r="A25" s="7" t="n"/>
      <c r="B25" s="7" t="inlineStr">
        <is>
          <t>F</t>
        </is>
      </c>
      <c r="C25" s="7" t="inlineStr">
        <is>
          <t>7</t>
        </is>
      </c>
      <c r="D25" s="8" t="inlineStr">
        <is>
          <t>Fouille Semelle S4</t>
        </is>
      </c>
      <c r="E25" s="7" t="inlineStr">
        <is>
          <t>M3</t>
        </is>
      </c>
      <c r="F25" s="9" t="n">
        <v>1</v>
      </c>
      <c r="G25" s="10" t="n">
        <v>1.7</v>
      </c>
      <c r="H25" s="10" t="n">
        <v>1.7</v>
      </c>
      <c r="I25" s="10" t="n">
        <v>1.2</v>
      </c>
      <c r="J25" s="11">
        <f>IF(COUNTA(G25:I25)&gt;0,F25*PRODUCT(G25:I25),F25)</f>
        <v/>
      </c>
      <c r="K25" s="10" t="n"/>
    </row>
    <row r="26">
      <c r="A26" s="7" t="n"/>
      <c r="B26" s="7" t="inlineStr">
        <is>
          <t>A</t>
        </is>
      </c>
      <c r="C26" s="7" t="inlineStr">
        <is>
          <t>2</t>
        </is>
      </c>
      <c r="D26" s="8" t="inlineStr">
        <is>
          <t>Fouille Semelle S4</t>
        </is>
      </c>
      <c r="E26" s="7" t="inlineStr">
        <is>
          <t>M3</t>
        </is>
      </c>
      <c r="F26" s="9" t="n">
        <v>1</v>
      </c>
      <c r="G26" s="10" t="n">
        <v>1.7</v>
      </c>
      <c r="H26" s="10" t="n">
        <v>1.7</v>
      </c>
      <c r="I26" s="10" t="n">
        <v>1.2</v>
      </c>
      <c r="J26" s="11">
        <f>IF(COUNTA(G26:I26)&gt;0,F26*PRODUCT(G26:I26),F26)</f>
        <v/>
      </c>
      <c r="K26" s="10" t="n"/>
    </row>
    <row r="27">
      <c r="A27" s="7" t="n"/>
      <c r="B27" s="7" t="inlineStr">
        <is>
          <t>A</t>
        </is>
      </c>
      <c r="C27" s="7" t="inlineStr">
        <is>
          <t>4</t>
        </is>
      </c>
      <c r="D27" s="8" t="inlineStr">
        <is>
          <t>Fouille Semelle S4</t>
        </is>
      </c>
      <c r="E27" s="7" t="inlineStr">
        <is>
          <t>M3</t>
        </is>
      </c>
      <c r="F27" s="9" t="n">
        <v>1</v>
      </c>
      <c r="G27" s="10" t="n">
        <v>1.7</v>
      </c>
      <c r="H27" s="10" t="n">
        <v>1.7</v>
      </c>
      <c r="I27" s="10" t="n">
        <v>1.2</v>
      </c>
      <c r="J27" s="11">
        <f>IF(COUNTA(G27:I27)&gt;0,F27*PRODUCT(G27:I27),F27)</f>
        <v/>
      </c>
      <c r="K27" s="10" t="n"/>
    </row>
    <row r="28">
      <c r="A28" s="7" t="n"/>
      <c r="B28" s="7" t="inlineStr">
        <is>
          <t>G</t>
        </is>
      </c>
      <c r="C28" s="7" t="inlineStr">
        <is>
          <t>2</t>
        </is>
      </c>
      <c r="D28" s="8" t="inlineStr">
        <is>
          <t>Fouille Semelle S4</t>
        </is>
      </c>
      <c r="E28" s="7" t="inlineStr">
        <is>
          <t>M3</t>
        </is>
      </c>
      <c r="F28" s="9" t="n">
        <v>1</v>
      </c>
      <c r="G28" s="10" t="n">
        <v>1.7</v>
      </c>
      <c r="H28" s="10" t="n">
        <v>1.7</v>
      </c>
      <c r="I28" s="10" t="n">
        <v>1.2</v>
      </c>
      <c r="J28" s="11">
        <f>IF(COUNTA(G28:I28)&gt;0,F28*PRODUCT(G28:I28),F28)</f>
        <v/>
      </c>
      <c r="K28" s="10" t="n"/>
    </row>
    <row r="29">
      <c r="A29" s="7" t="n"/>
      <c r="B29" s="7" t="inlineStr">
        <is>
          <t>G</t>
        </is>
      </c>
      <c r="C29" s="7" t="inlineStr">
        <is>
          <t>3</t>
        </is>
      </c>
      <c r="D29" s="8" t="inlineStr">
        <is>
          <t>Fouille Semelle S4</t>
        </is>
      </c>
      <c r="E29" s="7" t="inlineStr">
        <is>
          <t>M3</t>
        </is>
      </c>
      <c r="F29" s="9" t="n">
        <v>1</v>
      </c>
      <c r="G29" s="10" t="n">
        <v>1.7</v>
      </c>
      <c r="H29" s="10" t="n">
        <v>1.7</v>
      </c>
      <c r="I29" s="10" t="n">
        <v>1.2</v>
      </c>
      <c r="J29" s="11">
        <f>IF(COUNTA(G29:I29)&gt;0,F29*PRODUCT(G29:I29),F29)</f>
        <v/>
      </c>
      <c r="K29" s="10" t="n"/>
    </row>
    <row r="30">
      <c r="A30" s="7" t="n"/>
      <c r="B30" s="7" t="inlineStr">
        <is>
          <t>B</t>
        </is>
      </c>
      <c r="C30" s="7" t="inlineStr">
        <is>
          <t>1</t>
        </is>
      </c>
      <c r="D30" s="8" t="inlineStr">
        <is>
          <t>Fouille Semelle S4</t>
        </is>
      </c>
      <c r="E30" s="7" t="inlineStr">
        <is>
          <t>M3</t>
        </is>
      </c>
      <c r="F30" s="9" t="n">
        <v>1</v>
      </c>
      <c r="G30" s="10" t="n">
        <v>1.7</v>
      </c>
      <c r="H30" s="10" t="n">
        <v>1.7</v>
      </c>
      <c r="I30" s="10" t="n">
        <v>1.2</v>
      </c>
      <c r="J30" s="11">
        <f>IF(COUNTA(G30:I30)&gt;0,F30*PRODUCT(G30:I30),F30)</f>
        <v/>
      </c>
      <c r="K30" s="10" t="n"/>
    </row>
    <row r="31">
      <c r="A31" s="7" t="n"/>
      <c r="B31" s="7" t="inlineStr">
        <is>
          <t>G</t>
        </is>
      </c>
      <c r="C31" s="7" t="inlineStr">
        <is>
          <t>5</t>
        </is>
      </c>
      <c r="D31" s="8" t="inlineStr">
        <is>
          <t>Fouille Semelle S5</t>
        </is>
      </c>
      <c r="E31" s="7" t="inlineStr">
        <is>
          <t>M3</t>
        </is>
      </c>
      <c r="F31" s="9" t="n">
        <v>1</v>
      </c>
      <c r="G31" s="10" t="n">
        <v>1.7</v>
      </c>
      <c r="H31" s="10" t="n">
        <v>1.7</v>
      </c>
      <c r="I31" s="10" t="n">
        <v>1.2</v>
      </c>
      <c r="J31" s="11">
        <f>IF(COUNTA(G31:I31)&gt;0,F31*PRODUCT(G31:I31),F31)</f>
        <v/>
      </c>
      <c r="K31" s="10" t="n"/>
    </row>
    <row r="32">
      <c r="A32" s="12" t="inlineStr">
        <is>
          <t>Ss-total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>
        <f>SUM(J9:J31)</f>
        <v/>
      </c>
      <c r="K32" s="12">
        <f>SUM(J9:J31)</f>
        <v/>
      </c>
    </row>
    <row r="33">
      <c r="A33" s="5" t="n">
        <v>2</v>
      </c>
      <c r="B33" s="5" t="n"/>
      <c r="C33" s="5" t="n"/>
      <c r="D33" s="5" t="inlineStr">
        <is>
          <t>Béton de propreté dosé à 150 kg/m³</t>
        </is>
      </c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inlineStr">
        <is>
          <t>Axe</t>
        </is>
      </c>
      <c r="C34" s="5" t="inlineStr">
        <is>
          <t>File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7" t="n"/>
      <c r="B35" s="7" t="inlineStr">
        <is>
          <t>A</t>
        </is>
      </c>
      <c r="C35" s="7" t="inlineStr">
        <is>
          <t>5</t>
        </is>
      </c>
      <c r="D35" s="8" t="inlineStr">
        <is>
          <t>BP Semelle S2</t>
        </is>
      </c>
      <c r="E35" s="7" t="inlineStr">
        <is>
          <t>M3</t>
        </is>
      </c>
      <c r="F35" s="9" t="n">
        <v>1</v>
      </c>
      <c r="G35" s="10" t="n">
        <v>1.2</v>
      </c>
      <c r="H35" s="10" t="n">
        <v>1.2</v>
      </c>
      <c r="I35" s="10" t="n">
        <v>0.1</v>
      </c>
      <c r="J35" s="11">
        <f>IF(COUNTA(G35:I35)&gt;0,F35*PRODUCT(G35:I35),F35)</f>
        <v/>
      </c>
      <c r="K35" s="10" t="n"/>
    </row>
    <row r="36">
      <c r="A36" s="7" t="n"/>
      <c r="B36" s="7" t="inlineStr">
        <is>
          <t>A</t>
        </is>
      </c>
      <c r="C36" s="7" t="inlineStr">
        <is>
          <t>8</t>
        </is>
      </c>
      <c r="D36" s="8" t="inlineStr">
        <is>
          <t>BP Semelle S3</t>
        </is>
      </c>
      <c r="E36" s="7" t="inlineStr">
        <is>
          <t>M3</t>
        </is>
      </c>
      <c r="F36" s="9" t="n">
        <v>1</v>
      </c>
      <c r="G36" s="10" t="n">
        <v>1.3</v>
      </c>
      <c r="H36" s="10" t="n">
        <v>1.3</v>
      </c>
      <c r="I36" s="10" t="n">
        <v>0.1</v>
      </c>
      <c r="J36" s="11">
        <f>IF(COUNTA(G36:I36)&gt;0,F36*PRODUCT(G36:I36),F36)</f>
        <v/>
      </c>
      <c r="K36" s="10" t="n"/>
    </row>
    <row r="37">
      <c r="A37" s="7" t="n"/>
      <c r="B37" s="7" t="inlineStr">
        <is>
          <t>G</t>
        </is>
      </c>
      <c r="C37" s="7" t="inlineStr">
        <is>
          <t>8</t>
        </is>
      </c>
      <c r="D37" s="8" t="inlineStr">
        <is>
          <t>BP Semelle S3</t>
        </is>
      </c>
      <c r="E37" s="7" t="inlineStr">
        <is>
          <t>M3</t>
        </is>
      </c>
      <c r="F37" s="9" t="n">
        <v>1</v>
      </c>
      <c r="G37" s="10" t="n">
        <v>1.3</v>
      </c>
      <c r="H37" s="10" t="n">
        <v>1.3</v>
      </c>
      <c r="I37" s="10" t="n">
        <v>0.1</v>
      </c>
      <c r="J37" s="11">
        <f>IF(COUNTA(G37:I37)&gt;0,F37*PRODUCT(G37:I37),F37)</f>
        <v/>
      </c>
      <c r="K37" s="10" t="n"/>
    </row>
    <row r="38">
      <c r="A38" s="7" t="n"/>
      <c r="B38" s="7" t="inlineStr">
        <is>
          <t>G</t>
        </is>
      </c>
      <c r="C38" s="7" t="inlineStr">
        <is>
          <t>7</t>
        </is>
      </c>
      <c r="D38" s="8" t="inlineStr">
        <is>
          <t>BP Semelle S3</t>
        </is>
      </c>
      <c r="E38" s="7" t="inlineStr">
        <is>
          <t>M3</t>
        </is>
      </c>
      <c r="F38" s="9" t="n">
        <v>1</v>
      </c>
      <c r="G38" s="10" t="n">
        <v>1.3</v>
      </c>
      <c r="H38" s="10" t="n">
        <v>1.3</v>
      </c>
      <c r="I38" s="10" t="n">
        <v>0.1</v>
      </c>
      <c r="J38" s="11">
        <f>IF(COUNTA(G38:I38)&gt;0,F38*PRODUCT(G38:I38),F38)</f>
        <v/>
      </c>
      <c r="K38" s="10" t="n"/>
    </row>
    <row r="39">
      <c r="A39" s="7" t="n"/>
      <c r="B39" s="7" t="inlineStr">
        <is>
          <t>G</t>
        </is>
      </c>
      <c r="C39" s="7" t="inlineStr">
        <is>
          <t>6</t>
        </is>
      </c>
      <c r="D39" s="8" t="inlineStr">
        <is>
          <t>BP Semelle S3</t>
        </is>
      </c>
      <c r="E39" s="7" t="inlineStr">
        <is>
          <t>M3</t>
        </is>
      </c>
      <c r="F39" s="9" t="n">
        <v>1</v>
      </c>
      <c r="G39" s="10" t="n">
        <v>1.3</v>
      </c>
      <c r="H39" s="10" t="n">
        <v>1.3</v>
      </c>
      <c r="I39" s="10" t="n">
        <v>0.1</v>
      </c>
      <c r="J39" s="11">
        <f>IF(COUNTA(G39:I39)&gt;0,F39*PRODUCT(G39:I39),F39)</f>
        <v/>
      </c>
      <c r="K39" s="10" t="n"/>
    </row>
    <row r="40">
      <c r="A40" s="7" t="n"/>
      <c r="B40" s="7" t="inlineStr">
        <is>
          <t>A</t>
        </is>
      </c>
      <c r="C40" s="7" t="inlineStr">
        <is>
          <t>7</t>
        </is>
      </c>
      <c r="D40" s="8" t="inlineStr">
        <is>
          <t>BP Semelle S3</t>
        </is>
      </c>
      <c r="E40" s="7" t="inlineStr">
        <is>
          <t>M3</t>
        </is>
      </c>
      <c r="F40" s="9" t="n">
        <v>1</v>
      </c>
      <c r="G40" s="10" t="n">
        <v>1.3</v>
      </c>
      <c r="H40" s="10" t="n">
        <v>1.3</v>
      </c>
      <c r="I40" s="10" t="n">
        <v>0.1</v>
      </c>
      <c r="J40" s="11">
        <f>IF(COUNTA(G40:I40)&gt;0,F40*PRODUCT(G40:I40),F40)</f>
        <v/>
      </c>
      <c r="K40" s="10" t="n"/>
    </row>
    <row r="41">
      <c r="A41" s="7" t="n"/>
      <c r="B41" s="7" t="inlineStr">
        <is>
          <t>A</t>
        </is>
      </c>
      <c r="C41" s="7" t="inlineStr">
        <is>
          <t>6</t>
        </is>
      </c>
      <c r="D41" s="8" t="inlineStr">
        <is>
          <t>BP Semelle S3</t>
        </is>
      </c>
      <c r="E41" s="7" t="inlineStr">
        <is>
          <t>M3</t>
        </is>
      </c>
      <c r="F41" s="9" t="n">
        <v>1</v>
      </c>
      <c r="G41" s="10" t="n">
        <v>1.3</v>
      </c>
      <c r="H41" s="10" t="n">
        <v>1.3</v>
      </c>
      <c r="I41" s="10" t="n">
        <v>0.1</v>
      </c>
      <c r="J41" s="11">
        <f>IF(COUNTA(G41:I41)&gt;0,F41*PRODUCT(G41:I41),F41)</f>
        <v/>
      </c>
      <c r="K41" s="10" t="n"/>
    </row>
    <row r="42">
      <c r="A42" s="7" t="n"/>
      <c r="B42" s="7" t="inlineStr">
        <is>
          <t>D</t>
        </is>
      </c>
      <c r="C42" s="7" t="inlineStr">
        <is>
          <t>7</t>
        </is>
      </c>
      <c r="D42" s="8" t="inlineStr">
        <is>
          <t>BP Semelle S4</t>
        </is>
      </c>
      <c r="E42" s="7" t="inlineStr">
        <is>
          <t>M3</t>
        </is>
      </c>
      <c r="F42" s="9" t="n">
        <v>1</v>
      </c>
      <c r="G42" s="10" t="n">
        <v>1.6</v>
      </c>
      <c r="H42" s="10" t="n">
        <v>1.6</v>
      </c>
      <c r="I42" s="10" t="n">
        <v>0.1</v>
      </c>
      <c r="J42" s="11">
        <f>IF(COUNTA(G42:I42)&gt;0,F42*PRODUCT(G42:I42),F42)</f>
        <v/>
      </c>
      <c r="K42" s="10" t="n"/>
    </row>
    <row r="43">
      <c r="A43" s="7" t="n"/>
      <c r="B43" s="7" t="inlineStr">
        <is>
          <t>D</t>
        </is>
      </c>
      <c r="C43" s="7" t="inlineStr">
        <is>
          <t>8</t>
        </is>
      </c>
      <c r="D43" s="8" t="inlineStr">
        <is>
          <t>BP Semelle S3</t>
        </is>
      </c>
      <c r="E43" s="7" t="inlineStr">
        <is>
          <t>M3</t>
        </is>
      </c>
      <c r="F43" s="9" t="n">
        <v>1</v>
      </c>
      <c r="G43" s="10" t="n">
        <v>1.3</v>
      </c>
      <c r="H43" s="10" t="n">
        <v>1.3</v>
      </c>
      <c r="I43" s="10" t="n">
        <v>0.1</v>
      </c>
      <c r="J43" s="11">
        <f>IF(COUNTA(G43:I43)&gt;0,F43*PRODUCT(G43:I43),F43)</f>
        <v/>
      </c>
      <c r="K43" s="10" t="n"/>
    </row>
    <row r="44">
      <c r="A44" s="7" t="n"/>
      <c r="B44" s="7" t="inlineStr">
        <is>
          <t>B</t>
        </is>
      </c>
      <c r="C44" s="7" t="inlineStr">
        <is>
          <t>8</t>
        </is>
      </c>
      <c r="D44" s="8" t="inlineStr">
        <is>
          <t>BP Semelle S3</t>
        </is>
      </c>
      <c r="E44" s="7" t="inlineStr">
        <is>
          <t>M3</t>
        </is>
      </c>
      <c r="F44" s="9" t="n">
        <v>1</v>
      </c>
      <c r="G44" s="10" t="n">
        <v>1.3</v>
      </c>
      <c r="H44" s="10" t="n">
        <v>1.3</v>
      </c>
      <c r="I44" s="10" t="n">
        <v>0.1</v>
      </c>
      <c r="J44" s="11">
        <f>IF(COUNTA(G44:I44)&gt;0,F44*PRODUCT(G44:I44),F44)</f>
        <v/>
      </c>
      <c r="K44" s="10" t="n"/>
    </row>
    <row r="45">
      <c r="A45" s="7" t="n"/>
      <c r="B45" s="7" t="inlineStr">
        <is>
          <t>G</t>
        </is>
      </c>
      <c r="C45" s="7" t="inlineStr">
        <is>
          <t>1</t>
        </is>
      </c>
      <c r="D45" s="8" t="inlineStr">
        <is>
          <t>BP Semelle S1</t>
        </is>
      </c>
      <c r="E45" s="7" t="inlineStr">
        <is>
          <t>M3</t>
        </is>
      </c>
      <c r="F45" s="9" t="n">
        <v>1</v>
      </c>
      <c r="G45" s="10" t="n">
        <v>1.1</v>
      </c>
      <c r="H45" s="10" t="n">
        <v>1.1</v>
      </c>
      <c r="I45" s="10" t="n">
        <v>0.1</v>
      </c>
      <c r="J45" s="11">
        <f>IF(COUNTA(G45:I45)&gt;0,F45*PRODUCT(G45:I45),F45)</f>
        <v/>
      </c>
      <c r="K45" s="10" t="n"/>
    </row>
    <row r="46">
      <c r="A46" s="7" t="n"/>
      <c r="B46" s="7" t="inlineStr">
        <is>
          <t>A</t>
        </is>
      </c>
      <c r="C46" s="7" t="inlineStr">
        <is>
          <t>1</t>
        </is>
      </c>
      <c r="D46" s="8" t="inlineStr">
        <is>
          <t>BP Semelle S1</t>
        </is>
      </c>
      <c r="E46" s="7" t="inlineStr">
        <is>
          <t>M3</t>
        </is>
      </c>
      <c r="F46" s="9" t="n">
        <v>1</v>
      </c>
      <c r="G46" s="10" t="n">
        <v>1.1</v>
      </c>
      <c r="H46" s="10" t="n">
        <v>1.1</v>
      </c>
      <c r="I46" s="10" t="n">
        <v>0.1</v>
      </c>
      <c r="J46" s="11">
        <f>IF(COUNTA(G46:I46)&gt;0,F46*PRODUCT(G46:I46),F46)</f>
        <v/>
      </c>
      <c r="K46" s="10" t="n"/>
    </row>
    <row r="47">
      <c r="A47" s="7" t="n"/>
      <c r="B47" s="7" t="inlineStr">
        <is>
          <t>F</t>
        </is>
      </c>
      <c r="C47" s="7" t="inlineStr">
        <is>
          <t>5</t>
        </is>
      </c>
      <c r="D47" s="8" t="inlineStr">
        <is>
          <t>BP Semelle S5</t>
        </is>
      </c>
      <c r="E47" s="7" t="inlineStr">
        <is>
          <t>M3</t>
        </is>
      </c>
      <c r="F47" s="9" t="n">
        <v>1</v>
      </c>
      <c r="G47" s="10" t="n">
        <v>1.6</v>
      </c>
      <c r="H47" s="10" t="n">
        <v>1.6</v>
      </c>
      <c r="I47" s="10" t="n">
        <v>0.1</v>
      </c>
      <c r="J47" s="11">
        <f>IF(COUNTA(G47:I47)&gt;0,F47*PRODUCT(G47:I47),F47)</f>
        <v/>
      </c>
      <c r="K47" s="10" t="n"/>
    </row>
    <row r="48">
      <c r="A48" s="7" t="n"/>
      <c r="B48" s="7" t="inlineStr">
        <is>
          <t>B</t>
        </is>
      </c>
      <c r="C48" s="7" t="inlineStr">
        <is>
          <t>5</t>
        </is>
      </c>
      <c r="D48" s="8" t="inlineStr">
        <is>
          <t>BP Semelle S5</t>
        </is>
      </c>
      <c r="E48" s="7" t="inlineStr">
        <is>
          <t>M3</t>
        </is>
      </c>
      <c r="F48" s="9" t="n">
        <v>1</v>
      </c>
      <c r="G48" s="10" t="n">
        <v>1.6</v>
      </c>
      <c r="H48" s="10" t="n">
        <v>1.6</v>
      </c>
      <c r="I48" s="10" t="n">
        <v>0.1</v>
      </c>
      <c r="J48" s="11">
        <f>IF(COUNTA(G48:I48)&gt;0,F48*PRODUCT(G48:I48),F48)</f>
        <v/>
      </c>
      <c r="K48" s="10" t="n"/>
    </row>
    <row r="49">
      <c r="A49" s="7" t="n"/>
      <c r="B49" s="7" t="inlineStr">
        <is>
          <t>D</t>
        </is>
      </c>
      <c r="C49" s="7" t="inlineStr">
        <is>
          <t>6</t>
        </is>
      </c>
      <c r="D49" s="8" t="inlineStr">
        <is>
          <t>BP Semelle S4</t>
        </is>
      </c>
      <c r="E49" s="7" t="inlineStr">
        <is>
          <t>M3</t>
        </is>
      </c>
      <c r="F49" s="9" t="n">
        <v>1</v>
      </c>
      <c r="G49" s="10" t="n">
        <v>1.6</v>
      </c>
      <c r="H49" s="10" t="n">
        <v>1.6</v>
      </c>
      <c r="I49" s="10" t="n">
        <v>0.1</v>
      </c>
      <c r="J49" s="11">
        <f>IF(COUNTA(G49:I49)&gt;0,F49*PRODUCT(G49:I49),F49)</f>
        <v/>
      </c>
      <c r="K49" s="10" t="n"/>
    </row>
    <row r="50">
      <c r="A50" s="7" t="n"/>
      <c r="B50" s="7" t="inlineStr">
        <is>
          <t>F</t>
        </is>
      </c>
      <c r="C50" s="7" t="inlineStr">
        <is>
          <t>6</t>
        </is>
      </c>
      <c r="D50" s="8" t="inlineStr">
        <is>
          <t>BP Semelle S4</t>
        </is>
      </c>
      <c r="E50" s="7" t="inlineStr">
        <is>
          <t>M3</t>
        </is>
      </c>
      <c r="F50" s="9" t="n">
        <v>1</v>
      </c>
      <c r="G50" s="10" t="n">
        <v>1.6</v>
      </c>
      <c r="H50" s="10" t="n">
        <v>1.6</v>
      </c>
      <c r="I50" s="10" t="n">
        <v>0.1</v>
      </c>
      <c r="J50" s="11">
        <f>IF(COUNTA(G50:I50)&gt;0,F50*PRODUCT(G50:I50),F50)</f>
        <v/>
      </c>
      <c r="K50" s="10" t="n"/>
    </row>
    <row r="51">
      <c r="A51" s="7" t="n"/>
      <c r="B51" s="7" t="inlineStr">
        <is>
          <t>F</t>
        </is>
      </c>
      <c r="C51" s="7" t="inlineStr">
        <is>
          <t>7</t>
        </is>
      </c>
      <c r="D51" s="8" t="inlineStr">
        <is>
          <t>BP Semelle S4</t>
        </is>
      </c>
      <c r="E51" s="7" t="inlineStr">
        <is>
          <t>M3</t>
        </is>
      </c>
      <c r="F51" s="9" t="n">
        <v>1</v>
      </c>
      <c r="G51" s="10" t="n">
        <v>1.6</v>
      </c>
      <c r="H51" s="10" t="n">
        <v>1.6</v>
      </c>
      <c r="I51" s="10" t="n">
        <v>0.1</v>
      </c>
      <c r="J51" s="11">
        <f>IF(COUNTA(G51:I51)&gt;0,F51*PRODUCT(G51:I51),F51)</f>
        <v/>
      </c>
      <c r="K51" s="10" t="n"/>
    </row>
    <row r="52">
      <c r="A52" s="7" t="n"/>
      <c r="B52" s="7" t="inlineStr">
        <is>
          <t>A</t>
        </is>
      </c>
      <c r="C52" s="7" t="inlineStr">
        <is>
          <t>2</t>
        </is>
      </c>
      <c r="D52" s="8" t="inlineStr">
        <is>
          <t>BP Semelle S4</t>
        </is>
      </c>
      <c r="E52" s="7" t="inlineStr">
        <is>
          <t>M3</t>
        </is>
      </c>
      <c r="F52" s="9" t="n">
        <v>1</v>
      </c>
      <c r="G52" s="10" t="n">
        <v>1.6</v>
      </c>
      <c r="H52" s="10" t="n">
        <v>1.6</v>
      </c>
      <c r="I52" s="10" t="n">
        <v>0.1</v>
      </c>
      <c r="J52" s="11">
        <f>IF(COUNTA(G52:I52)&gt;0,F52*PRODUCT(G52:I52),F52)</f>
        <v/>
      </c>
      <c r="K52" s="10" t="n"/>
    </row>
    <row r="53">
      <c r="A53" s="7" t="n"/>
      <c r="B53" s="7" t="inlineStr">
        <is>
          <t>A</t>
        </is>
      </c>
      <c r="C53" s="7" t="inlineStr">
        <is>
          <t>4</t>
        </is>
      </c>
      <c r="D53" s="8" t="inlineStr">
        <is>
          <t>BP Semelle S4</t>
        </is>
      </c>
      <c r="E53" s="7" t="inlineStr">
        <is>
          <t>M3</t>
        </is>
      </c>
      <c r="F53" s="9" t="n">
        <v>1</v>
      </c>
      <c r="G53" s="10" t="n">
        <v>1.6</v>
      </c>
      <c r="H53" s="10" t="n">
        <v>1.6</v>
      </c>
      <c r="I53" s="10" t="n">
        <v>0.1</v>
      </c>
      <c r="J53" s="11">
        <f>IF(COUNTA(G53:I53)&gt;0,F53*PRODUCT(G53:I53),F53)</f>
        <v/>
      </c>
      <c r="K53" s="10" t="n"/>
    </row>
    <row r="54">
      <c r="A54" s="7" t="n"/>
      <c r="B54" s="7" t="inlineStr">
        <is>
          <t>G</t>
        </is>
      </c>
      <c r="C54" s="7" t="inlineStr">
        <is>
          <t>2</t>
        </is>
      </c>
      <c r="D54" s="8" t="inlineStr">
        <is>
          <t>BP Semelle S4</t>
        </is>
      </c>
      <c r="E54" s="7" t="inlineStr">
        <is>
          <t>M3</t>
        </is>
      </c>
      <c r="F54" s="9" t="n">
        <v>1</v>
      </c>
      <c r="G54" s="10" t="n">
        <v>1.6</v>
      </c>
      <c r="H54" s="10" t="n">
        <v>1.6</v>
      </c>
      <c r="I54" s="10" t="n">
        <v>0.1</v>
      </c>
      <c r="J54" s="11">
        <f>IF(COUNTA(G54:I54)&gt;0,F54*PRODUCT(G54:I54),F54)</f>
        <v/>
      </c>
      <c r="K54" s="10" t="n"/>
    </row>
    <row r="55">
      <c r="A55" s="7" t="n"/>
      <c r="B55" s="7" t="inlineStr">
        <is>
          <t>G</t>
        </is>
      </c>
      <c r="C55" s="7" t="inlineStr">
        <is>
          <t>3</t>
        </is>
      </c>
      <c r="D55" s="8" t="inlineStr">
        <is>
          <t>BP Semelle S4</t>
        </is>
      </c>
      <c r="E55" s="7" t="inlineStr">
        <is>
          <t>M3</t>
        </is>
      </c>
      <c r="F55" s="9" t="n">
        <v>1</v>
      </c>
      <c r="G55" s="10" t="n">
        <v>1.6</v>
      </c>
      <c r="H55" s="10" t="n">
        <v>1.6</v>
      </c>
      <c r="I55" s="10" t="n">
        <v>0.1</v>
      </c>
      <c r="J55" s="11">
        <f>IF(COUNTA(G55:I55)&gt;0,F55*PRODUCT(G55:I55),F55)</f>
        <v/>
      </c>
      <c r="K55" s="10" t="n"/>
    </row>
    <row r="56">
      <c r="A56" s="7" t="n"/>
      <c r="B56" s="7" t="inlineStr">
        <is>
          <t>B</t>
        </is>
      </c>
      <c r="C56" s="7" t="inlineStr">
        <is>
          <t>1</t>
        </is>
      </c>
      <c r="D56" s="8" t="inlineStr">
        <is>
          <t>BP Semelle S4</t>
        </is>
      </c>
      <c r="E56" s="7" t="inlineStr">
        <is>
          <t>M3</t>
        </is>
      </c>
      <c r="F56" s="9" t="n">
        <v>1</v>
      </c>
      <c r="G56" s="10" t="n">
        <v>1.6</v>
      </c>
      <c r="H56" s="10" t="n">
        <v>1.6</v>
      </c>
      <c r="I56" s="10" t="n">
        <v>0.1</v>
      </c>
      <c r="J56" s="11">
        <f>IF(COUNTA(G56:I56)&gt;0,F56*PRODUCT(G56:I56),F56)</f>
        <v/>
      </c>
      <c r="K56" s="10" t="n"/>
    </row>
    <row r="57">
      <c r="A57" s="7" t="n"/>
      <c r="B57" s="7" t="inlineStr">
        <is>
          <t>G</t>
        </is>
      </c>
      <c r="C57" s="7" t="inlineStr">
        <is>
          <t>5</t>
        </is>
      </c>
      <c r="D57" s="8" t="inlineStr">
        <is>
          <t>BP Semelle S5</t>
        </is>
      </c>
      <c r="E57" s="7" t="inlineStr">
        <is>
          <t>M3</t>
        </is>
      </c>
      <c r="F57" s="9" t="n">
        <v>1</v>
      </c>
      <c r="G57" s="10" t="n">
        <v>1.6</v>
      </c>
      <c r="H57" s="10" t="n">
        <v>1.6</v>
      </c>
      <c r="I57" s="10" t="n">
        <v>0.1</v>
      </c>
      <c r="J57" s="11">
        <f>IF(COUNTA(G57:I57)&gt;0,F57*PRODUCT(G57:I57),F57)</f>
        <v/>
      </c>
      <c r="K57" s="10" t="n"/>
    </row>
    <row r="58">
      <c r="A58" s="12" t="inlineStr">
        <is>
          <t>Ss-total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>
        <f>SUM(J35:J57)</f>
        <v/>
      </c>
      <c r="K58" s="12">
        <f>SUM(J35:J57)</f>
        <v/>
      </c>
    </row>
    <row r="59">
      <c r="A59" s="5" t="n">
        <v>3</v>
      </c>
      <c r="B59" s="5" t="n"/>
      <c r="C59" s="5" t="n"/>
      <c r="D59" s="5" t="inlineStr">
        <is>
          <t>Béton armé en fondation dosé à 350 kg/m³</t>
        </is>
      </c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inlineStr">
        <is>
          <t>Axe</t>
        </is>
      </c>
      <c r="C60" s="5" t="inlineStr">
        <is>
          <t>File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7" t="n"/>
      <c r="B61" s="7" t="inlineStr">
        <is>
          <t>A</t>
        </is>
      </c>
      <c r="C61" s="7" t="inlineStr">
        <is>
          <t>5</t>
        </is>
      </c>
      <c r="D61" s="8" t="inlineStr">
        <is>
          <t>Semelle S2</t>
        </is>
      </c>
      <c r="E61" s="7" t="inlineStr">
        <is>
          <t>M3</t>
        </is>
      </c>
      <c r="F61" s="9" t="n">
        <v>1</v>
      </c>
      <c r="G61" s="10" t="n">
        <v>1.1</v>
      </c>
      <c r="H61" s="10" t="n">
        <v>1.1</v>
      </c>
      <c r="I61" s="10" t="n">
        <v>0.25</v>
      </c>
      <c r="J61" s="11">
        <f>IF(COUNTA(G61:I61)&gt;0,F61*PRODUCT(G61:I61),F61)</f>
        <v/>
      </c>
      <c r="K61" s="10" t="n"/>
    </row>
    <row r="62">
      <c r="A62" s="7" t="n"/>
      <c r="B62" s="7" t="inlineStr">
        <is>
          <t>A</t>
        </is>
      </c>
      <c r="C62" s="7" t="inlineStr">
        <is>
          <t>8</t>
        </is>
      </c>
      <c r="D62" s="8" t="inlineStr">
        <is>
          <t>Semelle S3</t>
        </is>
      </c>
      <c r="E62" s="7" t="inlineStr">
        <is>
          <t>M3</t>
        </is>
      </c>
      <c r="F62" s="9" t="n">
        <v>1</v>
      </c>
      <c r="G62" s="10" t="n">
        <v>1.2</v>
      </c>
      <c r="H62" s="10" t="n">
        <v>1.2</v>
      </c>
      <c r="I62" s="10" t="n">
        <v>0.3</v>
      </c>
      <c r="J62" s="11">
        <f>IF(COUNTA(G62:I62)&gt;0,F62*PRODUCT(G62:I62),F62)</f>
        <v/>
      </c>
      <c r="K62" s="10" t="n"/>
    </row>
    <row r="63">
      <c r="A63" s="7" t="n"/>
      <c r="B63" s="7" t="inlineStr">
        <is>
          <t>G</t>
        </is>
      </c>
      <c r="C63" s="7" t="inlineStr">
        <is>
          <t>8</t>
        </is>
      </c>
      <c r="D63" s="8" t="inlineStr">
        <is>
          <t>Semelle S3</t>
        </is>
      </c>
      <c r="E63" s="7" t="inlineStr">
        <is>
          <t>M3</t>
        </is>
      </c>
      <c r="F63" s="9" t="n">
        <v>1</v>
      </c>
      <c r="G63" s="10" t="n">
        <v>1.2</v>
      </c>
      <c r="H63" s="10" t="n">
        <v>1.2</v>
      </c>
      <c r="I63" s="10" t="n">
        <v>0.3</v>
      </c>
      <c r="J63" s="11">
        <f>IF(COUNTA(G63:I63)&gt;0,F63*PRODUCT(G63:I63),F63)</f>
        <v/>
      </c>
      <c r="K63" s="10" t="n"/>
    </row>
    <row r="64">
      <c r="A64" s="7" t="n"/>
      <c r="B64" s="7" t="inlineStr">
        <is>
          <t>G</t>
        </is>
      </c>
      <c r="C64" s="7" t="inlineStr">
        <is>
          <t>7</t>
        </is>
      </c>
      <c r="D64" s="8" t="inlineStr">
        <is>
          <t>Semelle S3</t>
        </is>
      </c>
      <c r="E64" s="7" t="inlineStr">
        <is>
          <t>M3</t>
        </is>
      </c>
      <c r="F64" s="9" t="n">
        <v>1</v>
      </c>
      <c r="G64" s="10" t="n">
        <v>1.2</v>
      </c>
      <c r="H64" s="10" t="n">
        <v>1.2</v>
      </c>
      <c r="I64" s="10" t="n">
        <v>0.3</v>
      </c>
      <c r="J64" s="11">
        <f>IF(COUNTA(G64:I64)&gt;0,F64*PRODUCT(G64:I64),F64)</f>
        <v/>
      </c>
      <c r="K64" s="10" t="n"/>
    </row>
    <row r="65">
      <c r="A65" s="7" t="n"/>
      <c r="B65" s="7" t="inlineStr">
        <is>
          <t>G</t>
        </is>
      </c>
      <c r="C65" s="7" t="inlineStr">
        <is>
          <t>6</t>
        </is>
      </c>
      <c r="D65" s="8" t="inlineStr">
        <is>
          <t>Semelle S3</t>
        </is>
      </c>
      <c r="E65" s="7" t="inlineStr">
        <is>
          <t>M3</t>
        </is>
      </c>
      <c r="F65" s="9" t="n">
        <v>1</v>
      </c>
      <c r="G65" s="10" t="n">
        <v>1.2</v>
      </c>
      <c r="H65" s="10" t="n">
        <v>1.2</v>
      </c>
      <c r="I65" s="10" t="n">
        <v>0.3</v>
      </c>
      <c r="J65" s="11">
        <f>IF(COUNTA(G65:I65)&gt;0,F65*PRODUCT(G65:I65),F65)</f>
        <v/>
      </c>
      <c r="K65" s="10" t="n"/>
    </row>
    <row r="66">
      <c r="A66" s="7" t="n"/>
      <c r="B66" s="7" t="inlineStr">
        <is>
          <t>A</t>
        </is>
      </c>
      <c r="C66" s="7" t="inlineStr">
        <is>
          <t>7</t>
        </is>
      </c>
      <c r="D66" s="8" t="inlineStr">
        <is>
          <t>Semelle S3</t>
        </is>
      </c>
      <c r="E66" s="7" t="inlineStr">
        <is>
          <t>M3</t>
        </is>
      </c>
      <c r="F66" s="9" t="n">
        <v>1</v>
      </c>
      <c r="G66" s="10" t="n">
        <v>1.2</v>
      </c>
      <c r="H66" s="10" t="n">
        <v>1.2</v>
      </c>
      <c r="I66" s="10" t="n">
        <v>0.3</v>
      </c>
      <c r="J66" s="11">
        <f>IF(COUNTA(G66:I66)&gt;0,F66*PRODUCT(G66:I66),F66)</f>
        <v/>
      </c>
      <c r="K66" s="10" t="n"/>
    </row>
    <row r="67">
      <c r="A67" s="7" t="n"/>
      <c r="B67" s="7" t="inlineStr">
        <is>
          <t>A</t>
        </is>
      </c>
      <c r="C67" s="7" t="inlineStr">
        <is>
          <t>6</t>
        </is>
      </c>
      <c r="D67" s="8" t="inlineStr">
        <is>
          <t>Semelle S3</t>
        </is>
      </c>
      <c r="E67" s="7" t="inlineStr">
        <is>
          <t>M3</t>
        </is>
      </c>
      <c r="F67" s="9" t="n">
        <v>1</v>
      </c>
      <c r="G67" s="10" t="n">
        <v>1.2</v>
      </c>
      <c r="H67" s="10" t="n">
        <v>1.2</v>
      </c>
      <c r="I67" s="10" t="n">
        <v>0.3</v>
      </c>
      <c r="J67" s="11">
        <f>IF(COUNTA(G67:I67)&gt;0,F67*PRODUCT(G67:I67),F67)</f>
        <v/>
      </c>
      <c r="K67" s="10" t="n"/>
    </row>
    <row r="68">
      <c r="A68" s="7" t="n"/>
      <c r="B68" s="7" t="inlineStr">
        <is>
          <t>D</t>
        </is>
      </c>
      <c r="C68" s="7" t="inlineStr">
        <is>
          <t>7</t>
        </is>
      </c>
      <c r="D68" s="8" t="inlineStr">
        <is>
          <t>Semelle S4</t>
        </is>
      </c>
      <c r="E68" s="7" t="inlineStr">
        <is>
          <t>M3</t>
        </is>
      </c>
      <c r="F68" s="9" t="n">
        <v>1</v>
      </c>
      <c r="G68" s="10" t="n">
        <v>1.5</v>
      </c>
      <c r="H68" s="10" t="n">
        <v>1.5</v>
      </c>
      <c r="I68" s="10" t="n">
        <v>0.4</v>
      </c>
      <c r="J68" s="11">
        <f>IF(COUNTA(G68:I68)&gt;0,F68*PRODUCT(G68:I68),F68)</f>
        <v/>
      </c>
      <c r="K68" s="10" t="n"/>
    </row>
    <row r="69">
      <c r="A69" s="7" t="n"/>
      <c r="B69" s="7" t="inlineStr">
        <is>
          <t>D</t>
        </is>
      </c>
      <c r="C69" s="7" t="inlineStr">
        <is>
          <t>8</t>
        </is>
      </c>
      <c r="D69" s="8" t="inlineStr">
        <is>
          <t>Semelle S3</t>
        </is>
      </c>
      <c r="E69" s="7" t="inlineStr">
        <is>
          <t>M3</t>
        </is>
      </c>
      <c r="F69" s="9" t="n">
        <v>1</v>
      </c>
      <c r="G69" s="10" t="n">
        <v>1.2</v>
      </c>
      <c r="H69" s="10" t="n">
        <v>1.2</v>
      </c>
      <c r="I69" s="10" t="n">
        <v>0.3</v>
      </c>
      <c r="J69" s="11">
        <f>IF(COUNTA(G69:I69)&gt;0,F69*PRODUCT(G69:I69),F69)</f>
        <v/>
      </c>
      <c r="K69" s="10" t="n"/>
    </row>
    <row r="70">
      <c r="A70" s="7" t="n"/>
      <c r="B70" s="7" t="inlineStr">
        <is>
          <t>B</t>
        </is>
      </c>
      <c r="C70" s="7" t="inlineStr">
        <is>
          <t>8</t>
        </is>
      </c>
      <c r="D70" s="8" t="inlineStr">
        <is>
          <t>Semelle S3</t>
        </is>
      </c>
      <c r="E70" s="7" t="inlineStr">
        <is>
          <t>M3</t>
        </is>
      </c>
      <c r="F70" s="9" t="n">
        <v>1</v>
      </c>
      <c r="G70" s="10" t="n">
        <v>1.2</v>
      </c>
      <c r="H70" s="10" t="n">
        <v>1.2</v>
      </c>
      <c r="I70" s="10" t="n">
        <v>0.3</v>
      </c>
      <c r="J70" s="11">
        <f>IF(COUNTA(G70:I70)&gt;0,F70*PRODUCT(G70:I70),F70)</f>
        <v/>
      </c>
      <c r="K70" s="10" t="n"/>
    </row>
    <row r="71">
      <c r="A71" s="7" t="n"/>
      <c r="B71" s="7" t="inlineStr">
        <is>
          <t>G</t>
        </is>
      </c>
      <c r="C71" s="7" t="inlineStr">
        <is>
          <t>1</t>
        </is>
      </c>
      <c r="D71" s="8" t="inlineStr">
        <is>
          <t>Semelle S1</t>
        </is>
      </c>
      <c r="E71" s="7" t="inlineStr">
        <is>
          <t>M3</t>
        </is>
      </c>
      <c r="F71" s="9" t="n">
        <v>1</v>
      </c>
      <c r="G71" s="10" t="n">
        <v>1</v>
      </c>
      <c r="H71" s="10" t="n">
        <v>1</v>
      </c>
      <c r="I71" s="10" t="n">
        <v>0.25</v>
      </c>
      <c r="J71" s="11">
        <f>IF(COUNTA(G71:I71)&gt;0,F71*PRODUCT(G71:I71),F71)</f>
        <v/>
      </c>
      <c r="K71" s="10" t="n"/>
    </row>
    <row r="72">
      <c r="A72" s="7" t="n"/>
      <c r="B72" s="7" t="inlineStr">
        <is>
          <t>A</t>
        </is>
      </c>
      <c r="C72" s="7" t="inlineStr">
        <is>
          <t>1</t>
        </is>
      </c>
      <c r="D72" s="8" t="inlineStr">
        <is>
          <t>Semelle S1</t>
        </is>
      </c>
      <c r="E72" s="7" t="inlineStr">
        <is>
          <t>M3</t>
        </is>
      </c>
      <c r="F72" s="9" t="n">
        <v>1</v>
      </c>
      <c r="G72" s="10" t="n">
        <v>1</v>
      </c>
      <c r="H72" s="10" t="n">
        <v>1</v>
      </c>
      <c r="I72" s="10" t="n">
        <v>0.25</v>
      </c>
      <c r="J72" s="11">
        <f>IF(COUNTA(G72:I72)&gt;0,F72*PRODUCT(G72:I72),F72)</f>
        <v/>
      </c>
      <c r="K72" s="10" t="n"/>
    </row>
    <row r="73">
      <c r="A73" s="7" t="n"/>
      <c r="B73" s="7" t="inlineStr">
        <is>
          <t>F</t>
        </is>
      </c>
      <c r="C73" s="7" t="inlineStr">
        <is>
          <t>5</t>
        </is>
      </c>
      <c r="D73" s="8" t="inlineStr">
        <is>
          <t>Semelle S5</t>
        </is>
      </c>
      <c r="E73" s="7" t="inlineStr">
        <is>
          <t>M3</t>
        </is>
      </c>
      <c r="F73" s="9" t="n">
        <v>1</v>
      </c>
      <c r="G73" s="10" t="n">
        <v>1.5</v>
      </c>
      <c r="H73" s="10" t="n">
        <v>1.5</v>
      </c>
      <c r="I73" s="10" t="n">
        <v>0.4</v>
      </c>
      <c r="J73" s="11">
        <f>IF(COUNTA(G73:I73)&gt;0,F73*PRODUCT(G73:I73),F73)</f>
        <v/>
      </c>
      <c r="K73" s="10" t="n"/>
    </row>
    <row r="74">
      <c r="A74" s="7" t="n"/>
      <c r="B74" s="7" t="inlineStr">
        <is>
          <t>B</t>
        </is>
      </c>
      <c r="C74" s="7" t="inlineStr">
        <is>
          <t>5</t>
        </is>
      </c>
      <c r="D74" s="8" t="inlineStr">
        <is>
          <t>Semelle S5</t>
        </is>
      </c>
      <c r="E74" s="7" t="inlineStr">
        <is>
          <t>M3</t>
        </is>
      </c>
      <c r="F74" s="9" t="n">
        <v>1</v>
      </c>
      <c r="G74" s="10" t="n">
        <v>1.5</v>
      </c>
      <c r="H74" s="10" t="n">
        <v>1.5</v>
      </c>
      <c r="I74" s="10" t="n">
        <v>0.4</v>
      </c>
      <c r="J74" s="11">
        <f>IF(COUNTA(G74:I74)&gt;0,F74*PRODUCT(G74:I74),F74)</f>
        <v/>
      </c>
      <c r="K74" s="10" t="n"/>
    </row>
    <row r="75">
      <c r="A75" s="7" t="n"/>
      <c r="B75" s="7" t="inlineStr">
        <is>
          <t>D</t>
        </is>
      </c>
      <c r="C75" s="7" t="inlineStr">
        <is>
          <t>6</t>
        </is>
      </c>
      <c r="D75" s="8" t="inlineStr">
        <is>
          <t>Semelle S4</t>
        </is>
      </c>
      <c r="E75" s="7" t="inlineStr">
        <is>
          <t>M3</t>
        </is>
      </c>
      <c r="F75" s="9" t="n">
        <v>1</v>
      </c>
      <c r="G75" s="10" t="n">
        <v>1.5</v>
      </c>
      <c r="H75" s="10" t="n">
        <v>1.5</v>
      </c>
      <c r="I75" s="10" t="n">
        <v>0.4</v>
      </c>
      <c r="J75" s="11">
        <f>IF(COUNTA(G75:I75)&gt;0,F75*PRODUCT(G75:I75),F75)</f>
        <v/>
      </c>
      <c r="K75" s="10" t="n"/>
    </row>
    <row r="76">
      <c r="A76" s="7" t="n"/>
      <c r="B76" s="7" t="inlineStr">
        <is>
          <t>F</t>
        </is>
      </c>
      <c r="C76" s="7" t="inlineStr">
        <is>
          <t>6</t>
        </is>
      </c>
      <c r="D76" s="8" t="inlineStr">
        <is>
          <t>Semelle S4</t>
        </is>
      </c>
      <c r="E76" s="7" t="inlineStr">
        <is>
          <t>M3</t>
        </is>
      </c>
      <c r="F76" s="9" t="n">
        <v>1</v>
      </c>
      <c r="G76" s="10" t="n">
        <v>1.5</v>
      </c>
      <c r="H76" s="10" t="n">
        <v>1.5</v>
      </c>
      <c r="I76" s="10" t="n">
        <v>0.4</v>
      </c>
      <c r="J76" s="11">
        <f>IF(COUNTA(G76:I76)&gt;0,F76*PRODUCT(G76:I76),F76)</f>
        <v/>
      </c>
      <c r="K76" s="10" t="n"/>
    </row>
    <row r="77">
      <c r="A77" s="7" t="n"/>
      <c r="B77" s="7" t="inlineStr">
        <is>
          <t>F</t>
        </is>
      </c>
      <c r="C77" s="7" t="inlineStr">
        <is>
          <t>7</t>
        </is>
      </c>
      <c r="D77" s="8" t="inlineStr">
        <is>
          <t>Semelle S4</t>
        </is>
      </c>
      <c r="E77" s="7" t="inlineStr">
        <is>
          <t>M3</t>
        </is>
      </c>
      <c r="F77" s="9" t="n">
        <v>1</v>
      </c>
      <c r="G77" s="10" t="n">
        <v>1.5</v>
      </c>
      <c r="H77" s="10" t="n">
        <v>1.5</v>
      </c>
      <c r="I77" s="10" t="n">
        <v>0.4</v>
      </c>
      <c r="J77" s="11">
        <f>IF(COUNTA(G77:I77)&gt;0,F77*PRODUCT(G77:I77),F77)</f>
        <v/>
      </c>
      <c r="K77" s="10" t="n"/>
    </row>
    <row r="78">
      <c r="A78" s="7" t="n"/>
      <c r="B78" s="7" t="inlineStr">
        <is>
          <t>A</t>
        </is>
      </c>
      <c r="C78" s="7" t="inlineStr">
        <is>
          <t>2</t>
        </is>
      </c>
      <c r="D78" s="8" t="inlineStr">
        <is>
          <t>Semelle S4</t>
        </is>
      </c>
      <c r="E78" s="7" t="inlineStr">
        <is>
          <t>M3</t>
        </is>
      </c>
      <c r="F78" s="9" t="n">
        <v>1</v>
      </c>
      <c r="G78" s="10" t="n">
        <v>1.5</v>
      </c>
      <c r="H78" s="10" t="n">
        <v>1.5</v>
      </c>
      <c r="I78" s="10" t="n">
        <v>0.4</v>
      </c>
      <c r="J78" s="11">
        <f>IF(COUNTA(G78:I78)&gt;0,F78*PRODUCT(G78:I78),F78)</f>
        <v/>
      </c>
      <c r="K78" s="10" t="n"/>
    </row>
    <row r="79">
      <c r="A79" s="7" t="n"/>
      <c r="B79" s="7" t="inlineStr">
        <is>
          <t>A</t>
        </is>
      </c>
      <c r="C79" s="7" t="inlineStr">
        <is>
          <t>4</t>
        </is>
      </c>
      <c r="D79" s="8" t="inlineStr">
        <is>
          <t>Semelle S4</t>
        </is>
      </c>
      <c r="E79" s="7" t="inlineStr">
        <is>
          <t>M3</t>
        </is>
      </c>
      <c r="F79" s="9" t="n">
        <v>1</v>
      </c>
      <c r="G79" s="10" t="n">
        <v>1.5</v>
      </c>
      <c r="H79" s="10" t="n">
        <v>1.5</v>
      </c>
      <c r="I79" s="10" t="n">
        <v>0.4</v>
      </c>
      <c r="J79" s="11">
        <f>IF(COUNTA(G79:I79)&gt;0,F79*PRODUCT(G79:I79),F79)</f>
        <v/>
      </c>
      <c r="K79" s="10" t="n"/>
    </row>
    <row r="80">
      <c r="A80" s="7" t="n"/>
      <c r="B80" s="7" t="inlineStr">
        <is>
          <t>G</t>
        </is>
      </c>
      <c r="C80" s="7" t="inlineStr">
        <is>
          <t>2</t>
        </is>
      </c>
      <c r="D80" s="8" t="inlineStr">
        <is>
          <t>Semelle S4</t>
        </is>
      </c>
      <c r="E80" s="7" t="inlineStr">
        <is>
          <t>M3</t>
        </is>
      </c>
      <c r="F80" s="9" t="n">
        <v>1</v>
      </c>
      <c r="G80" s="10" t="n">
        <v>1.5</v>
      </c>
      <c r="H80" s="10" t="n">
        <v>1.5</v>
      </c>
      <c r="I80" s="10" t="n">
        <v>0.4</v>
      </c>
      <c r="J80" s="11">
        <f>IF(COUNTA(G80:I80)&gt;0,F80*PRODUCT(G80:I80),F80)</f>
        <v/>
      </c>
      <c r="K80" s="10" t="n"/>
    </row>
    <row r="81">
      <c r="A81" s="7" t="n"/>
      <c r="B81" s="7" t="inlineStr">
        <is>
          <t>G</t>
        </is>
      </c>
      <c r="C81" s="7" t="inlineStr">
        <is>
          <t>3</t>
        </is>
      </c>
      <c r="D81" s="8" t="inlineStr">
        <is>
          <t>Semelle S4</t>
        </is>
      </c>
      <c r="E81" s="7" t="inlineStr">
        <is>
          <t>M3</t>
        </is>
      </c>
      <c r="F81" s="9" t="n">
        <v>1</v>
      </c>
      <c r="G81" s="10" t="n">
        <v>1.5</v>
      </c>
      <c r="H81" s="10" t="n">
        <v>1.5</v>
      </c>
      <c r="I81" s="10" t="n">
        <v>0.4</v>
      </c>
      <c r="J81" s="11">
        <f>IF(COUNTA(G81:I81)&gt;0,F81*PRODUCT(G81:I81),F81)</f>
        <v/>
      </c>
      <c r="K81" s="10" t="n"/>
    </row>
    <row r="82">
      <c r="A82" s="7" t="n"/>
      <c r="B82" s="7" t="inlineStr">
        <is>
          <t>B</t>
        </is>
      </c>
      <c r="C82" s="7" t="inlineStr">
        <is>
          <t>1</t>
        </is>
      </c>
      <c r="D82" s="8" t="inlineStr">
        <is>
          <t>Semelle S4</t>
        </is>
      </c>
      <c r="E82" s="7" t="inlineStr">
        <is>
          <t>M3</t>
        </is>
      </c>
      <c r="F82" s="9" t="n">
        <v>1</v>
      </c>
      <c r="G82" s="10" t="n">
        <v>1.5</v>
      </c>
      <c r="H82" s="10" t="n">
        <v>1.5</v>
      </c>
      <c r="I82" s="10" t="n">
        <v>0.4</v>
      </c>
      <c r="J82" s="11">
        <f>IF(COUNTA(G82:I82)&gt;0,F82*PRODUCT(G82:I82),F82)</f>
        <v/>
      </c>
      <c r="K82" s="10" t="n"/>
    </row>
    <row r="83">
      <c r="A83" s="7" t="n"/>
      <c r="B83" s="7" t="inlineStr">
        <is>
          <t>G</t>
        </is>
      </c>
      <c r="C83" s="7" t="inlineStr">
        <is>
          <t>5</t>
        </is>
      </c>
      <c r="D83" s="8" t="inlineStr">
        <is>
          <t>Semelle S5</t>
        </is>
      </c>
      <c r="E83" s="7" t="inlineStr">
        <is>
          <t>M3</t>
        </is>
      </c>
      <c r="F83" s="9" t="n">
        <v>1</v>
      </c>
      <c r="G83" s="10" t="n">
        <v>1.5</v>
      </c>
      <c r="H83" s="10" t="n">
        <v>1.5</v>
      </c>
      <c r="I83" s="10" t="n">
        <v>0.4</v>
      </c>
      <c r="J83" s="11">
        <f>IF(COUNTA(G83:I83)&gt;0,F83*PRODUCT(G83:I83),F83)</f>
        <v/>
      </c>
      <c r="K83" s="10" t="n"/>
    </row>
    <row r="84">
      <c r="A84" s="12" t="inlineStr">
        <is>
          <t>Ss-total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>
        <f>SUM(J61:J83)</f>
        <v/>
      </c>
      <c r="K84" s="12">
        <f>SUM(J61:J83)</f>
        <v/>
      </c>
    </row>
    <row r="85">
      <c r="A85" s="5" t="n">
        <v>4</v>
      </c>
      <c r="B85" s="5" t="n"/>
      <c r="C85" s="5" t="n"/>
      <c r="D85" s="5" t="inlineStr">
        <is>
          <t>Béton pour fûts de poteaux en fondation</t>
        </is>
      </c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inlineStr">
        <is>
          <t>Axe</t>
        </is>
      </c>
      <c r="C86" s="5" t="inlineStr">
        <is>
          <t>File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7" t="n"/>
      <c r="B87" s="7" t="inlineStr"/>
      <c r="C87" s="7" t="inlineStr"/>
      <c r="D87" s="8" t="inlineStr">
        <is>
          <t>Fût P1</t>
        </is>
      </c>
      <c r="E87" s="7" t="inlineStr">
        <is>
          <t>M3</t>
        </is>
      </c>
      <c r="F87" s="9" t="n">
        <v>1</v>
      </c>
      <c r="G87" s="10" t="n">
        <v>0.25</v>
      </c>
      <c r="H87" s="10" t="n">
        <v>0.35</v>
      </c>
      <c r="I87" s="10" t="n">
        <v>3</v>
      </c>
      <c r="J87" s="11">
        <f>IF(COUNTA(G87:I87)&gt;0,F87*PRODUCT(G87:I87),F87)</f>
        <v/>
      </c>
      <c r="K87" s="10" t="n"/>
    </row>
    <row r="88">
      <c r="A88" s="7" t="n"/>
      <c r="B88" s="7" t="inlineStr"/>
      <c r="C88" s="7" t="inlineStr"/>
      <c r="D88" s="8" t="inlineStr">
        <is>
          <t>Fût P2</t>
        </is>
      </c>
      <c r="E88" s="7" t="inlineStr">
        <is>
          <t>M3</t>
        </is>
      </c>
      <c r="F88" s="9" t="n">
        <v>1</v>
      </c>
      <c r="G88" s="10" t="n">
        <v>0.4</v>
      </c>
      <c r="H88" s="10" t="n">
        <v>0.4</v>
      </c>
      <c r="I88" s="10" t="n">
        <v>3</v>
      </c>
      <c r="J88" s="11">
        <f>IF(COUNTA(G88:I88)&gt;0,F88*PRODUCT(G88:I88),F88)</f>
        <v/>
      </c>
      <c r="K88" s="10" t="n"/>
    </row>
    <row r="89">
      <c r="A89" s="7" t="n"/>
      <c r="B89" s="7" t="inlineStr"/>
      <c r="C89" s="7" t="inlineStr"/>
      <c r="D89" s="8" t="inlineStr">
        <is>
          <t>Fût P3</t>
        </is>
      </c>
      <c r="E89" s="7" t="inlineStr">
        <is>
          <t>M3</t>
        </is>
      </c>
      <c r="F89" s="9" t="n">
        <v>1</v>
      </c>
      <c r="G89" s="10" t="n">
        <v>0.3</v>
      </c>
      <c r="H89" s="10" t="n">
        <v>0.3</v>
      </c>
      <c r="I89" s="10" t="n">
        <v>3</v>
      </c>
      <c r="J89" s="11">
        <f>IF(COUNTA(G89:I89)&gt;0,F89*PRODUCT(G89:I89),F89)</f>
        <v/>
      </c>
      <c r="K89" s="10" t="n"/>
    </row>
    <row r="90">
      <c r="A90" s="7" t="n"/>
      <c r="B90" s="7" t="inlineStr"/>
      <c r="C90" s="7" t="inlineStr"/>
      <c r="D90" s="8" t="inlineStr">
        <is>
          <t>Fût P4</t>
        </is>
      </c>
      <c r="E90" s="7" t="inlineStr">
        <is>
          <t>M3</t>
        </is>
      </c>
      <c r="F90" s="9" t="n">
        <v>1</v>
      </c>
      <c r="G90" s="10" t="n">
        <v>0.35</v>
      </c>
      <c r="H90" s="10" t="n">
        <v>0.35</v>
      </c>
      <c r="I90" s="10" t="n">
        <v>3</v>
      </c>
      <c r="J90" s="11">
        <f>IF(COUNTA(G90:I90)&gt;0,F90*PRODUCT(G90:I90),F90)</f>
        <v/>
      </c>
      <c r="K90" s="10" t="n"/>
    </row>
    <row r="91">
      <c r="A91" s="12" t="inlineStr">
        <is>
          <t>Ss-total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>
        <f>SUM(J87:J90)</f>
        <v/>
      </c>
      <c r="K91" s="12">
        <f>SUM(J87:J90)</f>
        <v/>
      </c>
    </row>
    <row r="92">
      <c r="A92" s="13" t="inlineStr">
        <is>
          <t>TOTAL GÉNÉRAL</t>
        </is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5">
        <f>J32+J58+J84+J91</f>
        <v/>
      </c>
      <c r="K92" s="15">
        <f>K32+K58+K84+K91</f>
        <v/>
      </c>
    </row>
  </sheetData>
  <mergeCells count="8">
    <mergeCell ref="E2:G2"/>
    <mergeCell ref="B2:C2"/>
    <mergeCell ref="I2:K2"/>
    <mergeCell ref="B3:C3"/>
    <mergeCell ref="E3:G3"/>
    <mergeCell ref="A5:K5"/>
    <mergeCell ref="I3:K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NOMENCLATURE ET DÉCORTICAGE DÉTAILLÉ DES ARMATURES</t>
        </is>
      </c>
    </row>
    <row r="2">
      <c r="A2" s="2" t="inlineStr">
        <is>
          <t>Projet :</t>
        </is>
      </c>
      <c r="B2" s="3" t="n"/>
      <c r="C2" s="35" t="n"/>
      <c r="D2" s="35" t="n"/>
      <c r="E2" s="35" t="n"/>
      <c r="F2" s="34" t="n"/>
      <c r="K2" s="2" t="inlineStr">
        <is>
          <t>Date :</t>
        </is>
      </c>
      <c r="L2" s="3" t="n"/>
      <c r="M2" s="35" t="n"/>
      <c r="N2" s="34" t="n"/>
      <c r="O2" s="2" t="inlineStr">
        <is>
          <t>Indice :</t>
        </is>
      </c>
      <c r="P2" s="3" t="n"/>
      <c r="Q2" s="35" t="n"/>
      <c r="R2" s="35" t="n"/>
      <c r="S2" s="34" t="n"/>
    </row>
    <row r="3">
      <c r="A3" s="4" t="inlineStr">
        <is>
          <t>Repère / Ouvrage</t>
        </is>
      </c>
      <c r="B3" s="4" t="inlineStr">
        <is>
          <t>Axe</t>
        </is>
      </c>
      <c r="C3" s="4" t="inlineStr">
        <is>
          <t>File</t>
        </is>
      </c>
      <c r="D3" s="4" t="inlineStr">
        <is>
          <t>a (m)</t>
        </is>
      </c>
      <c r="E3" s="4" t="inlineStr">
        <is>
          <t>b (m)</t>
        </is>
      </c>
      <c r="F3" s="4" t="inlineStr">
        <is>
          <t>h (m)</t>
        </is>
      </c>
      <c r="G3" s="4" t="inlineStr">
        <is>
          <t>N° ELE</t>
        </is>
      </c>
      <c r="H3" s="4" t="inlineStr">
        <is>
          <t>NOMB B</t>
        </is>
      </c>
      <c r="I3" s="4" t="inlineStr">
        <is>
          <t>DIAM</t>
        </is>
      </c>
      <c r="J3" s="4" t="inlineStr">
        <is>
          <t>LONG (m)</t>
        </is>
      </c>
      <c r="K3" s="4" t="inlineStr">
        <is>
          <t>T6</t>
        </is>
      </c>
      <c r="L3" s="4" t="inlineStr">
        <is>
          <t>T8</t>
        </is>
      </c>
      <c r="M3" s="4" t="inlineStr">
        <is>
          <t>T10</t>
        </is>
      </c>
      <c r="N3" s="4" t="inlineStr">
        <is>
          <t>T12</t>
        </is>
      </c>
      <c r="O3" s="4" t="inlineStr">
        <is>
          <t>T14</t>
        </is>
      </c>
      <c r="P3" s="4" t="inlineStr">
        <is>
          <t>T16</t>
        </is>
      </c>
      <c r="Q3" s="4" t="inlineStr">
        <is>
          <t>T20</t>
        </is>
      </c>
      <c r="R3" s="4" t="inlineStr">
        <is>
          <t>T25</t>
        </is>
      </c>
      <c r="S3" s="4" t="inlineStr">
        <is>
          <t>T32</t>
        </is>
      </c>
    </row>
    <row r="4">
      <c r="A4" s="8" t="inlineStr">
        <is>
          <t>S2</t>
        </is>
      </c>
      <c r="B4" s="16" t="inlineStr">
        <is>
          <t>A</t>
        </is>
      </c>
      <c r="C4" s="16" t="inlineStr">
        <is>
          <t>5</t>
        </is>
      </c>
      <c r="D4" s="10" t="n">
        <v>1.1</v>
      </c>
      <c r="E4" s="10" t="n">
        <v>1.1</v>
      </c>
      <c r="F4" s="10" t="n">
        <v>0.25</v>
      </c>
      <c r="G4" s="17" t="n"/>
      <c r="H4" s="17" t="n"/>
      <c r="I4" s="17" t="n"/>
      <c r="J4" s="10" t="n"/>
      <c r="K4" s="11">
        <f>IF($I4=6,$G4*$H4*$J4,"")</f>
        <v/>
      </c>
      <c r="L4" s="11">
        <f>IF($I4=8,$G4*$H4*$J4,"")</f>
        <v/>
      </c>
      <c r="M4" s="11">
        <f>IF($I4=10,$G4*$H4*$J4,"")</f>
        <v/>
      </c>
      <c r="N4" s="11">
        <f>IF($I4=12,$G4*$H4*$J4,"")</f>
        <v/>
      </c>
      <c r="O4" s="11">
        <f>IF($I4=14,$G4*$H4*$J4,"")</f>
        <v/>
      </c>
      <c r="P4" s="11">
        <f>IF($I4=16,$G4*$H4*$J4,"")</f>
        <v/>
      </c>
      <c r="Q4" s="11">
        <f>IF($I4=20,$G4*$H4*$J4,"")</f>
        <v/>
      </c>
      <c r="R4" s="11">
        <f>IF($I4=25,$G4*$H4*$J4,"")</f>
        <v/>
      </c>
      <c r="S4" s="11">
        <f>IF($I4=32,$G4*$H4*$J4,"")</f>
        <v/>
      </c>
    </row>
    <row r="5">
      <c r="A5" s="8" t="inlineStr">
        <is>
          <t>Armature INF X</t>
        </is>
      </c>
      <c r="B5" s="16" t="n"/>
      <c r="C5" s="16" t="n"/>
      <c r="D5" s="10" t="n"/>
      <c r="E5" s="10" t="n"/>
      <c r="F5" s="10" t="n"/>
      <c r="G5" s="17" t="n">
        <v>1</v>
      </c>
      <c r="H5" s="17" t="n">
        <v>7</v>
      </c>
      <c r="I5" s="17" t="n">
        <v>12</v>
      </c>
      <c r="J5" s="10">
        <f>(E4-0.05)+34*I5/1000</f>
        <v/>
      </c>
      <c r="K5" s="11">
        <f>IF($I5=6,$G5*$H5*$J5,"")</f>
        <v/>
      </c>
      <c r="L5" s="11">
        <f>IF($I5=8,$G5*$H5*$J5,"")</f>
        <v/>
      </c>
      <c r="M5" s="11">
        <f>IF($I5=10,$G5*$H5*$J5,"")</f>
        <v/>
      </c>
      <c r="N5" s="11">
        <f>IF($I5=12,$G5*$H5*$J5,"")</f>
        <v/>
      </c>
      <c r="O5" s="11">
        <f>IF($I5=14,$G5*$H5*$J5,"")</f>
        <v/>
      </c>
      <c r="P5" s="11">
        <f>IF($I5=16,$G5*$H5*$J5,"")</f>
        <v/>
      </c>
      <c r="Q5" s="11">
        <f>IF($I5=20,$G5*$H5*$J5,"")</f>
        <v/>
      </c>
      <c r="R5" s="11">
        <f>IF($I5=25,$G5*$H5*$J5,"")</f>
        <v/>
      </c>
      <c r="S5" s="11">
        <f>IF($I5=32,$G5*$H5*$J5,"")</f>
        <v/>
      </c>
    </row>
    <row r="6">
      <c r="A6" s="8" t="inlineStr">
        <is>
          <t>Armature INF Y</t>
        </is>
      </c>
      <c r="B6" s="16" t="n"/>
      <c r="C6" s="16" t="n"/>
      <c r="D6" s="10" t="n"/>
      <c r="E6" s="10" t="n"/>
      <c r="F6" s="10" t="n"/>
      <c r="G6" s="17" t="n">
        <v>1</v>
      </c>
      <c r="H6" s="17" t="n">
        <v>7</v>
      </c>
      <c r="I6" s="17" t="n">
        <v>12</v>
      </c>
      <c r="J6" s="10">
        <f>(D4-0.05)+34*I6/1000</f>
        <v/>
      </c>
      <c r="K6" s="11">
        <f>IF($I6=6,$G6*$H6*$J6,"")</f>
        <v/>
      </c>
      <c r="L6" s="11">
        <f>IF($I6=8,$G6*$H6*$J6,"")</f>
        <v/>
      </c>
      <c r="M6" s="11">
        <f>IF($I6=10,$G6*$H6*$J6,"")</f>
        <v/>
      </c>
      <c r="N6" s="11">
        <f>IF($I6=12,$G6*$H6*$J6,"")</f>
        <v/>
      </c>
      <c r="O6" s="11">
        <f>IF($I6=14,$G6*$H6*$J6,"")</f>
        <v/>
      </c>
      <c r="P6" s="11">
        <f>IF($I6=16,$G6*$H6*$J6,"")</f>
        <v/>
      </c>
      <c r="Q6" s="11">
        <f>IF($I6=20,$G6*$H6*$J6,"")</f>
        <v/>
      </c>
      <c r="R6" s="11">
        <f>IF($I6=25,$G6*$H6*$J6,"")</f>
        <v/>
      </c>
      <c r="S6" s="11">
        <f>IF($I6=32,$G6*$H6*$J6,"")</f>
        <v/>
      </c>
    </row>
    <row r="7">
      <c r="A7" s="8" t="inlineStr">
        <is>
          <t>S3</t>
        </is>
      </c>
      <c r="B7" s="16" t="inlineStr">
        <is>
          <t>A</t>
        </is>
      </c>
      <c r="C7" s="16" t="inlineStr">
        <is>
          <t>8</t>
        </is>
      </c>
      <c r="D7" s="10" t="n">
        <v>1.2</v>
      </c>
      <c r="E7" s="10" t="n">
        <v>1.2</v>
      </c>
      <c r="F7" s="10" t="n">
        <v>0.3</v>
      </c>
      <c r="G7" s="17" t="n"/>
      <c r="H7" s="17" t="n"/>
      <c r="I7" s="17" t="n"/>
      <c r="J7" s="10" t="n"/>
      <c r="K7" s="11">
        <f>IF($I7=6,$G7*$H7*$J7,"")</f>
        <v/>
      </c>
      <c r="L7" s="11">
        <f>IF($I7=8,$G7*$H7*$J7,"")</f>
        <v/>
      </c>
      <c r="M7" s="11">
        <f>IF($I7=10,$G7*$H7*$J7,"")</f>
        <v/>
      </c>
      <c r="N7" s="11">
        <f>IF($I7=12,$G7*$H7*$J7,"")</f>
        <v/>
      </c>
      <c r="O7" s="11">
        <f>IF($I7=14,$G7*$H7*$J7,"")</f>
        <v/>
      </c>
      <c r="P7" s="11">
        <f>IF($I7=16,$G7*$H7*$J7,"")</f>
        <v/>
      </c>
      <c r="Q7" s="11">
        <f>IF($I7=20,$G7*$H7*$J7,"")</f>
        <v/>
      </c>
      <c r="R7" s="11">
        <f>IF($I7=25,$G7*$H7*$J7,"")</f>
        <v/>
      </c>
      <c r="S7" s="11">
        <f>IF($I7=32,$G7*$H7*$J7,"")</f>
        <v/>
      </c>
    </row>
    <row r="8">
      <c r="A8" s="8" t="inlineStr">
        <is>
          <t>Armature INF X</t>
        </is>
      </c>
      <c r="B8" s="16" t="n"/>
      <c r="C8" s="16" t="n"/>
      <c r="D8" s="10" t="n"/>
      <c r="E8" s="10" t="n"/>
      <c r="F8" s="10" t="n"/>
      <c r="G8" s="17" t="n">
        <v>1</v>
      </c>
      <c r="H8" s="17" t="n">
        <v>8</v>
      </c>
      <c r="I8" s="17" t="n">
        <v>12</v>
      </c>
      <c r="J8" s="10">
        <f>(E7-0.05)+34*I8/1000</f>
        <v/>
      </c>
      <c r="K8" s="11">
        <f>IF($I8=6,$G8*$H8*$J8,"")</f>
        <v/>
      </c>
      <c r="L8" s="11">
        <f>IF($I8=8,$G8*$H8*$J8,"")</f>
        <v/>
      </c>
      <c r="M8" s="11">
        <f>IF($I8=10,$G8*$H8*$J8,"")</f>
        <v/>
      </c>
      <c r="N8" s="11">
        <f>IF($I8=12,$G8*$H8*$J8,"")</f>
        <v/>
      </c>
      <c r="O8" s="11">
        <f>IF($I8=14,$G8*$H8*$J8,"")</f>
        <v/>
      </c>
      <c r="P8" s="11">
        <f>IF($I8=16,$G8*$H8*$J8,"")</f>
        <v/>
      </c>
      <c r="Q8" s="11">
        <f>IF($I8=20,$G8*$H8*$J8,"")</f>
        <v/>
      </c>
      <c r="R8" s="11">
        <f>IF($I8=25,$G8*$H8*$J8,"")</f>
        <v/>
      </c>
      <c r="S8" s="11">
        <f>IF($I8=32,$G8*$H8*$J8,"")</f>
        <v/>
      </c>
    </row>
    <row r="9">
      <c r="A9" s="8" t="inlineStr">
        <is>
          <t>Armature INF Y</t>
        </is>
      </c>
      <c r="B9" s="16" t="n"/>
      <c r="C9" s="16" t="n"/>
      <c r="D9" s="10" t="n"/>
      <c r="E9" s="10" t="n"/>
      <c r="F9" s="10" t="n"/>
      <c r="G9" s="17" t="n">
        <v>1</v>
      </c>
      <c r="H9" s="17" t="n">
        <v>8</v>
      </c>
      <c r="I9" s="17" t="n">
        <v>12</v>
      </c>
      <c r="J9" s="10">
        <f>(D7-0.05)+34*I9/1000</f>
        <v/>
      </c>
      <c r="K9" s="11">
        <f>IF($I9=6,$G9*$H9*$J9,"")</f>
        <v/>
      </c>
      <c r="L9" s="11">
        <f>IF($I9=8,$G9*$H9*$J9,"")</f>
        <v/>
      </c>
      <c r="M9" s="11">
        <f>IF($I9=10,$G9*$H9*$J9,"")</f>
        <v/>
      </c>
      <c r="N9" s="11">
        <f>IF($I9=12,$G9*$H9*$J9,"")</f>
        <v/>
      </c>
      <c r="O9" s="11">
        <f>IF($I9=14,$G9*$H9*$J9,"")</f>
        <v/>
      </c>
      <c r="P9" s="11">
        <f>IF($I9=16,$G9*$H9*$J9,"")</f>
        <v/>
      </c>
      <c r="Q9" s="11">
        <f>IF($I9=20,$G9*$H9*$J9,"")</f>
        <v/>
      </c>
      <c r="R9" s="11">
        <f>IF($I9=25,$G9*$H9*$J9,"")</f>
        <v/>
      </c>
      <c r="S9" s="11">
        <f>IF($I9=32,$G9*$H9*$J9,"")</f>
        <v/>
      </c>
    </row>
    <row r="10">
      <c r="A10" s="8" t="inlineStr">
        <is>
          <t>S3</t>
        </is>
      </c>
      <c r="B10" s="16" t="inlineStr">
        <is>
          <t>G</t>
        </is>
      </c>
      <c r="C10" s="16" t="inlineStr">
        <is>
          <t>8</t>
        </is>
      </c>
      <c r="D10" s="10" t="n">
        <v>1.2</v>
      </c>
      <c r="E10" s="10" t="n">
        <v>1.2</v>
      </c>
      <c r="F10" s="10" t="n">
        <v>0.3</v>
      </c>
      <c r="G10" s="17" t="n"/>
      <c r="H10" s="17" t="n"/>
      <c r="I10" s="17" t="n"/>
      <c r="J10" s="10" t="n"/>
      <c r="K10" s="11">
        <f>IF($I10=6,$G10*$H10*$J10,"")</f>
        <v/>
      </c>
      <c r="L10" s="11">
        <f>IF($I10=8,$G10*$H10*$J10,"")</f>
        <v/>
      </c>
      <c r="M10" s="11">
        <f>IF($I10=10,$G10*$H10*$J10,"")</f>
        <v/>
      </c>
      <c r="N10" s="11">
        <f>IF($I10=12,$G10*$H10*$J10,"")</f>
        <v/>
      </c>
      <c r="O10" s="11">
        <f>IF($I10=14,$G10*$H10*$J10,"")</f>
        <v/>
      </c>
      <c r="P10" s="11">
        <f>IF($I10=16,$G10*$H10*$J10,"")</f>
        <v/>
      </c>
      <c r="Q10" s="11">
        <f>IF($I10=20,$G10*$H10*$J10,"")</f>
        <v/>
      </c>
      <c r="R10" s="11">
        <f>IF($I10=25,$G10*$H10*$J10,"")</f>
        <v/>
      </c>
      <c r="S10" s="11">
        <f>IF($I10=32,$G10*$H10*$J10,"")</f>
        <v/>
      </c>
    </row>
    <row r="11">
      <c r="A11" s="8" t="inlineStr">
        <is>
          <t>Armature INF X</t>
        </is>
      </c>
      <c r="B11" s="16" t="n"/>
      <c r="C11" s="16" t="n"/>
      <c r="D11" s="10" t="n"/>
      <c r="E11" s="10" t="n"/>
      <c r="F11" s="10" t="n"/>
      <c r="G11" s="17" t="n">
        <v>1</v>
      </c>
      <c r="H11" s="17" t="n">
        <v>8</v>
      </c>
      <c r="I11" s="17" t="n">
        <v>12</v>
      </c>
      <c r="J11" s="10">
        <f>(E10-0.05)+34*I11/1000</f>
        <v/>
      </c>
      <c r="K11" s="11">
        <f>IF($I11=6,$G11*$H11*$J11,"")</f>
        <v/>
      </c>
      <c r="L11" s="11">
        <f>IF($I11=8,$G11*$H11*$J11,"")</f>
        <v/>
      </c>
      <c r="M11" s="11">
        <f>IF($I11=10,$G11*$H11*$J11,"")</f>
        <v/>
      </c>
      <c r="N11" s="11">
        <f>IF($I11=12,$G11*$H11*$J11,"")</f>
        <v/>
      </c>
      <c r="O11" s="11">
        <f>IF($I11=14,$G11*$H11*$J11,"")</f>
        <v/>
      </c>
      <c r="P11" s="11">
        <f>IF($I11=16,$G11*$H11*$J11,"")</f>
        <v/>
      </c>
      <c r="Q11" s="11">
        <f>IF($I11=20,$G11*$H11*$J11,"")</f>
        <v/>
      </c>
      <c r="R11" s="11">
        <f>IF($I11=25,$G11*$H11*$J11,"")</f>
        <v/>
      </c>
      <c r="S11" s="11">
        <f>IF($I11=32,$G11*$H11*$J11,"")</f>
        <v/>
      </c>
    </row>
    <row r="12">
      <c r="A12" s="8" t="inlineStr">
        <is>
          <t>Armature INF Y</t>
        </is>
      </c>
      <c r="B12" s="16" t="n"/>
      <c r="C12" s="16" t="n"/>
      <c r="D12" s="10" t="n"/>
      <c r="E12" s="10" t="n"/>
      <c r="F12" s="10" t="n"/>
      <c r="G12" s="17" t="n">
        <v>1</v>
      </c>
      <c r="H12" s="17" t="n">
        <v>8</v>
      </c>
      <c r="I12" s="17" t="n">
        <v>12</v>
      </c>
      <c r="J12" s="10">
        <f>(D10-0.05)+34*I12/1000</f>
        <v/>
      </c>
      <c r="K12" s="11">
        <f>IF($I12=6,$G12*$H12*$J12,"")</f>
        <v/>
      </c>
      <c r="L12" s="11">
        <f>IF($I12=8,$G12*$H12*$J12,"")</f>
        <v/>
      </c>
      <c r="M12" s="11">
        <f>IF($I12=10,$G12*$H12*$J12,"")</f>
        <v/>
      </c>
      <c r="N12" s="11">
        <f>IF($I12=12,$G12*$H12*$J12,"")</f>
        <v/>
      </c>
      <c r="O12" s="11">
        <f>IF($I12=14,$G12*$H12*$J12,"")</f>
        <v/>
      </c>
      <c r="P12" s="11">
        <f>IF($I12=16,$G12*$H12*$J12,"")</f>
        <v/>
      </c>
      <c r="Q12" s="11">
        <f>IF($I12=20,$G12*$H12*$J12,"")</f>
        <v/>
      </c>
      <c r="R12" s="11">
        <f>IF($I12=25,$G12*$H12*$J12,"")</f>
        <v/>
      </c>
      <c r="S12" s="11">
        <f>IF($I12=32,$G12*$H12*$J12,"")</f>
        <v/>
      </c>
    </row>
    <row r="13">
      <c r="A13" s="8" t="inlineStr">
        <is>
          <t>S3</t>
        </is>
      </c>
      <c r="B13" s="16" t="inlineStr">
        <is>
          <t>G</t>
        </is>
      </c>
      <c r="C13" s="16" t="inlineStr">
        <is>
          <t>7</t>
        </is>
      </c>
      <c r="D13" s="10" t="n">
        <v>1.2</v>
      </c>
      <c r="E13" s="10" t="n">
        <v>1.2</v>
      </c>
      <c r="F13" s="10" t="n">
        <v>0.3</v>
      </c>
      <c r="G13" s="17" t="n"/>
      <c r="H13" s="17" t="n"/>
      <c r="I13" s="17" t="n"/>
      <c r="J13" s="10" t="n"/>
      <c r="K13" s="11">
        <f>IF($I13=6,$G13*$H13*$J13,"")</f>
        <v/>
      </c>
      <c r="L13" s="11">
        <f>IF($I13=8,$G13*$H13*$J13,"")</f>
        <v/>
      </c>
      <c r="M13" s="11">
        <f>IF($I13=10,$G13*$H13*$J13,"")</f>
        <v/>
      </c>
      <c r="N13" s="11">
        <f>IF($I13=12,$G13*$H13*$J13,"")</f>
        <v/>
      </c>
      <c r="O13" s="11">
        <f>IF($I13=14,$G13*$H13*$J13,"")</f>
        <v/>
      </c>
      <c r="P13" s="11">
        <f>IF($I13=16,$G13*$H13*$J13,"")</f>
        <v/>
      </c>
      <c r="Q13" s="11">
        <f>IF($I13=20,$G13*$H13*$J13,"")</f>
        <v/>
      </c>
      <c r="R13" s="11">
        <f>IF($I13=25,$G13*$H13*$J13,"")</f>
        <v/>
      </c>
      <c r="S13" s="11">
        <f>IF($I13=32,$G13*$H13*$J13,"")</f>
        <v/>
      </c>
    </row>
    <row r="14">
      <c r="A14" s="8" t="inlineStr">
        <is>
          <t>Armature INF X</t>
        </is>
      </c>
      <c r="B14" s="16" t="n"/>
      <c r="C14" s="16" t="n"/>
      <c r="D14" s="10" t="n"/>
      <c r="E14" s="10" t="n"/>
      <c r="F14" s="10" t="n"/>
      <c r="G14" s="17" t="n">
        <v>1</v>
      </c>
      <c r="H14" s="17" t="n">
        <v>8</v>
      </c>
      <c r="I14" s="17" t="n">
        <v>12</v>
      </c>
      <c r="J14" s="10">
        <f>(E13-0.05)+34*I14/1000</f>
        <v/>
      </c>
      <c r="K14" s="11">
        <f>IF($I14=6,$G14*$H14*$J14,"")</f>
        <v/>
      </c>
      <c r="L14" s="11">
        <f>IF($I14=8,$G14*$H14*$J14,"")</f>
        <v/>
      </c>
      <c r="M14" s="11">
        <f>IF($I14=10,$G14*$H14*$J14,"")</f>
        <v/>
      </c>
      <c r="N14" s="11">
        <f>IF($I14=12,$G14*$H14*$J14,"")</f>
        <v/>
      </c>
      <c r="O14" s="11">
        <f>IF($I14=14,$G14*$H14*$J14,"")</f>
        <v/>
      </c>
      <c r="P14" s="11">
        <f>IF($I14=16,$G14*$H14*$J14,"")</f>
        <v/>
      </c>
      <c r="Q14" s="11">
        <f>IF($I14=20,$G14*$H14*$J14,"")</f>
        <v/>
      </c>
      <c r="R14" s="11">
        <f>IF($I14=25,$G14*$H14*$J14,"")</f>
        <v/>
      </c>
      <c r="S14" s="11">
        <f>IF($I14=32,$G14*$H14*$J14,"")</f>
        <v/>
      </c>
    </row>
    <row r="15">
      <c r="A15" s="8" t="inlineStr">
        <is>
          <t>Armature INF Y</t>
        </is>
      </c>
      <c r="B15" s="16" t="n"/>
      <c r="C15" s="16" t="n"/>
      <c r="D15" s="10" t="n"/>
      <c r="E15" s="10" t="n"/>
      <c r="F15" s="10" t="n"/>
      <c r="G15" s="17" t="n">
        <v>1</v>
      </c>
      <c r="H15" s="17" t="n">
        <v>8</v>
      </c>
      <c r="I15" s="17" t="n">
        <v>12</v>
      </c>
      <c r="J15" s="10">
        <f>(D13-0.05)+34*I15/1000</f>
        <v/>
      </c>
      <c r="K15" s="11">
        <f>IF($I15=6,$G15*$H15*$J15,"")</f>
        <v/>
      </c>
      <c r="L15" s="11">
        <f>IF($I15=8,$G15*$H15*$J15,"")</f>
        <v/>
      </c>
      <c r="M15" s="11">
        <f>IF($I15=10,$G15*$H15*$J15,"")</f>
        <v/>
      </c>
      <c r="N15" s="11">
        <f>IF($I15=12,$G15*$H15*$J15,"")</f>
        <v/>
      </c>
      <c r="O15" s="11">
        <f>IF($I15=14,$G15*$H15*$J15,"")</f>
        <v/>
      </c>
      <c r="P15" s="11">
        <f>IF($I15=16,$G15*$H15*$J15,"")</f>
        <v/>
      </c>
      <c r="Q15" s="11">
        <f>IF($I15=20,$G15*$H15*$J15,"")</f>
        <v/>
      </c>
      <c r="R15" s="11">
        <f>IF($I15=25,$G15*$H15*$J15,"")</f>
        <v/>
      </c>
      <c r="S15" s="11">
        <f>IF($I15=32,$G15*$H15*$J15,"")</f>
        <v/>
      </c>
    </row>
    <row r="16">
      <c r="A16" s="8" t="inlineStr">
        <is>
          <t>S3</t>
        </is>
      </c>
      <c r="B16" s="16" t="inlineStr">
        <is>
          <t>G</t>
        </is>
      </c>
      <c r="C16" s="16" t="inlineStr">
        <is>
          <t>6</t>
        </is>
      </c>
      <c r="D16" s="10" t="n">
        <v>1.2</v>
      </c>
      <c r="E16" s="10" t="n">
        <v>1.2</v>
      </c>
      <c r="F16" s="10" t="n">
        <v>0.3</v>
      </c>
      <c r="G16" s="17" t="n"/>
      <c r="H16" s="17" t="n"/>
      <c r="I16" s="17" t="n"/>
      <c r="J16" s="10" t="n"/>
      <c r="K16" s="11">
        <f>IF($I16=6,$G16*$H16*$J16,"")</f>
        <v/>
      </c>
      <c r="L16" s="11">
        <f>IF($I16=8,$G16*$H16*$J16,"")</f>
        <v/>
      </c>
      <c r="M16" s="11">
        <f>IF($I16=10,$G16*$H16*$J16,"")</f>
        <v/>
      </c>
      <c r="N16" s="11">
        <f>IF($I16=12,$G16*$H16*$J16,"")</f>
        <v/>
      </c>
      <c r="O16" s="11">
        <f>IF($I16=14,$G16*$H16*$J16,"")</f>
        <v/>
      </c>
      <c r="P16" s="11">
        <f>IF($I16=16,$G16*$H16*$J16,"")</f>
        <v/>
      </c>
      <c r="Q16" s="11">
        <f>IF($I16=20,$G16*$H16*$J16,"")</f>
        <v/>
      </c>
      <c r="R16" s="11">
        <f>IF($I16=25,$G16*$H16*$J16,"")</f>
        <v/>
      </c>
      <c r="S16" s="11">
        <f>IF($I16=32,$G16*$H16*$J16,"")</f>
        <v/>
      </c>
    </row>
    <row r="17">
      <c r="A17" s="8" t="inlineStr">
        <is>
          <t>Armature INF X</t>
        </is>
      </c>
      <c r="B17" s="16" t="n"/>
      <c r="C17" s="16" t="n"/>
      <c r="D17" s="10" t="n"/>
      <c r="E17" s="10" t="n"/>
      <c r="F17" s="10" t="n"/>
      <c r="G17" s="17" t="n">
        <v>1</v>
      </c>
      <c r="H17" s="17" t="n">
        <v>8</v>
      </c>
      <c r="I17" s="17" t="n">
        <v>12</v>
      </c>
      <c r="J17" s="10">
        <f>(E16-0.05)+34*I17/1000</f>
        <v/>
      </c>
      <c r="K17" s="11">
        <f>IF($I17=6,$G17*$H17*$J17,"")</f>
        <v/>
      </c>
      <c r="L17" s="11">
        <f>IF($I17=8,$G17*$H17*$J17,"")</f>
        <v/>
      </c>
      <c r="M17" s="11">
        <f>IF($I17=10,$G17*$H17*$J17,"")</f>
        <v/>
      </c>
      <c r="N17" s="11">
        <f>IF($I17=12,$G17*$H17*$J17,"")</f>
        <v/>
      </c>
      <c r="O17" s="11">
        <f>IF($I17=14,$G17*$H17*$J17,"")</f>
        <v/>
      </c>
      <c r="P17" s="11">
        <f>IF($I17=16,$G17*$H17*$J17,"")</f>
        <v/>
      </c>
      <c r="Q17" s="11">
        <f>IF($I17=20,$G17*$H17*$J17,"")</f>
        <v/>
      </c>
      <c r="R17" s="11">
        <f>IF($I17=25,$G17*$H17*$J17,"")</f>
        <v/>
      </c>
      <c r="S17" s="11">
        <f>IF($I17=32,$G17*$H17*$J17,"")</f>
        <v/>
      </c>
    </row>
    <row r="18">
      <c r="A18" s="8" t="inlineStr">
        <is>
          <t>Armature INF Y</t>
        </is>
      </c>
      <c r="B18" s="16" t="n"/>
      <c r="C18" s="16" t="n"/>
      <c r="D18" s="10" t="n"/>
      <c r="E18" s="10" t="n"/>
      <c r="F18" s="10" t="n"/>
      <c r="G18" s="17" t="n">
        <v>1</v>
      </c>
      <c r="H18" s="17" t="n">
        <v>8</v>
      </c>
      <c r="I18" s="17" t="n">
        <v>12</v>
      </c>
      <c r="J18" s="10">
        <f>(D16-0.05)+34*I18/1000</f>
        <v/>
      </c>
      <c r="K18" s="11">
        <f>IF($I18=6,$G18*$H18*$J18,"")</f>
        <v/>
      </c>
      <c r="L18" s="11">
        <f>IF($I18=8,$G18*$H18*$J18,"")</f>
        <v/>
      </c>
      <c r="M18" s="11">
        <f>IF($I18=10,$G18*$H18*$J18,"")</f>
        <v/>
      </c>
      <c r="N18" s="11">
        <f>IF($I18=12,$G18*$H18*$J18,"")</f>
        <v/>
      </c>
      <c r="O18" s="11">
        <f>IF($I18=14,$G18*$H18*$J18,"")</f>
        <v/>
      </c>
      <c r="P18" s="11">
        <f>IF($I18=16,$G18*$H18*$J18,"")</f>
        <v/>
      </c>
      <c r="Q18" s="11">
        <f>IF($I18=20,$G18*$H18*$J18,"")</f>
        <v/>
      </c>
      <c r="R18" s="11">
        <f>IF($I18=25,$G18*$H18*$J18,"")</f>
        <v/>
      </c>
      <c r="S18" s="11">
        <f>IF($I18=32,$G18*$H18*$J18,"")</f>
        <v/>
      </c>
    </row>
    <row r="19">
      <c r="A19" s="8" t="inlineStr">
        <is>
          <t>S3</t>
        </is>
      </c>
      <c r="B19" s="16" t="inlineStr">
        <is>
          <t>A</t>
        </is>
      </c>
      <c r="C19" s="16" t="inlineStr">
        <is>
          <t>7</t>
        </is>
      </c>
      <c r="D19" s="10" t="n">
        <v>1.2</v>
      </c>
      <c r="E19" s="10" t="n">
        <v>1.2</v>
      </c>
      <c r="F19" s="10" t="n">
        <v>0.3</v>
      </c>
      <c r="G19" s="17" t="n"/>
      <c r="H19" s="17" t="n"/>
      <c r="I19" s="17" t="n"/>
      <c r="J19" s="10" t="n"/>
      <c r="K19" s="11">
        <f>IF($I19=6,$G19*$H19*$J19,"")</f>
        <v/>
      </c>
      <c r="L19" s="11">
        <f>IF($I19=8,$G19*$H19*$J19,"")</f>
        <v/>
      </c>
      <c r="M19" s="11">
        <f>IF($I19=10,$G19*$H19*$J19,"")</f>
        <v/>
      </c>
      <c r="N19" s="11">
        <f>IF($I19=12,$G19*$H19*$J19,"")</f>
        <v/>
      </c>
      <c r="O19" s="11">
        <f>IF($I19=14,$G19*$H19*$J19,"")</f>
        <v/>
      </c>
      <c r="P19" s="11">
        <f>IF($I19=16,$G19*$H19*$J19,"")</f>
        <v/>
      </c>
      <c r="Q19" s="11">
        <f>IF($I19=20,$G19*$H19*$J19,"")</f>
        <v/>
      </c>
      <c r="R19" s="11">
        <f>IF($I19=25,$G19*$H19*$J19,"")</f>
        <v/>
      </c>
      <c r="S19" s="11">
        <f>IF($I19=32,$G19*$H19*$J19,"")</f>
        <v/>
      </c>
    </row>
    <row r="20">
      <c r="A20" s="8" t="inlineStr">
        <is>
          <t>Armature INF X</t>
        </is>
      </c>
      <c r="B20" s="16" t="n"/>
      <c r="C20" s="16" t="n"/>
      <c r="D20" s="10" t="n"/>
      <c r="E20" s="10" t="n"/>
      <c r="F20" s="10" t="n"/>
      <c r="G20" s="17" t="n">
        <v>1</v>
      </c>
      <c r="H20" s="17" t="n">
        <v>8</v>
      </c>
      <c r="I20" s="17" t="n">
        <v>12</v>
      </c>
      <c r="J20" s="10">
        <f>(E19-0.05)+34*I20/1000</f>
        <v/>
      </c>
      <c r="K20" s="11">
        <f>IF($I20=6,$G20*$H20*$J20,"")</f>
        <v/>
      </c>
      <c r="L20" s="11">
        <f>IF($I20=8,$G20*$H20*$J20,"")</f>
        <v/>
      </c>
      <c r="M20" s="11">
        <f>IF($I20=10,$G20*$H20*$J20,"")</f>
        <v/>
      </c>
      <c r="N20" s="11">
        <f>IF($I20=12,$G20*$H20*$J20,"")</f>
        <v/>
      </c>
      <c r="O20" s="11">
        <f>IF($I20=14,$G20*$H20*$J20,"")</f>
        <v/>
      </c>
      <c r="P20" s="11">
        <f>IF($I20=16,$G20*$H20*$J20,"")</f>
        <v/>
      </c>
      <c r="Q20" s="11">
        <f>IF($I20=20,$G20*$H20*$J20,"")</f>
        <v/>
      </c>
      <c r="R20" s="11">
        <f>IF($I20=25,$G20*$H20*$J20,"")</f>
        <v/>
      </c>
      <c r="S20" s="11">
        <f>IF($I20=32,$G20*$H20*$J20,"")</f>
        <v/>
      </c>
    </row>
    <row r="21">
      <c r="A21" s="8" t="inlineStr">
        <is>
          <t>Armature INF Y</t>
        </is>
      </c>
      <c r="B21" s="16" t="n"/>
      <c r="C21" s="16" t="n"/>
      <c r="D21" s="10" t="n"/>
      <c r="E21" s="10" t="n"/>
      <c r="F21" s="10" t="n"/>
      <c r="G21" s="17" t="n">
        <v>1</v>
      </c>
      <c r="H21" s="17" t="n">
        <v>8</v>
      </c>
      <c r="I21" s="17" t="n">
        <v>12</v>
      </c>
      <c r="J21" s="10">
        <f>(D19-0.05)+34*I21/1000</f>
        <v/>
      </c>
      <c r="K21" s="11">
        <f>IF($I21=6,$G21*$H21*$J21,"")</f>
        <v/>
      </c>
      <c r="L21" s="11">
        <f>IF($I21=8,$G21*$H21*$J21,"")</f>
        <v/>
      </c>
      <c r="M21" s="11">
        <f>IF($I21=10,$G21*$H21*$J21,"")</f>
        <v/>
      </c>
      <c r="N21" s="11">
        <f>IF($I21=12,$G21*$H21*$J21,"")</f>
        <v/>
      </c>
      <c r="O21" s="11">
        <f>IF($I21=14,$G21*$H21*$J21,"")</f>
        <v/>
      </c>
      <c r="P21" s="11">
        <f>IF($I21=16,$G21*$H21*$J21,"")</f>
        <v/>
      </c>
      <c r="Q21" s="11">
        <f>IF($I21=20,$G21*$H21*$J21,"")</f>
        <v/>
      </c>
      <c r="R21" s="11">
        <f>IF($I21=25,$G21*$H21*$J21,"")</f>
        <v/>
      </c>
      <c r="S21" s="11">
        <f>IF($I21=32,$G21*$H21*$J21,"")</f>
        <v/>
      </c>
    </row>
    <row r="22">
      <c r="A22" s="8" t="inlineStr">
        <is>
          <t>S3</t>
        </is>
      </c>
      <c r="B22" s="16" t="inlineStr">
        <is>
          <t>A</t>
        </is>
      </c>
      <c r="C22" s="16" t="inlineStr">
        <is>
          <t>6</t>
        </is>
      </c>
      <c r="D22" s="10" t="n">
        <v>1.2</v>
      </c>
      <c r="E22" s="10" t="n">
        <v>1.2</v>
      </c>
      <c r="F22" s="10" t="n">
        <v>0.3</v>
      </c>
      <c r="G22" s="17" t="n"/>
      <c r="H22" s="17" t="n"/>
      <c r="I22" s="17" t="n"/>
      <c r="J22" s="10" t="n"/>
      <c r="K22" s="11">
        <f>IF($I22=6,$G22*$H22*$J22,"")</f>
        <v/>
      </c>
      <c r="L22" s="11">
        <f>IF($I22=8,$G22*$H22*$J22,"")</f>
        <v/>
      </c>
      <c r="M22" s="11">
        <f>IF($I22=10,$G22*$H22*$J22,"")</f>
        <v/>
      </c>
      <c r="N22" s="11">
        <f>IF($I22=12,$G22*$H22*$J22,"")</f>
        <v/>
      </c>
      <c r="O22" s="11">
        <f>IF($I22=14,$G22*$H22*$J22,"")</f>
        <v/>
      </c>
      <c r="P22" s="11">
        <f>IF($I22=16,$G22*$H22*$J22,"")</f>
        <v/>
      </c>
      <c r="Q22" s="11">
        <f>IF($I22=20,$G22*$H22*$J22,"")</f>
        <v/>
      </c>
      <c r="R22" s="11">
        <f>IF($I22=25,$G22*$H22*$J22,"")</f>
        <v/>
      </c>
      <c r="S22" s="11">
        <f>IF($I22=32,$G22*$H22*$J22,"")</f>
        <v/>
      </c>
    </row>
    <row r="23">
      <c r="A23" s="8" t="inlineStr">
        <is>
          <t>Armature INF X</t>
        </is>
      </c>
      <c r="B23" s="16" t="n"/>
      <c r="C23" s="16" t="n"/>
      <c r="D23" s="10" t="n"/>
      <c r="E23" s="10" t="n"/>
      <c r="F23" s="10" t="n"/>
      <c r="G23" s="17" t="n">
        <v>1</v>
      </c>
      <c r="H23" s="17" t="n">
        <v>8</v>
      </c>
      <c r="I23" s="17" t="n">
        <v>12</v>
      </c>
      <c r="J23" s="10">
        <f>(E22-0.05)+34*I23/1000</f>
        <v/>
      </c>
      <c r="K23" s="11">
        <f>IF($I23=6,$G23*$H23*$J23,"")</f>
        <v/>
      </c>
      <c r="L23" s="11">
        <f>IF($I23=8,$G23*$H23*$J23,"")</f>
        <v/>
      </c>
      <c r="M23" s="11">
        <f>IF($I23=10,$G23*$H23*$J23,"")</f>
        <v/>
      </c>
      <c r="N23" s="11">
        <f>IF($I23=12,$G23*$H23*$J23,"")</f>
        <v/>
      </c>
      <c r="O23" s="11">
        <f>IF($I23=14,$G23*$H23*$J23,"")</f>
        <v/>
      </c>
      <c r="P23" s="11">
        <f>IF($I23=16,$G23*$H23*$J23,"")</f>
        <v/>
      </c>
      <c r="Q23" s="11">
        <f>IF($I23=20,$G23*$H23*$J23,"")</f>
        <v/>
      </c>
      <c r="R23" s="11">
        <f>IF($I23=25,$G23*$H23*$J23,"")</f>
        <v/>
      </c>
      <c r="S23" s="11">
        <f>IF($I23=32,$G23*$H23*$J23,"")</f>
        <v/>
      </c>
    </row>
    <row r="24">
      <c r="A24" s="8" t="inlineStr">
        <is>
          <t>Armature INF Y</t>
        </is>
      </c>
      <c r="B24" s="16" t="n"/>
      <c r="C24" s="16" t="n"/>
      <c r="D24" s="10" t="n"/>
      <c r="E24" s="10" t="n"/>
      <c r="F24" s="10" t="n"/>
      <c r="G24" s="17" t="n">
        <v>1</v>
      </c>
      <c r="H24" s="17" t="n">
        <v>8</v>
      </c>
      <c r="I24" s="17" t="n">
        <v>12</v>
      </c>
      <c r="J24" s="10">
        <f>(D22-0.05)+34*I24/1000</f>
        <v/>
      </c>
      <c r="K24" s="11">
        <f>IF($I24=6,$G24*$H24*$J24,"")</f>
        <v/>
      </c>
      <c r="L24" s="11">
        <f>IF($I24=8,$G24*$H24*$J24,"")</f>
        <v/>
      </c>
      <c r="M24" s="11">
        <f>IF($I24=10,$G24*$H24*$J24,"")</f>
        <v/>
      </c>
      <c r="N24" s="11">
        <f>IF($I24=12,$G24*$H24*$J24,"")</f>
        <v/>
      </c>
      <c r="O24" s="11">
        <f>IF($I24=14,$G24*$H24*$J24,"")</f>
        <v/>
      </c>
      <c r="P24" s="11">
        <f>IF($I24=16,$G24*$H24*$J24,"")</f>
        <v/>
      </c>
      <c r="Q24" s="11">
        <f>IF($I24=20,$G24*$H24*$J24,"")</f>
        <v/>
      </c>
      <c r="R24" s="11">
        <f>IF($I24=25,$G24*$H24*$J24,"")</f>
        <v/>
      </c>
      <c r="S24" s="11">
        <f>IF($I24=32,$G24*$H24*$J24,"")</f>
        <v/>
      </c>
    </row>
    <row r="25">
      <c r="A25" s="8" t="inlineStr">
        <is>
          <t>S4</t>
        </is>
      </c>
      <c r="B25" s="16" t="inlineStr">
        <is>
          <t>D</t>
        </is>
      </c>
      <c r="C25" s="16" t="inlineStr">
        <is>
          <t>7</t>
        </is>
      </c>
      <c r="D25" s="10" t="n">
        <v>1.5</v>
      </c>
      <c r="E25" s="10" t="n">
        <v>1.5</v>
      </c>
      <c r="F25" s="10" t="n">
        <v>0.4</v>
      </c>
      <c r="G25" s="17" t="n"/>
      <c r="H25" s="17" t="n"/>
      <c r="I25" s="17" t="n"/>
      <c r="J25" s="10" t="n"/>
      <c r="K25" s="11">
        <f>IF($I25=6,$G25*$H25*$J25,"")</f>
        <v/>
      </c>
      <c r="L25" s="11">
        <f>IF($I25=8,$G25*$H25*$J25,"")</f>
        <v/>
      </c>
      <c r="M25" s="11">
        <f>IF($I25=10,$G25*$H25*$J25,"")</f>
        <v/>
      </c>
      <c r="N25" s="11">
        <f>IF($I25=12,$G25*$H25*$J25,"")</f>
        <v/>
      </c>
      <c r="O25" s="11">
        <f>IF($I25=14,$G25*$H25*$J25,"")</f>
        <v/>
      </c>
      <c r="P25" s="11">
        <f>IF($I25=16,$G25*$H25*$J25,"")</f>
        <v/>
      </c>
      <c r="Q25" s="11">
        <f>IF($I25=20,$G25*$H25*$J25,"")</f>
        <v/>
      </c>
      <c r="R25" s="11">
        <f>IF($I25=25,$G25*$H25*$J25,"")</f>
        <v/>
      </c>
      <c r="S25" s="11">
        <f>IF($I25=32,$G25*$H25*$J25,"")</f>
        <v/>
      </c>
    </row>
    <row r="26">
      <c r="A26" s="8" t="inlineStr">
        <is>
          <t>Armature INF X</t>
        </is>
      </c>
      <c r="B26" s="16" t="n"/>
      <c r="C26" s="16" t="n"/>
      <c r="D26" s="10" t="n"/>
      <c r="E26" s="10" t="n"/>
      <c r="F26" s="10" t="n"/>
      <c r="G26" s="17" t="n">
        <v>1</v>
      </c>
      <c r="H26" s="17" t="n">
        <v>11</v>
      </c>
      <c r="I26" s="17" t="n">
        <v>12</v>
      </c>
      <c r="J26" s="10">
        <f>(E25-0.05)+34*I26/1000</f>
        <v/>
      </c>
      <c r="K26" s="11">
        <f>IF($I26=6,$G26*$H26*$J26,"")</f>
        <v/>
      </c>
      <c r="L26" s="11">
        <f>IF($I26=8,$G26*$H26*$J26,"")</f>
        <v/>
      </c>
      <c r="M26" s="11">
        <f>IF($I26=10,$G26*$H26*$J26,"")</f>
        <v/>
      </c>
      <c r="N26" s="11">
        <f>IF($I26=12,$G26*$H26*$J26,"")</f>
        <v/>
      </c>
      <c r="O26" s="11">
        <f>IF($I26=14,$G26*$H26*$J26,"")</f>
        <v/>
      </c>
      <c r="P26" s="11">
        <f>IF($I26=16,$G26*$H26*$J26,"")</f>
        <v/>
      </c>
      <c r="Q26" s="11">
        <f>IF($I26=20,$G26*$H26*$J26,"")</f>
        <v/>
      </c>
      <c r="R26" s="11">
        <f>IF($I26=25,$G26*$H26*$J26,"")</f>
        <v/>
      </c>
      <c r="S26" s="11">
        <f>IF($I26=32,$G26*$H26*$J26,"")</f>
        <v/>
      </c>
    </row>
    <row r="27">
      <c r="A27" s="8" t="inlineStr">
        <is>
          <t>Armature INF Y</t>
        </is>
      </c>
      <c r="B27" s="16" t="n"/>
      <c r="C27" s="16" t="n"/>
      <c r="D27" s="10" t="n"/>
      <c r="E27" s="10" t="n"/>
      <c r="F27" s="10" t="n"/>
      <c r="G27" s="17" t="n">
        <v>1</v>
      </c>
      <c r="H27" s="17" t="n">
        <v>11</v>
      </c>
      <c r="I27" s="17" t="n">
        <v>12</v>
      </c>
      <c r="J27" s="10">
        <f>(D25-0.05)+34*I27/1000</f>
        <v/>
      </c>
      <c r="K27" s="11">
        <f>IF($I27=6,$G27*$H27*$J27,"")</f>
        <v/>
      </c>
      <c r="L27" s="11">
        <f>IF($I27=8,$G27*$H27*$J27,"")</f>
        <v/>
      </c>
      <c r="M27" s="11">
        <f>IF($I27=10,$G27*$H27*$J27,"")</f>
        <v/>
      </c>
      <c r="N27" s="11">
        <f>IF($I27=12,$G27*$H27*$J27,"")</f>
        <v/>
      </c>
      <c r="O27" s="11">
        <f>IF($I27=14,$G27*$H27*$J27,"")</f>
        <v/>
      </c>
      <c r="P27" s="11">
        <f>IF($I27=16,$G27*$H27*$J27,"")</f>
        <v/>
      </c>
      <c r="Q27" s="11">
        <f>IF($I27=20,$G27*$H27*$J27,"")</f>
        <v/>
      </c>
      <c r="R27" s="11">
        <f>IF($I27=25,$G27*$H27*$J27,"")</f>
        <v/>
      </c>
      <c r="S27" s="11">
        <f>IF($I27=32,$G27*$H27*$J27,"")</f>
        <v/>
      </c>
    </row>
    <row r="28">
      <c r="A28" s="8" t="inlineStr">
        <is>
          <t>S3</t>
        </is>
      </c>
      <c r="B28" s="16" t="inlineStr">
        <is>
          <t>D</t>
        </is>
      </c>
      <c r="C28" s="16" t="inlineStr">
        <is>
          <t>8</t>
        </is>
      </c>
      <c r="D28" s="10" t="n">
        <v>1.2</v>
      </c>
      <c r="E28" s="10" t="n">
        <v>1.2</v>
      </c>
      <c r="F28" s="10" t="n">
        <v>0.3</v>
      </c>
      <c r="G28" s="17" t="n"/>
      <c r="H28" s="17" t="n"/>
      <c r="I28" s="17" t="n"/>
      <c r="J28" s="10" t="n"/>
      <c r="K28" s="11">
        <f>IF($I28=6,$G28*$H28*$J28,"")</f>
        <v/>
      </c>
      <c r="L28" s="11">
        <f>IF($I28=8,$G28*$H28*$J28,"")</f>
        <v/>
      </c>
      <c r="M28" s="11">
        <f>IF($I28=10,$G28*$H28*$J28,"")</f>
        <v/>
      </c>
      <c r="N28" s="11">
        <f>IF($I28=12,$G28*$H28*$J28,"")</f>
        <v/>
      </c>
      <c r="O28" s="11">
        <f>IF($I28=14,$G28*$H28*$J28,"")</f>
        <v/>
      </c>
      <c r="P28" s="11">
        <f>IF($I28=16,$G28*$H28*$J28,"")</f>
        <v/>
      </c>
      <c r="Q28" s="11">
        <f>IF($I28=20,$G28*$H28*$J28,"")</f>
        <v/>
      </c>
      <c r="R28" s="11">
        <f>IF($I28=25,$G28*$H28*$J28,"")</f>
        <v/>
      </c>
      <c r="S28" s="11">
        <f>IF($I28=32,$G28*$H28*$J28,"")</f>
        <v/>
      </c>
    </row>
    <row r="29">
      <c r="A29" s="8" t="inlineStr">
        <is>
          <t>Armature INF X</t>
        </is>
      </c>
      <c r="B29" s="16" t="n"/>
      <c r="C29" s="16" t="n"/>
      <c r="D29" s="10" t="n"/>
      <c r="E29" s="10" t="n"/>
      <c r="F29" s="10" t="n"/>
      <c r="G29" s="17" t="n">
        <v>1</v>
      </c>
      <c r="H29" s="17" t="n">
        <v>8</v>
      </c>
      <c r="I29" s="17" t="n">
        <v>12</v>
      </c>
      <c r="J29" s="10">
        <f>(E28-0.05)+34*I29/1000</f>
        <v/>
      </c>
      <c r="K29" s="11">
        <f>IF($I29=6,$G29*$H29*$J29,"")</f>
        <v/>
      </c>
      <c r="L29" s="11">
        <f>IF($I29=8,$G29*$H29*$J29,"")</f>
        <v/>
      </c>
      <c r="M29" s="11">
        <f>IF($I29=10,$G29*$H29*$J29,"")</f>
        <v/>
      </c>
      <c r="N29" s="11">
        <f>IF($I29=12,$G29*$H29*$J29,"")</f>
        <v/>
      </c>
      <c r="O29" s="11">
        <f>IF($I29=14,$G29*$H29*$J29,"")</f>
        <v/>
      </c>
      <c r="P29" s="11">
        <f>IF($I29=16,$G29*$H29*$J29,"")</f>
        <v/>
      </c>
      <c r="Q29" s="11">
        <f>IF($I29=20,$G29*$H29*$J29,"")</f>
        <v/>
      </c>
      <c r="R29" s="11">
        <f>IF($I29=25,$G29*$H29*$J29,"")</f>
        <v/>
      </c>
      <c r="S29" s="11">
        <f>IF($I29=32,$G29*$H29*$J29,"")</f>
        <v/>
      </c>
    </row>
    <row r="30">
      <c r="A30" s="8" t="inlineStr">
        <is>
          <t>Armature INF Y</t>
        </is>
      </c>
      <c r="B30" s="16" t="n"/>
      <c r="C30" s="16" t="n"/>
      <c r="D30" s="10" t="n"/>
      <c r="E30" s="10" t="n"/>
      <c r="F30" s="10" t="n"/>
      <c r="G30" s="17" t="n">
        <v>1</v>
      </c>
      <c r="H30" s="17" t="n">
        <v>8</v>
      </c>
      <c r="I30" s="17" t="n">
        <v>12</v>
      </c>
      <c r="J30" s="10">
        <f>(D28-0.05)+34*I30/1000</f>
        <v/>
      </c>
      <c r="K30" s="11">
        <f>IF($I30=6,$G30*$H30*$J30,"")</f>
        <v/>
      </c>
      <c r="L30" s="11">
        <f>IF($I30=8,$G30*$H30*$J30,"")</f>
        <v/>
      </c>
      <c r="M30" s="11">
        <f>IF($I30=10,$G30*$H30*$J30,"")</f>
        <v/>
      </c>
      <c r="N30" s="11">
        <f>IF($I30=12,$G30*$H30*$J30,"")</f>
        <v/>
      </c>
      <c r="O30" s="11">
        <f>IF($I30=14,$G30*$H30*$J30,"")</f>
        <v/>
      </c>
      <c r="P30" s="11">
        <f>IF($I30=16,$G30*$H30*$J30,"")</f>
        <v/>
      </c>
      <c r="Q30" s="11">
        <f>IF($I30=20,$G30*$H30*$J30,"")</f>
        <v/>
      </c>
      <c r="R30" s="11">
        <f>IF($I30=25,$G30*$H30*$J30,"")</f>
        <v/>
      </c>
      <c r="S30" s="11">
        <f>IF($I30=32,$G30*$H30*$J30,"")</f>
        <v/>
      </c>
    </row>
    <row r="31">
      <c r="A31" s="8" t="inlineStr">
        <is>
          <t>S3</t>
        </is>
      </c>
      <c r="B31" s="16" t="inlineStr">
        <is>
          <t>B</t>
        </is>
      </c>
      <c r="C31" s="16" t="inlineStr">
        <is>
          <t>8</t>
        </is>
      </c>
      <c r="D31" s="10" t="n">
        <v>1.2</v>
      </c>
      <c r="E31" s="10" t="n">
        <v>1.2</v>
      </c>
      <c r="F31" s="10" t="n">
        <v>0.3</v>
      </c>
      <c r="G31" s="17" t="n"/>
      <c r="H31" s="17" t="n"/>
      <c r="I31" s="17" t="n"/>
      <c r="J31" s="10" t="n"/>
      <c r="K31" s="11">
        <f>IF($I31=6,$G31*$H31*$J31,"")</f>
        <v/>
      </c>
      <c r="L31" s="11">
        <f>IF($I31=8,$G31*$H31*$J31,"")</f>
        <v/>
      </c>
      <c r="M31" s="11">
        <f>IF($I31=10,$G31*$H31*$J31,"")</f>
        <v/>
      </c>
      <c r="N31" s="11">
        <f>IF($I31=12,$G31*$H31*$J31,"")</f>
        <v/>
      </c>
      <c r="O31" s="11">
        <f>IF($I31=14,$G31*$H31*$J31,"")</f>
        <v/>
      </c>
      <c r="P31" s="11">
        <f>IF($I31=16,$G31*$H31*$J31,"")</f>
        <v/>
      </c>
      <c r="Q31" s="11">
        <f>IF($I31=20,$G31*$H31*$J31,"")</f>
        <v/>
      </c>
      <c r="R31" s="11">
        <f>IF($I31=25,$G31*$H31*$J31,"")</f>
        <v/>
      </c>
      <c r="S31" s="11">
        <f>IF($I31=32,$G31*$H31*$J31,"")</f>
        <v/>
      </c>
    </row>
    <row r="32">
      <c r="A32" s="8" t="inlineStr">
        <is>
          <t>Armature INF X</t>
        </is>
      </c>
      <c r="B32" s="16" t="n"/>
      <c r="C32" s="16" t="n"/>
      <c r="D32" s="10" t="n"/>
      <c r="E32" s="10" t="n"/>
      <c r="F32" s="10" t="n"/>
      <c r="G32" s="17" t="n">
        <v>1</v>
      </c>
      <c r="H32" s="17" t="n">
        <v>8</v>
      </c>
      <c r="I32" s="17" t="n">
        <v>12</v>
      </c>
      <c r="J32" s="10">
        <f>(E31-0.05)+34*I32/1000</f>
        <v/>
      </c>
      <c r="K32" s="11">
        <f>IF($I32=6,$G32*$H32*$J32,"")</f>
        <v/>
      </c>
      <c r="L32" s="11">
        <f>IF($I32=8,$G32*$H32*$J32,"")</f>
        <v/>
      </c>
      <c r="M32" s="11">
        <f>IF($I32=10,$G32*$H32*$J32,"")</f>
        <v/>
      </c>
      <c r="N32" s="11">
        <f>IF($I32=12,$G32*$H32*$J32,"")</f>
        <v/>
      </c>
      <c r="O32" s="11">
        <f>IF($I32=14,$G32*$H32*$J32,"")</f>
        <v/>
      </c>
      <c r="P32" s="11">
        <f>IF($I32=16,$G32*$H32*$J32,"")</f>
        <v/>
      </c>
      <c r="Q32" s="11">
        <f>IF($I32=20,$G32*$H32*$J32,"")</f>
        <v/>
      </c>
      <c r="R32" s="11">
        <f>IF($I32=25,$G32*$H32*$J32,"")</f>
        <v/>
      </c>
      <c r="S32" s="11">
        <f>IF($I32=32,$G32*$H32*$J32,"")</f>
        <v/>
      </c>
    </row>
    <row r="33">
      <c r="A33" s="8" t="inlineStr">
        <is>
          <t>Armature INF Y</t>
        </is>
      </c>
      <c r="B33" s="16" t="n"/>
      <c r="C33" s="16" t="n"/>
      <c r="D33" s="10" t="n"/>
      <c r="E33" s="10" t="n"/>
      <c r="F33" s="10" t="n"/>
      <c r="G33" s="17" t="n">
        <v>1</v>
      </c>
      <c r="H33" s="17" t="n">
        <v>8</v>
      </c>
      <c r="I33" s="17" t="n">
        <v>12</v>
      </c>
      <c r="J33" s="10">
        <f>(D31-0.05)+34*I33/1000</f>
        <v/>
      </c>
      <c r="K33" s="11">
        <f>IF($I33=6,$G33*$H33*$J33,"")</f>
        <v/>
      </c>
      <c r="L33" s="11">
        <f>IF($I33=8,$G33*$H33*$J33,"")</f>
        <v/>
      </c>
      <c r="M33" s="11">
        <f>IF($I33=10,$G33*$H33*$J33,"")</f>
        <v/>
      </c>
      <c r="N33" s="11">
        <f>IF($I33=12,$G33*$H33*$J33,"")</f>
        <v/>
      </c>
      <c r="O33" s="11">
        <f>IF($I33=14,$G33*$H33*$J33,"")</f>
        <v/>
      </c>
      <c r="P33" s="11">
        <f>IF($I33=16,$G33*$H33*$J33,"")</f>
        <v/>
      </c>
      <c r="Q33" s="11">
        <f>IF($I33=20,$G33*$H33*$J33,"")</f>
        <v/>
      </c>
      <c r="R33" s="11">
        <f>IF($I33=25,$G33*$H33*$J33,"")</f>
        <v/>
      </c>
      <c r="S33" s="11">
        <f>IF($I33=32,$G33*$H33*$J33,"")</f>
        <v/>
      </c>
    </row>
    <row r="34">
      <c r="A34" s="8" t="inlineStr">
        <is>
          <t>S1</t>
        </is>
      </c>
      <c r="B34" s="16" t="inlineStr">
        <is>
          <t>G</t>
        </is>
      </c>
      <c r="C34" s="16" t="inlineStr">
        <is>
          <t>1</t>
        </is>
      </c>
      <c r="D34" s="10" t="n">
        <v>1</v>
      </c>
      <c r="E34" s="10" t="n">
        <v>1</v>
      </c>
      <c r="F34" s="10" t="n">
        <v>0.25</v>
      </c>
      <c r="G34" s="17" t="n"/>
      <c r="H34" s="17" t="n"/>
      <c r="I34" s="17" t="n"/>
      <c r="J34" s="10" t="n"/>
      <c r="K34" s="11">
        <f>IF($I34=6,$G34*$H34*$J34,"")</f>
        <v/>
      </c>
      <c r="L34" s="11">
        <f>IF($I34=8,$G34*$H34*$J34,"")</f>
        <v/>
      </c>
      <c r="M34" s="11">
        <f>IF($I34=10,$G34*$H34*$J34,"")</f>
        <v/>
      </c>
      <c r="N34" s="11">
        <f>IF($I34=12,$G34*$H34*$J34,"")</f>
        <v/>
      </c>
      <c r="O34" s="11">
        <f>IF($I34=14,$G34*$H34*$J34,"")</f>
        <v/>
      </c>
      <c r="P34" s="11">
        <f>IF($I34=16,$G34*$H34*$J34,"")</f>
        <v/>
      </c>
      <c r="Q34" s="11">
        <f>IF($I34=20,$G34*$H34*$J34,"")</f>
        <v/>
      </c>
      <c r="R34" s="11">
        <f>IF($I34=25,$G34*$H34*$J34,"")</f>
        <v/>
      </c>
      <c r="S34" s="11">
        <f>IF($I34=32,$G34*$H34*$J34,"")</f>
        <v/>
      </c>
    </row>
    <row r="35">
      <c r="A35" s="8" t="inlineStr">
        <is>
          <t>Armature INF X</t>
        </is>
      </c>
      <c r="B35" s="16" t="n"/>
      <c r="C35" s="16" t="n"/>
      <c r="D35" s="10" t="n"/>
      <c r="E35" s="10" t="n"/>
      <c r="F35" s="10" t="n"/>
      <c r="G35" s="17" t="n">
        <v>1</v>
      </c>
      <c r="H35" s="17" t="n">
        <v>6</v>
      </c>
      <c r="I35" s="17" t="n">
        <v>12</v>
      </c>
      <c r="J35" s="10">
        <f>(E34-0.05)+34*I35/1000</f>
        <v/>
      </c>
      <c r="K35" s="11">
        <f>IF($I35=6,$G35*$H35*$J35,"")</f>
        <v/>
      </c>
      <c r="L35" s="11">
        <f>IF($I35=8,$G35*$H35*$J35,"")</f>
        <v/>
      </c>
      <c r="M35" s="11">
        <f>IF($I35=10,$G35*$H35*$J35,"")</f>
        <v/>
      </c>
      <c r="N35" s="11">
        <f>IF($I35=12,$G35*$H35*$J35,"")</f>
        <v/>
      </c>
      <c r="O35" s="11">
        <f>IF($I35=14,$G35*$H35*$J35,"")</f>
        <v/>
      </c>
      <c r="P35" s="11">
        <f>IF($I35=16,$G35*$H35*$J35,"")</f>
        <v/>
      </c>
      <c r="Q35" s="11">
        <f>IF($I35=20,$G35*$H35*$J35,"")</f>
        <v/>
      </c>
      <c r="R35" s="11">
        <f>IF($I35=25,$G35*$H35*$J35,"")</f>
        <v/>
      </c>
      <c r="S35" s="11">
        <f>IF($I35=32,$G35*$H35*$J35,"")</f>
        <v/>
      </c>
    </row>
    <row r="36">
      <c r="A36" s="8" t="inlineStr">
        <is>
          <t>Armature INF Y</t>
        </is>
      </c>
      <c r="B36" s="16" t="n"/>
      <c r="C36" s="16" t="n"/>
      <c r="D36" s="10" t="n"/>
      <c r="E36" s="10" t="n"/>
      <c r="F36" s="10" t="n"/>
      <c r="G36" s="17" t="n">
        <v>1</v>
      </c>
      <c r="H36" s="17" t="n">
        <v>6</v>
      </c>
      <c r="I36" s="17" t="n">
        <v>12</v>
      </c>
      <c r="J36" s="10">
        <f>(D34-0.05)+34*I36/1000</f>
        <v/>
      </c>
      <c r="K36" s="11">
        <f>IF($I36=6,$G36*$H36*$J36,"")</f>
        <v/>
      </c>
      <c r="L36" s="11">
        <f>IF($I36=8,$G36*$H36*$J36,"")</f>
        <v/>
      </c>
      <c r="M36" s="11">
        <f>IF($I36=10,$G36*$H36*$J36,"")</f>
        <v/>
      </c>
      <c r="N36" s="11">
        <f>IF($I36=12,$G36*$H36*$J36,"")</f>
        <v/>
      </c>
      <c r="O36" s="11">
        <f>IF($I36=14,$G36*$H36*$J36,"")</f>
        <v/>
      </c>
      <c r="P36" s="11">
        <f>IF($I36=16,$G36*$H36*$J36,"")</f>
        <v/>
      </c>
      <c r="Q36" s="11">
        <f>IF($I36=20,$G36*$H36*$J36,"")</f>
        <v/>
      </c>
      <c r="R36" s="11">
        <f>IF($I36=25,$G36*$H36*$J36,"")</f>
        <v/>
      </c>
      <c r="S36" s="11">
        <f>IF($I36=32,$G36*$H36*$J36,"")</f>
        <v/>
      </c>
    </row>
    <row r="37">
      <c r="A37" s="8" t="inlineStr">
        <is>
          <t>S1</t>
        </is>
      </c>
      <c r="B37" s="16" t="inlineStr">
        <is>
          <t>A</t>
        </is>
      </c>
      <c r="C37" s="16" t="inlineStr">
        <is>
          <t>1</t>
        </is>
      </c>
      <c r="D37" s="10" t="n">
        <v>1</v>
      </c>
      <c r="E37" s="10" t="n">
        <v>1</v>
      </c>
      <c r="F37" s="10" t="n">
        <v>0.25</v>
      </c>
      <c r="G37" s="17" t="n"/>
      <c r="H37" s="17" t="n"/>
      <c r="I37" s="17" t="n"/>
      <c r="J37" s="10" t="n"/>
      <c r="K37" s="11">
        <f>IF($I37=6,$G37*$H37*$J37,"")</f>
        <v/>
      </c>
      <c r="L37" s="11">
        <f>IF($I37=8,$G37*$H37*$J37,"")</f>
        <v/>
      </c>
      <c r="M37" s="11">
        <f>IF($I37=10,$G37*$H37*$J37,"")</f>
        <v/>
      </c>
      <c r="N37" s="11">
        <f>IF($I37=12,$G37*$H37*$J37,"")</f>
        <v/>
      </c>
      <c r="O37" s="11">
        <f>IF($I37=14,$G37*$H37*$J37,"")</f>
        <v/>
      </c>
      <c r="P37" s="11">
        <f>IF($I37=16,$G37*$H37*$J37,"")</f>
        <v/>
      </c>
      <c r="Q37" s="11">
        <f>IF($I37=20,$G37*$H37*$J37,"")</f>
        <v/>
      </c>
      <c r="R37" s="11">
        <f>IF($I37=25,$G37*$H37*$J37,"")</f>
        <v/>
      </c>
      <c r="S37" s="11">
        <f>IF($I37=32,$G37*$H37*$J37,"")</f>
        <v/>
      </c>
    </row>
    <row r="38">
      <c r="A38" s="8" t="inlineStr">
        <is>
          <t>Armature INF X</t>
        </is>
      </c>
      <c r="B38" s="16" t="n"/>
      <c r="C38" s="16" t="n"/>
      <c r="D38" s="10" t="n"/>
      <c r="E38" s="10" t="n"/>
      <c r="F38" s="10" t="n"/>
      <c r="G38" s="17" t="n">
        <v>1</v>
      </c>
      <c r="H38" s="17" t="n">
        <v>6</v>
      </c>
      <c r="I38" s="17" t="n">
        <v>12</v>
      </c>
      <c r="J38" s="10">
        <f>(E37-0.05)+34*I38/1000</f>
        <v/>
      </c>
      <c r="K38" s="11">
        <f>IF($I38=6,$G38*$H38*$J38,"")</f>
        <v/>
      </c>
      <c r="L38" s="11">
        <f>IF($I38=8,$G38*$H38*$J38,"")</f>
        <v/>
      </c>
      <c r="M38" s="11">
        <f>IF($I38=10,$G38*$H38*$J38,"")</f>
        <v/>
      </c>
      <c r="N38" s="11">
        <f>IF($I38=12,$G38*$H38*$J38,"")</f>
        <v/>
      </c>
      <c r="O38" s="11">
        <f>IF($I38=14,$G38*$H38*$J38,"")</f>
        <v/>
      </c>
      <c r="P38" s="11">
        <f>IF($I38=16,$G38*$H38*$J38,"")</f>
        <v/>
      </c>
      <c r="Q38" s="11">
        <f>IF($I38=20,$G38*$H38*$J38,"")</f>
        <v/>
      </c>
      <c r="R38" s="11">
        <f>IF($I38=25,$G38*$H38*$J38,"")</f>
        <v/>
      </c>
      <c r="S38" s="11">
        <f>IF($I38=32,$G38*$H38*$J38,"")</f>
        <v/>
      </c>
    </row>
    <row r="39">
      <c r="A39" s="8" t="inlineStr">
        <is>
          <t>Armature INF Y</t>
        </is>
      </c>
      <c r="B39" s="16" t="n"/>
      <c r="C39" s="16" t="n"/>
      <c r="D39" s="10" t="n"/>
      <c r="E39" s="10" t="n"/>
      <c r="F39" s="10" t="n"/>
      <c r="G39" s="17" t="n">
        <v>1</v>
      </c>
      <c r="H39" s="17" t="n">
        <v>6</v>
      </c>
      <c r="I39" s="17" t="n">
        <v>12</v>
      </c>
      <c r="J39" s="10">
        <f>(D37-0.05)+34*I39/1000</f>
        <v/>
      </c>
      <c r="K39" s="11">
        <f>IF($I39=6,$G39*$H39*$J39,"")</f>
        <v/>
      </c>
      <c r="L39" s="11">
        <f>IF($I39=8,$G39*$H39*$J39,"")</f>
        <v/>
      </c>
      <c r="M39" s="11">
        <f>IF($I39=10,$G39*$H39*$J39,"")</f>
        <v/>
      </c>
      <c r="N39" s="11">
        <f>IF($I39=12,$G39*$H39*$J39,"")</f>
        <v/>
      </c>
      <c r="O39" s="11">
        <f>IF($I39=14,$G39*$H39*$J39,"")</f>
        <v/>
      </c>
      <c r="P39" s="11">
        <f>IF($I39=16,$G39*$H39*$J39,"")</f>
        <v/>
      </c>
      <c r="Q39" s="11">
        <f>IF($I39=20,$G39*$H39*$J39,"")</f>
        <v/>
      </c>
      <c r="R39" s="11">
        <f>IF($I39=25,$G39*$H39*$J39,"")</f>
        <v/>
      </c>
      <c r="S39" s="11">
        <f>IF($I39=32,$G39*$H39*$J39,"")</f>
        <v/>
      </c>
    </row>
    <row r="40">
      <c r="A40" s="8" t="inlineStr">
        <is>
          <t>S5</t>
        </is>
      </c>
      <c r="B40" s="16" t="inlineStr">
        <is>
          <t>F</t>
        </is>
      </c>
      <c r="C40" s="16" t="inlineStr">
        <is>
          <t>5</t>
        </is>
      </c>
      <c r="D40" s="10" t="n">
        <v>1.5</v>
      </c>
      <c r="E40" s="10" t="n">
        <v>1.5</v>
      </c>
      <c r="F40" s="10" t="n">
        <v>0.4</v>
      </c>
      <c r="G40" s="17" t="n"/>
      <c r="H40" s="17" t="n"/>
      <c r="I40" s="17" t="n"/>
      <c r="J40" s="10" t="n"/>
      <c r="K40" s="11">
        <f>IF($I40=6,$G40*$H40*$J40,"")</f>
        <v/>
      </c>
      <c r="L40" s="11">
        <f>IF($I40=8,$G40*$H40*$J40,"")</f>
        <v/>
      </c>
      <c r="M40" s="11">
        <f>IF($I40=10,$G40*$H40*$J40,"")</f>
        <v/>
      </c>
      <c r="N40" s="11">
        <f>IF($I40=12,$G40*$H40*$J40,"")</f>
        <v/>
      </c>
      <c r="O40" s="11">
        <f>IF($I40=14,$G40*$H40*$J40,"")</f>
        <v/>
      </c>
      <c r="P40" s="11">
        <f>IF($I40=16,$G40*$H40*$J40,"")</f>
        <v/>
      </c>
      <c r="Q40" s="11">
        <f>IF($I40=20,$G40*$H40*$J40,"")</f>
        <v/>
      </c>
      <c r="R40" s="11">
        <f>IF($I40=25,$G40*$H40*$J40,"")</f>
        <v/>
      </c>
      <c r="S40" s="11">
        <f>IF($I40=32,$G40*$H40*$J40,"")</f>
        <v/>
      </c>
    </row>
    <row r="41">
      <c r="A41" s="8" t="inlineStr">
        <is>
          <t>Armature INF X</t>
        </is>
      </c>
      <c r="B41" s="16" t="n"/>
      <c r="C41" s="16" t="n"/>
      <c r="D41" s="10" t="n"/>
      <c r="E41" s="10" t="n"/>
      <c r="F41" s="10" t="n"/>
      <c r="G41" s="17" t="n">
        <v>1</v>
      </c>
      <c r="H41" s="17" t="n">
        <v>0</v>
      </c>
      <c r="I41" s="17" t="n">
        <v>0</v>
      </c>
      <c r="J41" s="10">
        <f>(E40-0.05)+34*I41/1000</f>
        <v/>
      </c>
      <c r="K41" s="11">
        <f>IF($I41=6,$G41*$H41*$J41,"")</f>
        <v/>
      </c>
      <c r="L41" s="11">
        <f>IF($I41=8,$G41*$H41*$J41,"")</f>
        <v/>
      </c>
      <c r="M41" s="11">
        <f>IF($I41=10,$G41*$H41*$J41,"")</f>
        <v/>
      </c>
      <c r="N41" s="11">
        <f>IF($I41=12,$G41*$H41*$J41,"")</f>
        <v/>
      </c>
      <c r="O41" s="11">
        <f>IF($I41=14,$G41*$H41*$J41,"")</f>
        <v/>
      </c>
      <c r="P41" s="11">
        <f>IF($I41=16,$G41*$H41*$J41,"")</f>
        <v/>
      </c>
      <c r="Q41" s="11">
        <f>IF($I41=20,$G41*$H41*$J41,"")</f>
        <v/>
      </c>
      <c r="R41" s="11">
        <f>IF($I41=25,$G41*$H41*$J41,"")</f>
        <v/>
      </c>
      <c r="S41" s="11">
        <f>IF($I41=32,$G41*$H41*$J41,"")</f>
        <v/>
      </c>
    </row>
    <row r="42">
      <c r="A42" s="8" t="inlineStr">
        <is>
          <t>Armature INF Y</t>
        </is>
      </c>
      <c r="B42" s="16" t="n"/>
      <c r="C42" s="16" t="n"/>
      <c r="D42" s="10" t="n"/>
      <c r="E42" s="10" t="n"/>
      <c r="F42" s="10" t="n"/>
      <c r="G42" s="17" t="n">
        <v>1</v>
      </c>
      <c r="H42" s="17" t="n">
        <v>0</v>
      </c>
      <c r="I42" s="17" t="n">
        <v>0</v>
      </c>
      <c r="J42" s="10">
        <f>(D40-0.05)+34*I42/1000</f>
        <v/>
      </c>
      <c r="K42" s="11">
        <f>IF($I42=6,$G42*$H42*$J42,"")</f>
        <v/>
      </c>
      <c r="L42" s="11">
        <f>IF($I42=8,$G42*$H42*$J42,"")</f>
        <v/>
      </c>
      <c r="M42" s="11">
        <f>IF($I42=10,$G42*$H42*$J42,"")</f>
        <v/>
      </c>
      <c r="N42" s="11">
        <f>IF($I42=12,$G42*$H42*$J42,"")</f>
        <v/>
      </c>
      <c r="O42" s="11">
        <f>IF($I42=14,$G42*$H42*$J42,"")</f>
        <v/>
      </c>
      <c r="P42" s="11">
        <f>IF($I42=16,$G42*$H42*$J42,"")</f>
        <v/>
      </c>
      <c r="Q42" s="11">
        <f>IF($I42=20,$G42*$H42*$J42,"")</f>
        <v/>
      </c>
      <c r="R42" s="11">
        <f>IF($I42=25,$G42*$H42*$J42,"")</f>
        <v/>
      </c>
      <c r="S42" s="11">
        <f>IF($I42=32,$G42*$H42*$J42,"")</f>
        <v/>
      </c>
    </row>
    <row r="43">
      <c r="A43" s="8" t="inlineStr">
        <is>
          <t>S5</t>
        </is>
      </c>
      <c r="B43" s="16" t="inlineStr">
        <is>
          <t>B</t>
        </is>
      </c>
      <c r="C43" s="16" t="inlineStr">
        <is>
          <t>5</t>
        </is>
      </c>
      <c r="D43" s="10" t="n">
        <v>1.5</v>
      </c>
      <c r="E43" s="10" t="n">
        <v>1.5</v>
      </c>
      <c r="F43" s="10" t="n">
        <v>0.4</v>
      </c>
      <c r="G43" s="17" t="n"/>
      <c r="H43" s="17" t="n"/>
      <c r="I43" s="17" t="n"/>
      <c r="J43" s="10" t="n"/>
      <c r="K43" s="11">
        <f>IF($I43=6,$G43*$H43*$J43,"")</f>
        <v/>
      </c>
      <c r="L43" s="11">
        <f>IF($I43=8,$G43*$H43*$J43,"")</f>
        <v/>
      </c>
      <c r="M43" s="11">
        <f>IF($I43=10,$G43*$H43*$J43,"")</f>
        <v/>
      </c>
      <c r="N43" s="11">
        <f>IF($I43=12,$G43*$H43*$J43,"")</f>
        <v/>
      </c>
      <c r="O43" s="11">
        <f>IF($I43=14,$G43*$H43*$J43,"")</f>
        <v/>
      </c>
      <c r="P43" s="11">
        <f>IF($I43=16,$G43*$H43*$J43,"")</f>
        <v/>
      </c>
      <c r="Q43" s="11">
        <f>IF($I43=20,$G43*$H43*$J43,"")</f>
        <v/>
      </c>
      <c r="R43" s="11">
        <f>IF($I43=25,$G43*$H43*$J43,"")</f>
        <v/>
      </c>
      <c r="S43" s="11">
        <f>IF($I43=32,$G43*$H43*$J43,"")</f>
        <v/>
      </c>
    </row>
    <row r="44">
      <c r="A44" s="8" t="inlineStr">
        <is>
          <t>Armature INF X</t>
        </is>
      </c>
      <c r="B44" s="16" t="n"/>
      <c r="C44" s="16" t="n"/>
      <c r="D44" s="10" t="n"/>
      <c r="E44" s="10" t="n"/>
      <c r="F44" s="10" t="n"/>
      <c r="G44" s="17" t="n">
        <v>1</v>
      </c>
      <c r="H44" s="17" t="n">
        <v>0</v>
      </c>
      <c r="I44" s="17" t="n">
        <v>0</v>
      </c>
      <c r="J44" s="10">
        <f>(E43-0.05)+34*I44/1000</f>
        <v/>
      </c>
      <c r="K44" s="11">
        <f>IF($I44=6,$G44*$H44*$J44,"")</f>
        <v/>
      </c>
      <c r="L44" s="11">
        <f>IF($I44=8,$G44*$H44*$J44,"")</f>
        <v/>
      </c>
      <c r="M44" s="11">
        <f>IF($I44=10,$G44*$H44*$J44,"")</f>
        <v/>
      </c>
      <c r="N44" s="11">
        <f>IF($I44=12,$G44*$H44*$J44,"")</f>
        <v/>
      </c>
      <c r="O44" s="11">
        <f>IF($I44=14,$G44*$H44*$J44,"")</f>
        <v/>
      </c>
      <c r="P44" s="11">
        <f>IF($I44=16,$G44*$H44*$J44,"")</f>
        <v/>
      </c>
      <c r="Q44" s="11">
        <f>IF($I44=20,$G44*$H44*$J44,"")</f>
        <v/>
      </c>
      <c r="R44" s="11">
        <f>IF($I44=25,$G44*$H44*$J44,"")</f>
        <v/>
      </c>
      <c r="S44" s="11">
        <f>IF($I44=32,$G44*$H44*$J44,"")</f>
        <v/>
      </c>
    </row>
    <row r="45">
      <c r="A45" s="8" t="inlineStr">
        <is>
          <t>Armature INF Y</t>
        </is>
      </c>
      <c r="B45" s="16" t="n"/>
      <c r="C45" s="16" t="n"/>
      <c r="D45" s="10" t="n"/>
      <c r="E45" s="10" t="n"/>
      <c r="F45" s="10" t="n"/>
      <c r="G45" s="17" t="n">
        <v>1</v>
      </c>
      <c r="H45" s="17" t="n">
        <v>0</v>
      </c>
      <c r="I45" s="17" t="n">
        <v>0</v>
      </c>
      <c r="J45" s="10">
        <f>(D43-0.05)+34*I45/1000</f>
        <v/>
      </c>
      <c r="K45" s="11">
        <f>IF($I45=6,$G45*$H45*$J45,"")</f>
        <v/>
      </c>
      <c r="L45" s="11">
        <f>IF($I45=8,$G45*$H45*$J45,"")</f>
        <v/>
      </c>
      <c r="M45" s="11">
        <f>IF($I45=10,$G45*$H45*$J45,"")</f>
        <v/>
      </c>
      <c r="N45" s="11">
        <f>IF($I45=12,$G45*$H45*$J45,"")</f>
        <v/>
      </c>
      <c r="O45" s="11">
        <f>IF($I45=14,$G45*$H45*$J45,"")</f>
        <v/>
      </c>
      <c r="P45" s="11">
        <f>IF($I45=16,$G45*$H45*$J45,"")</f>
        <v/>
      </c>
      <c r="Q45" s="11">
        <f>IF($I45=20,$G45*$H45*$J45,"")</f>
        <v/>
      </c>
      <c r="R45" s="11">
        <f>IF($I45=25,$G45*$H45*$J45,"")</f>
        <v/>
      </c>
      <c r="S45" s="11">
        <f>IF($I45=32,$G45*$H45*$J45,"")</f>
        <v/>
      </c>
    </row>
    <row r="46">
      <c r="A46" s="8" t="inlineStr">
        <is>
          <t>S4</t>
        </is>
      </c>
      <c r="B46" s="16" t="inlineStr">
        <is>
          <t>D</t>
        </is>
      </c>
      <c r="C46" s="16" t="inlineStr">
        <is>
          <t>6</t>
        </is>
      </c>
      <c r="D46" s="10" t="n">
        <v>1.5</v>
      </c>
      <c r="E46" s="10" t="n">
        <v>1.5</v>
      </c>
      <c r="F46" s="10" t="n">
        <v>0.4</v>
      </c>
      <c r="G46" s="17" t="n"/>
      <c r="H46" s="17" t="n"/>
      <c r="I46" s="17" t="n"/>
      <c r="J46" s="10" t="n"/>
      <c r="K46" s="11">
        <f>IF($I46=6,$G46*$H46*$J46,"")</f>
        <v/>
      </c>
      <c r="L46" s="11">
        <f>IF($I46=8,$G46*$H46*$J46,"")</f>
        <v/>
      </c>
      <c r="M46" s="11">
        <f>IF($I46=10,$G46*$H46*$J46,"")</f>
        <v/>
      </c>
      <c r="N46" s="11">
        <f>IF($I46=12,$G46*$H46*$J46,"")</f>
        <v/>
      </c>
      <c r="O46" s="11">
        <f>IF($I46=14,$G46*$H46*$J46,"")</f>
        <v/>
      </c>
      <c r="P46" s="11">
        <f>IF($I46=16,$G46*$H46*$J46,"")</f>
        <v/>
      </c>
      <c r="Q46" s="11">
        <f>IF($I46=20,$G46*$H46*$J46,"")</f>
        <v/>
      </c>
      <c r="R46" s="11">
        <f>IF($I46=25,$G46*$H46*$J46,"")</f>
        <v/>
      </c>
      <c r="S46" s="11">
        <f>IF($I46=32,$G46*$H46*$J46,"")</f>
        <v/>
      </c>
    </row>
    <row r="47">
      <c r="A47" s="8" t="inlineStr">
        <is>
          <t>Armature INF X</t>
        </is>
      </c>
      <c r="B47" s="16" t="n"/>
      <c r="C47" s="16" t="n"/>
      <c r="D47" s="10" t="n"/>
      <c r="E47" s="10" t="n"/>
      <c r="F47" s="10" t="n"/>
      <c r="G47" s="17" t="n">
        <v>1</v>
      </c>
      <c r="H47" s="17" t="n">
        <v>11</v>
      </c>
      <c r="I47" s="17" t="n">
        <v>12</v>
      </c>
      <c r="J47" s="10">
        <f>(E46-0.05)+34*I47/1000</f>
        <v/>
      </c>
      <c r="K47" s="11">
        <f>IF($I47=6,$G47*$H47*$J47,"")</f>
        <v/>
      </c>
      <c r="L47" s="11">
        <f>IF($I47=8,$G47*$H47*$J47,"")</f>
        <v/>
      </c>
      <c r="M47" s="11">
        <f>IF($I47=10,$G47*$H47*$J47,"")</f>
        <v/>
      </c>
      <c r="N47" s="11">
        <f>IF($I47=12,$G47*$H47*$J47,"")</f>
        <v/>
      </c>
      <c r="O47" s="11">
        <f>IF($I47=14,$G47*$H47*$J47,"")</f>
        <v/>
      </c>
      <c r="P47" s="11">
        <f>IF($I47=16,$G47*$H47*$J47,"")</f>
        <v/>
      </c>
      <c r="Q47" s="11">
        <f>IF($I47=20,$G47*$H47*$J47,"")</f>
        <v/>
      </c>
      <c r="R47" s="11">
        <f>IF($I47=25,$G47*$H47*$J47,"")</f>
        <v/>
      </c>
      <c r="S47" s="11">
        <f>IF($I47=32,$G47*$H47*$J47,"")</f>
        <v/>
      </c>
    </row>
    <row r="48">
      <c r="A48" s="8" t="inlineStr">
        <is>
          <t>Armature INF Y</t>
        </is>
      </c>
      <c r="B48" s="16" t="n"/>
      <c r="C48" s="16" t="n"/>
      <c r="D48" s="10" t="n"/>
      <c r="E48" s="10" t="n"/>
      <c r="F48" s="10" t="n"/>
      <c r="G48" s="17" t="n">
        <v>1</v>
      </c>
      <c r="H48" s="17" t="n">
        <v>11</v>
      </c>
      <c r="I48" s="17" t="n">
        <v>12</v>
      </c>
      <c r="J48" s="10">
        <f>(D46-0.05)+34*I48/1000</f>
        <v/>
      </c>
      <c r="K48" s="11">
        <f>IF($I48=6,$G48*$H48*$J48,"")</f>
        <v/>
      </c>
      <c r="L48" s="11">
        <f>IF($I48=8,$G48*$H48*$J48,"")</f>
        <v/>
      </c>
      <c r="M48" s="11">
        <f>IF($I48=10,$G48*$H48*$J48,"")</f>
        <v/>
      </c>
      <c r="N48" s="11">
        <f>IF($I48=12,$G48*$H48*$J48,"")</f>
        <v/>
      </c>
      <c r="O48" s="11">
        <f>IF($I48=14,$G48*$H48*$J48,"")</f>
        <v/>
      </c>
      <c r="P48" s="11">
        <f>IF($I48=16,$G48*$H48*$J48,"")</f>
        <v/>
      </c>
      <c r="Q48" s="11">
        <f>IF($I48=20,$G48*$H48*$J48,"")</f>
        <v/>
      </c>
      <c r="R48" s="11">
        <f>IF($I48=25,$G48*$H48*$J48,"")</f>
        <v/>
      </c>
      <c r="S48" s="11">
        <f>IF($I48=32,$G48*$H48*$J48,"")</f>
        <v/>
      </c>
    </row>
    <row r="49">
      <c r="A49" s="8" t="inlineStr">
        <is>
          <t>S4</t>
        </is>
      </c>
      <c r="B49" s="16" t="inlineStr">
        <is>
          <t>F</t>
        </is>
      </c>
      <c r="C49" s="16" t="inlineStr">
        <is>
          <t>6</t>
        </is>
      </c>
      <c r="D49" s="10" t="n">
        <v>1.5</v>
      </c>
      <c r="E49" s="10" t="n">
        <v>1.5</v>
      </c>
      <c r="F49" s="10" t="n">
        <v>0.4</v>
      </c>
      <c r="G49" s="17" t="n"/>
      <c r="H49" s="17" t="n"/>
      <c r="I49" s="17" t="n"/>
      <c r="J49" s="10" t="n"/>
      <c r="K49" s="11">
        <f>IF($I49=6,$G49*$H49*$J49,"")</f>
        <v/>
      </c>
      <c r="L49" s="11">
        <f>IF($I49=8,$G49*$H49*$J49,"")</f>
        <v/>
      </c>
      <c r="M49" s="11">
        <f>IF($I49=10,$G49*$H49*$J49,"")</f>
        <v/>
      </c>
      <c r="N49" s="11">
        <f>IF($I49=12,$G49*$H49*$J49,"")</f>
        <v/>
      </c>
      <c r="O49" s="11">
        <f>IF($I49=14,$G49*$H49*$J49,"")</f>
        <v/>
      </c>
      <c r="P49" s="11">
        <f>IF($I49=16,$G49*$H49*$J49,"")</f>
        <v/>
      </c>
      <c r="Q49" s="11">
        <f>IF($I49=20,$G49*$H49*$J49,"")</f>
        <v/>
      </c>
      <c r="R49" s="11">
        <f>IF($I49=25,$G49*$H49*$J49,"")</f>
        <v/>
      </c>
      <c r="S49" s="11">
        <f>IF($I49=32,$G49*$H49*$J49,"")</f>
        <v/>
      </c>
    </row>
    <row r="50">
      <c r="A50" s="8" t="inlineStr">
        <is>
          <t>Armature INF X</t>
        </is>
      </c>
      <c r="B50" s="16" t="n"/>
      <c r="C50" s="16" t="n"/>
      <c r="D50" s="10" t="n"/>
      <c r="E50" s="10" t="n"/>
      <c r="F50" s="10" t="n"/>
      <c r="G50" s="17" t="n">
        <v>1</v>
      </c>
      <c r="H50" s="17" t="n">
        <v>11</v>
      </c>
      <c r="I50" s="17" t="n">
        <v>12</v>
      </c>
      <c r="J50" s="10">
        <f>(E49-0.05)+34*I50/1000</f>
        <v/>
      </c>
      <c r="K50" s="11">
        <f>IF($I50=6,$G50*$H50*$J50,"")</f>
        <v/>
      </c>
      <c r="L50" s="11">
        <f>IF($I50=8,$G50*$H50*$J50,"")</f>
        <v/>
      </c>
      <c r="M50" s="11">
        <f>IF($I50=10,$G50*$H50*$J50,"")</f>
        <v/>
      </c>
      <c r="N50" s="11">
        <f>IF($I50=12,$G50*$H50*$J50,"")</f>
        <v/>
      </c>
      <c r="O50" s="11">
        <f>IF($I50=14,$G50*$H50*$J50,"")</f>
        <v/>
      </c>
      <c r="P50" s="11">
        <f>IF($I50=16,$G50*$H50*$J50,"")</f>
        <v/>
      </c>
      <c r="Q50" s="11">
        <f>IF($I50=20,$G50*$H50*$J50,"")</f>
        <v/>
      </c>
      <c r="R50" s="11">
        <f>IF($I50=25,$G50*$H50*$J50,"")</f>
        <v/>
      </c>
      <c r="S50" s="11">
        <f>IF($I50=32,$G50*$H50*$J50,"")</f>
        <v/>
      </c>
    </row>
    <row r="51">
      <c r="A51" s="8" t="inlineStr">
        <is>
          <t>Armature INF Y</t>
        </is>
      </c>
      <c r="B51" s="16" t="n"/>
      <c r="C51" s="16" t="n"/>
      <c r="D51" s="10" t="n"/>
      <c r="E51" s="10" t="n"/>
      <c r="F51" s="10" t="n"/>
      <c r="G51" s="17" t="n">
        <v>1</v>
      </c>
      <c r="H51" s="17" t="n">
        <v>11</v>
      </c>
      <c r="I51" s="17" t="n">
        <v>12</v>
      </c>
      <c r="J51" s="10">
        <f>(D49-0.05)+34*I51/1000</f>
        <v/>
      </c>
      <c r="K51" s="11">
        <f>IF($I51=6,$G51*$H51*$J51,"")</f>
        <v/>
      </c>
      <c r="L51" s="11">
        <f>IF($I51=8,$G51*$H51*$J51,"")</f>
        <v/>
      </c>
      <c r="M51" s="11">
        <f>IF($I51=10,$G51*$H51*$J51,"")</f>
        <v/>
      </c>
      <c r="N51" s="11">
        <f>IF($I51=12,$G51*$H51*$J51,"")</f>
        <v/>
      </c>
      <c r="O51" s="11">
        <f>IF($I51=14,$G51*$H51*$J51,"")</f>
        <v/>
      </c>
      <c r="P51" s="11">
        <f>IF($I51=16,$G51*$H51*$J51,"")</f>
        <v/>
      </c>
      <c r="Q51" s="11">
        <f>IF($I51=20,$G51*$H51*$J51,"")</f>
        <v/>
      </c>
      <c r="R51" s="11">
        <f>IF($I51=25,$G51*$H51*$J51,"")</f>
        <v/>
      </c>
      <c r="S51" s="11">
        <f>IF($I51=32,$G51*$H51*$J51,"")</f>
        <v/>
      </c>
    </row>
    <row r="52">
      <c r="A52" s="8" t="inlineStr">
        <is>
          <t>S4</t>
        </is>
      </c>
      <c r="B52" s="16" t="inlineStr">
        <is>
          <t>F</t>
        </is>
      </c>
      <c r="C52" s="16" t="inlineStr">
        <is>
          <t>7</t>
        </is>
      </c>
      <c r="D52" s="10" t="n">
        <v>1.5</v>
      </c>
      <c r="E52" s="10" t="n">
        <v>1.5</v>
      </c>
      <c r="F52" s="10" t="n">
        <v>0.4</v>
      </c>
      <c r="G52" s="17" t="n"/>
      <c r="H52" s="17" t="n"/>
      <c r="I52" s="17" t="n"/>
      <c r="J52" s="10" t="n"/>
      <c r="K52" s="11">
        <f>IF($I52=6,$G52*$H52*$J52,"")</f>
        <v/>
      </c>
      <c r="L52" s="11">
        <f>IF($I52=8,$G52*$H52*$J52,"")</f>
        <v/>
      </c>
      <c r="M52" s="11">
        <f>IF($I52=10,$G52*$H52*$J52,"")</f>
        <v/>
      </c>
      <c r="N52" s="11">
        <f>IF($I52=12,$G52*$H52*$J52,"")</f>
        <v/>
      </c>
      <c r="O52" s="11">
        <f>IF($I52=14,$G52*$H52*$J52,"")</f>
        <v/>
      </c>
      <c r="P52" s="11">
        <f>IF($I52=16,$G52*$H52*$J52,"")</f>
        <v/>
      </c>
      <c r="Q52" s="11">
        <f>IF($I52=20,$G52*$H52*$J52,"")</f>
        <v/>
      </c>
      <c r="R52" s="11">
        <f>IF($I52=25,$G52*$H52*$J52,"")</f>
        <v/>
      </c>
      <c r="S52" s="11">
        <f>IF($I52=32,$G52*$H52*$J52,"")</f>
        <v/>
      </c>
    </row>
    <row r="53">
      <c r="A53" s="8" t="inlineStr">
        <is>
          <t>Armature INF X</t>
        </is>
      </c>
      <c r="B53" s="16" t="n"/>
      <c r="C53" s="16" t="n"/>
      <c r="D53" s="10" t="n"/>
      <c r="E53" s="10" t="n"/>
      <c r="F53" s="10" t="n"/>
      <c r="G53" s="17" t="n">
        <v>1</v>
      </c>
      <c r="H53" s="17" t="n">
        <v>11</v>
      </c>
      <c r="I53" s="17" t="n">
        <v>12</v>
      </c>
      <c r="J53" s="10">
        <f>(E52-0.05)+34*I53/1000</f>
        <v/>
      </c>
      <c r="K53" s="11">
        <f>IF($I53=6,$G53*$H53*$J53,"")</f>
        <v/>
      </c>
      <c r="L53" s="11">
        <f>IF($I53=8,$G53*$H53*$J53,"")</f>
        <v/>
      </c>
      <c r="M53" s="11">
        <f>IF($I53=10,$G53*$H53*$J53,"")</f>
        <v/>
      </c>
      <c r="N53" s="11">
        <f>IF($I53=12,$G53*$H53*$J53,"")</f>
        <v/>
      </c>
      <c r="O53" s="11">
        <f>IF($I53=14,$G53*$H53*$J53,"")</f>
        <v/>
      </c>
      <c r="P53" s="11">
        <f>IF($I53=16,$G53*$H53*$J53,"")</f>
        <v/>
      </c>
      <c r="Q53" s="11">
        <f>IF($I53=20,$G53*$H53*$J53,"")</f>
        <v/>
      </c>
      <c r="R53" s="11">
        <f>IF($I53=25,$G53*$H53*$J53,"")</f>
        <v/>
      </c>
      <c r="S53" s="11">
        <f>IF($I53=32,$G53*$H53*$J53,"")</f>
        <v/>
      </c>
    </row>
    <row r="54">
      <c r="A54" s="8" t="inlineStr">
        <is>
          <t>Armature INF Y</t>
        </is>
      </c>
      <c r="B54" s="16" t="n"/>
      <c r="C54" s="16" t="n"/>
      <c r="D54" s="10" t="n"/>
      <c r="E54" s="10" t="n"/>
      <c r="F54" s="10" t="n"/>
      <c r="G54" s="17" t="n">
        <v>1</v>
      </c>
      <c r="H54" s="17" t="n">
        <v>11</v>
      </c>
      <c r="I54" s="17" t="n">
        <v>12</v>
      </c>
      <c r="J54" s="10">
        <f>(D52-0.05)+34*I54/1000</f>
        <v/>
      </c>
      <c r="K54" s="11">
        <f>IF($I54=6,$G54*$H54*$J54,"")</f>
        <v/>
      </c>
      <c r="L54" s="11">
        <f>IF($I54=8,$G54*$H54*$J54,"")</f>
        <v/>
      </c>
      <c r="M54" s="11">
        <f>IF($I54=10,$G54*$H54*$J54,"")</f>
        <v/>
      </c>
      <c r="N54" s="11">
        <f>IF($I54=12,$G54*$H54*$J54,"")</f>
        <v/>
      </c>
      <c r="O54" s="11">
        <f>IF($I54=14,$G54*$H54*$J54,"")</f>
        <v/>
      </c>
      <c r="P54" s="11">
        <f>IF($I54=16,$G54*$H54*$J54,"")</f>
        <v/>
      </c>
      <c r="Q54" s="11">
        <f>IF($I54=20,$G54*$H54*$J54,"")</f>
        <v/>
      </c>
      <c r="R54" s="11">
        <f>IF($I54=25,$G54*$H54*$J54,"")</f>
        <v/>
      </c>
      <c r="S54" s="11">
        <f>IF($I54=32,$G54*$H54*$J54,"")</f>
        <v/>
      </c>
    </row>
    <row r="55">
      <c r="A55" s="8" t="inlineStr">
        <is>
          <t>S4</t>
        </is>
      </c>
      <c r="B55" s="16" t="inlineStr">
        <is>
          <t>A</t>
        </is>
      </c>
      <c r="C55" s="16" t="inlineStr">
        <is>
          <t>2</t>
        </is>
      </c>
      <c r="D55" s="10" t="n">
        <v>1.5</v>
      </c>
      <c r="E55" s="10" t="n">
        <v>1.5</v>
      </c>
      <c r="F55" s="10" t="n">
        <v>0.4</v>
      </c>
      <c r="G55" s="17" t="n"/>
      <c r="H55" s="17" t="n"/>
      <c r="I55" s="17" t="n"/>
      <c r="J55" s="10" t="n"/>
      <c r="K55" s="11">
        <f>IF($I55=6,$G55*$H55*$J55,"")</f>
        <v/>
      </c>
      <c r="L55" s="11">
        <f>IF($I55=8,$G55*$H55*$J55,"")</f>
        <v/>
      </c>
      <c r="M55" s="11">
        <f>IF($I55=10,$G55*$H55*$J55,"")</f>
        <v/>
      </c>
      <c r="N55" s="11">
        <f>IF($I55=12,$G55*$H55*$J55,"")</f>
        <v/>
      </c>
      <c r="O55" s="11">
        <f>IF($I55=14,$G55*$H55*$J55,"")</f>
        <v/>
      </c>
      <c r="P55" s="11">
        <f>IF($I55=16,$G55*$H55*$J55,"")</f>
        <v/>
      </c>
      <c r="Q55" s="11">
        <f>IF($I55=20,$G55*$H55*$J55,"")</f>
        <v/>
      </c>
      <c r="R55" s="11">
        <f>IF($I55=25,$G55*$H55*$J55,"")</f>
        <v/>
      </c>
      <c r="S55" s="11">
        <f>IF($I55=32,$G55*$H55*$J55,"")</f>
        <v/>
      </c>
    </row>
    <row r="56">
      <c r="A56" s="8" t="inlineStr">
        <is>
          <t>Armature INF X</t>
        </is>
      </c>
      <c r="B56" s="16" t="n"/>
      <c r="C56" s="16" t="n"/>
      <c r="D56" s="10" t="n"/>
      <c r="E56" s="10" t="n"/>
      <c r="F56" s="10" t="n"/>
      <c r="G56" s="17" t="n">
        <v>1</v>
      </c>
      <c r="H56" s="17" t="n">
        <v>11</v>
      </c>
      <c r="I56" s="17" t="n">
        <v>12</v>
      </c>
      <c r="J56" s="10">
        <f>(E55-0.05)+34*I56/1000</f>
        <v/>
      </c>
      <c r="K56" s="11">
        <f>IF($I56=6,$G56*$H56*$J56,"")</f>
        <v/>
      </c>
      <c r="L56" s="11">
        <f>IF($I56=8,$G56*$H56*$J56,"")</f>
        <v/>
      </c>
      <c r="M56" s="11">
        <f>IF($I56=10,$G56*$H56*$J56,"")</f>
        <v/>
      </c>
      <c r="N56" s="11">
        <f>IF($I56=12,$G56*$H56*$J56,"")</f>
        <v/>
      </c>
      <c r="O56" s="11">
        <f>IF($I56=14,$G56*$H56*$J56,"")</f>
        <v/>
      </c>
      <c r="P56" s="11">
        <f>IF($I56=16,$G56*$H56*$J56,"")</f>
        <v/>
      </c>
      <c r="Q56" s="11">
        <f>IF($I56=20,$G56*$H56*$J56,"")</f>
        <v/>
      </c>
      <c r="R56" s="11">
        <f>IF($I56=25,$G56*$H56*$J56,"")</f>
        <v/>
      </c>
      <c r="S56" s="11">
        <f>IF($I56=32,$G56*$H56*$J56,"")</f>
        <v/>
      </c>
    </row>
    <row r="57">
      <c r="A57" s="8" t="inlineStr">
        <is>
          <t>Armature INF Y</t>
        </is>
      </c>
      <c r="B57" s="16" t="n"/>
      <c r="C57" s="16" t="n"/>
      <c r="D57" s="10" t="n"/>
      <c r="E57" s="10" t="n"/>
      <c r="F57" s="10" t="n"/>
      <c r="G57" s="17" t="n">
        <v>1</v>
      </c>
      <c r="H57" s="17" t="n">
        <v>11</v>
      </c>
      <c r="I57" s="17" t="n">
        <v>12</v>
      </c>
      <c r="J57" s="10">
        <f>(D55-0.05)+34*I57/1000</f>
        <v/>
      </c>
      <c r="K57" s="11">
        <f>IF($I57=6,$G57*$H57*$J57,"")</f>
        <v/>
      </c>
      <c r="L57" s="11">
        <f>IF($I57=8,$G57*$H57*$J57,"")</f>
        <v/>
      </c>
      <c r="M57" s="11">
        <f>IF($I57=10,$G57*$H57*$J57,"")</f>
        <v/>
      </c>
      <c r="N57" s="11">
        <f>IF($I57=12,$G57*$H57*$J57,"")</f>
        <v/>
      </c>
      <c r="O57" s="11">
        <f>IF($I57=14,$G57*$H57*$J57,"")</f>
        <v/>
      </c>
      <c r="P57" s="11">
        <f>IF($I57=16,$G57*$H57*$J57,"")</f>
        <v/>
      </c>
      <c r="Q57" s="11">
        <f>IF($I57=20,$G57*$H57*$J57,"")</f>
        <v/>
      </c>
      <c r="R57" s="11">
        <f>IF($I57=25,$G57*$H57*$J57,"")</f>
        <v/>
      </c>
      <c r="S57" s="11">
        <f>IF($I57=32,$G57*$H57*$J57,"")</f>
        <v/>
      </c>
    </row>
    <row r="58">
      <c r="A58" s="8" t="inlineStr">
        <is>
          <t>S4</t>
        </is>
      </c>
      <c r="B58" s="16" t="inlineStr">
        <is>
          <t>A</t>
        </is>
      </c>
      <c r="C58" s="16" t="inlineStr">
        <is>
          <t>4</t>
        </is>
      </c>
      <c r="D58" s="10" t="n">
        <v>1.5</v>
      </c>
      <c r="E58" s="10" t="n">
        <v>1.5</v>
      </c>
      <c r="F58" s="10" t="n">
        <v>0.4</v>
      </c>
      <c r="G58" s="17" t="n"/>
      <c r="H58" s="17" t="n"/>
      <c r="I58" s="17" t="n"/>
      <c r="J58" s="10" t="n"/>
      <c r="K58" s="11">
        <f>IF($I58=6,$G58*$H58*$J58,"")</f>
        <v/>
      </c>
      <c r="L58" s="11">
        <f>IF($I58=8,$G58*$H58*$J58,"")</f>
        <v/>
      </c>
      <c r="M58" s="11">
        <f>IF($I58=10,$G58*$H58*$J58,"")</f>
        <v/>
      </c>
      <c r="N58" s="11">
        <f>IF($I58=12,$G58*$H58*$J58,"")</f>
        <v/>
      </c>
      <c r="O58" s="11">
        <f>IF($I58=14,$G58*$H58*$J58,"")</f>
        <v/>
      </c>
      <c r="P58" s="11">
        <f>IF($I58=16,$G58*$H58*$J58,"")</f>
        <v/>
      </c>
      <c r="Q58" s="11">
        <f>IF($I58=20,$G58*$H58*$J58,"")</f>
        <v/>
      </c>
      <c r="R58" s="11">
        <f>IF($I58=25,$G58*$H58*$J58,"")</f>
        <v/>
      </c>
      <c r="S58" s="11">
        <f>IF($I58=32,$G58*$H58*$J58,"")</f>
        <v/>
      </c>
    </row>
    <row r="59">
      <c r="A59" s="8" t="inlineStr">
        <is>
          <t>Armature INF X</t>
        </is>
      </c>
      <c r="B59" s="16" t="n"/>
      <c r="C59" s="16" t="n"/>
      <c r="D59" s="10" t="n"/>
      <c r="E59" s="10" t="n"/>
      <c r="F59" s="10" t="n"/>
      <c r="G59" s="17" t="n">
        <v>1</v>
      </c>
      <c r="H59" s="17" t="n">
        <v>11</v>
      </c>
      <c r="I59" s="17" t="n">
        <v>12</v>
      </c>
      <c r="J59" s="10">
        <f>(E58-0.05)+34*I59/1000</f>
        <v/>
      </c>
      <c r="K59" s="11">
        <f>IF($I59=6,$G59*$H59*$J59,"")</f>
        <v/>
      </c>
      <c r="L59" s="11">
        <f>IF($I59=8,$G59*$H59*$J59,"")</f>
        <v/>
      </c>
      <c r="M59" s="11">
        <f>IF($I59=10,$G59*$H59*$J59,"")</f>
        <v/>
      </c>
      <c r="N59" s="11">
        <f>IF($I59=12,$G59*$H59*$J59,"")</f>
        <v/>
      </c>
      <c r="O59" s="11">
        <f>IF($I59=14,$G59*$H59*$J59,"")</f>
        <v/>
      </c>
      <c r="P59" s="11">
        <f>IF($I59=16,$G59*$H59*$J59,"")</f>
        <v/>
      </c>
      <c r="Q59" s="11">
        <f>IF($I59=20,$G59*$H59*$J59,"")</f>
        <v/>
      </c>
      <c r="R59" s="11">
        <f>IF($I59=25,$G59*$H59*$J59,"")</f>
        <v/>
      </c>
      <c r="S59" s="11">
        <f>IF($I59=32,$G59*$H59*$J59,"")</f>
        <v/>
      </c>
    </row>
    <row r="60">
      <c r="A60" s="8" t="inlineStr">
        <is>
          <t>Armature INF Y</t>
        </is>
      </c>
      <c r="B60" s="16" t="n"/>
      <c r="C60" s="16" t="n"/>
      <c r="D60" s="10" t="n"/>
      <c r="E60" s="10" t="n"/>
      <c r="F60" s="10" t="n"/>
      <c r="G60" s="17" t="n">
        <v>1</v>
      </c>
      <c r="H60" s="17" t="n">
        <v>11</v>
      </c>
      <c r="I60" s="17" t="n">
        <v>12</v>
      </c>
      <c r="J60" s="10">
        <f>(D58-0.05)+34*I60/1000</f>
        <v/>
      </c>
      <c r="K60" s="11">
        <f>IF($I60=6,$G60*$H60*$J60,"")</f>
        <v/>
      </c>
      <c r="L60" s="11">
        <f>IF($I60=8,$G60*$H60*$J60,"")</f>
        <v/>
      </c>
      <c r="M60" s="11">
        <f>IF($I60=10,$G60*$H60*$J60,"")</f>
        <v/>
      </c>
      <c r="N60" s="11">
        <f>IF($I60=12,$G60*$H60*$J60,"")</f>
        <v/>
      </c>
      <c r="O60" s="11">
        <f>IF($I60=14,$G60*$H60*$J60,"")</f>
        <v/>
      </c>
      <c r="P60" s="11">
        <f>IF($I60=16,$G60*$H60*$J60,"")</f>
        <v/>
      </c>
      <c r="Q60" s="11">
        <f>IF($I60=20,$G60*$H60*$J60,"")</f>
        <v/>
      </c>
      <c r="R60" s="11">
        <f>IF($I60=25,$G60*$H60*$J60,"")</f>
        <v/>
      </c>
      <c r="S60" s="11">
        <f>IF($I60=32,$G60*$H60*$J60,"")</f>
        <v/>
      </c>
    </row>
    <row r="61">
      <c r="A61" s="8" t="inlineStr">
        <is>
          <t>S4</t>
        </is>
      </c>
      <c r="B61" s="16" t="inlineStr">
        <is>
          <t>G</t>
        </is>
      </c>
      <c r="C61" s="16" t="inlineStr">
        <is>
          <t>2</t>
        </is>
      </c>
      <c r="D61" s="10" t="n">
        <v>1.5</v>
      </c>
      <c r="E61" s="10" t="n">
        <v>1.5</v>
      </c>
      <c r="F61" s="10" t="n">
        <v>0.4</v>
      </c>
      <c r="G61" s="17" t="n"/>
      <c r="H61" s="17" t="n"/>
      <c r="I61" s="17" t="n"/>
      <c r="J61" s="10" t="n"/>
      <c r="K61" s="11">
        <f>IF($I61=6,$G61*$H61*$J61,"")</f>
        <v/>
      </c>
      <c r="L61" s="11">
        <f>IF($I61=8,$G61*$H61*$J61,"")</f>
        <v/>
      </c>
      <c r="M61" s="11">
        <f>IF($I61=10,$G61*$H61*$J61,"")</f>
        <v/>
      </c>
      <c r="N61" s="11">
        <f>IF($I61=12,$G61*$H61*$J61,"")</f>
        <v/>
      </c>
      <c r="O61" s="11">
        <f>IF($I61=14,$G61*$H61*$J61,"")</f>
        <v/>
      </c>
      <c r="P61" s="11">
        <f>IF($I61=16,$G61*$H61*$J61,"")</f>
        <v/>
      </c>
      <c r="Q61" s="11">
        <f>IF($I61=20,$G61*$H61*$J61,"")</f>
        <v/>
      </c>
      <c r="R61" s="11">
        <f>IF($I61=25,$G61*$H61*$J61,"")</f>
        <v/>
      </c>
      <c r="S61" s="11">
        <f>IF($I61=32,$G61*$H61*$J61,"")</f>
        <v/>
      </c>
    </row>
    <row r="62">
      <c r="A62" s="8" t="inlineStr">
        <is>
          <t>Armature INF X</t>
        </is>
      </c>
      <c r="B62" s="16" t="n"/>
      <c r="C62" s="16" t="n"/>
      <c r="D62" s="10" t="n"/>
      <c r="E62" s="10" t="n"/>
      <c r="F62" s="10" t="n"/>
      <c r="G62" s="17" t="n">
        <v>1</v>
      </c>
      <c r="H62" s="17" t="n">
        <v>11</v>
      </c>
      <c r="I62" s="17" t="n">
        <v>12</v>
      </c>
      <c r="J62" s="10">
        <f>(E61-0.05)+34*I62/1000</f>
        <v/>
      </c>
      <c r="K62" s="11">
        <f>IF($I62=6,$G62*$H62*$J62,"")</f>
        <v/>
      </c>
      <c r="L62" s="11">
        <f>IF($I62=8,$G62*$H62*$J62,"")</f>
        <v/>
      </c>
      <c r="M62" s="11">
        <f>IF($I62=10,$G62*$H62*$J62,"")</f>
        <v/>
      </c>
      <c r="N62" s="11">
        <f>IF($I62=12,$G62*$H62*$J62,"")</f>
        <v/>
      </c>
      <c r="O62" s="11">
        <f>IF($I62=14,$G62*$H62*$J62,"")</f>
        <v/>
      </c>
      <c r="P62" s="11">
        <f>IF($I62=16,$G62*$H62*$J62,"")</f>
        <v/>
      </c>
      <c r="Q62" s="11">
        <f>IF($I62=20,$G62*$H62*$J62,"")</f>
        <v/>
      </c>
      <c r="R62" s="11">
        <f>IF($I62=25,$G62*$H62*$J62,"")</f>
        <v/>
      </c>
      <c r="S62" s="11">
        <f>IF($I62=32,$G62*$H62*$J62,"")</f>
        <v/>
      </c>
    </row>
    <row r="63">
      <c r="A63" s="8" t="inlineStr">
        <is>
          <t>Armature INF Y</t>
        </is>
      </c>
      <c r="B63" s="16" t="n"/>
      <c r="C63" s="16" t="n"/>
      <c r="D63" s="10" t="n"/>
      <c r="E63" s="10" t="n"/>
      <c r="F63" s="10" t="n"/>
      <c r="G63" s="17" t="n">
        <v>1</v>
      </c>
      <c r="H63" s="17" t="n">
        <v>11</v>
      </c>
      <c r="I63" s="17" t="n">
        <v>12</v>
      </c>
      <c r="J63" s="10">
        <f>(D61-0.05)+34*I63/1000</f>
        <v/>
      </c>
      <c r="K63" s="11">
        <f>IF($I63=6,$G63*$H63*$J63,"")</f>
        <v/>
      </c>
      <c r="L63" s="11">
        <f>IF($I63=8,$G63*$H63*$J63,"")</f>
        <v/>
      </c>
      <c r="M63" s="11">
        <f>IF($I63=10,$G63*$H63*$J63,"")</f>
        <v/>
      </c>
      <c r="N63" s="11">
        <f>IF($I63=12,$G63*$H63*$J63,"")</f>
        <v/>
      </c>
      <c r="O63" s="11">
        <f>IF($I63=14,$G63*$H63*$J63,"")</f>
        <v/>
      </c>
      <c r="P63" s="11">
        <f>IF($I63=16,$G63*$H63*$J63,"")</f>
        <v/>
      </c>
      <c r="Q63" s="11">
        <f>IF($I63=20,$G63*$H63*$J63,"")</f>
        <v/>
      </c>
      <c r="R63" s="11">
        <f>IF($I63=25,$G63*$H63*$J63,"")</f>
        <v/>
      </c>
      <c r="S63" s="11">
        <f>IF($I63=32,$G63*$H63*$J63,"")</f>
        <v/>
      </c>
    </row>
    <row r="64">
      <c r="A64" s="8" t="inlineStr">
        <is>
          <t>S4</t>
        </is>
      </c>
      <c r="B64" s="16" t="inlineStr">
        <is>
          <t>G</t>
        </is>
      </c>
      <c r="C64" s="16" t="inlineStr">
        <is>
          <t>3</t>
        </is>
      </c>
      <c r="D64" s="10" t="n">
        <v>1.5</v>
      </c>
      <c r="E64" s="10" t="n">
        <v>1.5</v>
      </c>
      <c r="F64" s="10" t="n">
        <v>0.4</v>
      </c>
      <c r="G64" s="17" t="n"/>
      <c r="H64" s="17" t="n"/>
      <c r="I64" s="17" t="n"/>
      <c r="J64" s="10" t="n"/>
      <c r="K64" s="11">
        <f>IF($I64=6,$G64*$H64*$J64,"")</f>
        <v/>
      </c>
      <c r="L64" s="11">
        <f>IF($I64=8,$G64*$H64*$J64,"")</f>
        <v/>
      </c>
      <c r="M64" s="11">
        <f>IF($I64=10,$G64*$H64*$J64,"")</f>
        <v/>
      </c>
      <c r="N64" s="11">
        <f>IF($I64=12,$G64*$H64*$J64,"")</f>
        <v/>
      </c>
      <c r="O64" s="11">
        <f>IF($I64=14,$G64*$H64*$J64,"")</f>
        <v/>
      </c>
      <c r="P64" s="11">
        <f>IF($I64=16,$G64*$H64*$J64,"")</f>
        <v/>
      </c>
      <c r="Q64" s="11">
        <f>IF($I64=20,$G64*$H64*$J64,"")</f>
        <v/>
      </c>
      <c r="R64" s="11">
        <f>IF($I64=25,$G64*$H64*$J64,"")</f>
        <v/>
      </c>
      <c r="S64" s="11">
        <f>IF($I64=32,$G64*$H64*$J64,"")</f>
        <v/>
      </c>
    </row>
    <row r="65">
      <c r="A65" s="8" t="inlineStr">
        <is>
          <t>Armature INF X</t>
        </is>
      </c>
      <c r="B65" s="16" t="n"/>
      <c r="C65" s="16" t="n"/>
      <c r="D65" s="10" t="n"/>
      <c r="E65" s="10" t="n"/>
      <c r="F65" s="10" t="n"/>
      <c r="G65" s="17" t="n">
        <v>1</v>
      </c>
      <c r="H65" s="17" t="n">
        <v>11</v>
      </c>
      <c r="I65" s="17" t="n">
        <v>12</v>
      </c>
      <c r="J65" s="10">
        <f>(E64-0.05)+34*I65/1000</f>
        <v/>
      </c>
      <c r="K65" s="11">
        <f>IF($I65=6,$G65*$H65*$J65,"")</f>
        <v/>
      </c>
      <c r="L65" s="11">
        <f>IF($I65=8,$G65*$H65*$J65,"")</f>
        <v/>
      </c>
      <c r="M65" s="11">
        <f>IF($I65=10,$G65*$H65*$J65,"")</f>
        <v/>
      </c>
      <c r="N65" s="11">
        <f>IF($I65=12,$G65*$H65*$J65,"")</f>
        <v/>
      </c>
      <c r="O65" s="11">
        <f>IF($I65=14,$G65*$H65*$J65,"")</f>
        <v/>
      </c>
      <c r="P65" s="11">
        <f>IF($I65=16,$G65*$H65*$J65,"")</f>
        <v/>
      </c>
      <c r="Q65" s="11">
        <f>IF($I65=20,$G65*$H65*$J65,"")</f>
        <v/>
      </c>
      <c r="R65" s="11">
        <f>IF($I65=25,$G65*$H65*$J65,"")</f>
        <v/>
      </c>
      <c r="S65" s="11">
        <f>IF($I65=32,$G65*$H65*$J65,"")</f>
        <v/>
      </c>
    </row>
    <row r="66">
      <c r="A66" s="8" t="inlineStr">
        <is>
          <t>Armature INF Y</t>
        </is>
      </c>
      <c r="B66" s="16" t="n"/>
      <c r="C66" s="16" t="n"/>
      <c r="D66" s="10" t="n"/>
      <c r="E66" s="10" t="n"/>
      <c r="F66" s="10" t="n"/>
      <c r="G66" s="17" t="n">
        <v>1</v>
      </c>
      <c r="H66" s="17" t="n">
        <v>11</v>
      </c>
      <c r="I66" s="17" t="n">
        <v>12</v>
      </c>
      <c r="J66" s="10">
        <f>(D64-0.05)+34*I66/1000</f>
        <v/>
      </c>
      <c r="K66" s="11">
        <f>IF($I66=6,$G66*$H66*$J66,"")</f>
        <v/>
      </c>
      <c r="L66" s="11">
        <f>IF($I66=8,$G66*$H66*$J66,"")</f>
        <v/>
      </c>
      <c r="M66" s="11">
        <f>IF($I66=10,$G66*$H66*$J66,"")</f>
        <v/>
      </c>
      <c r="N66" s="11">
        <f>IF($I66=12,$G66*$H66*$J66,"")</f>
        <v/>
      </c>
      <c r="O66" s="11">
        <f>IF($I66=14,$G66*$H66*$J66,"")</f>
        <v/>
      </c>
      <c r="P66" s="11">
        <f>IF($I66=16,$G66*$H66*$J66,"")</f>
        <v/>
      </c>
      <c r="Q66" s="11">
        <f>IF($I66=20,$G66*$H66*$J66,"")</f>
        <v/>
      </c>
      <c r="R66" s="11">
        <f>IF($I66=25,$G66*$H66*$J66,"")</f>
        <v/>
      </c>
      <c r="S66" s="11">
        <f>IF($I66=32,$G66*$H66*$J66,"")</f>
        <v/>
      </c>
    </row>
    <row r="67">
      <c r="A67" s="8" t="inlineStr">
        <is>
          <t>S4</t>
        </is>
      </c>
      <c r="B67" s="16" t="inlineStr">
        <is>
          <t>B</t>
        </is>
      </c>
      <c r="C67" s="16" t="inlineStr">
        <is>
          <t>1</t>
        </is>
      </c>
      <c r="D67" s="10" t="n">
        <v>1.5</v>
      </c>
      <c r="E67" s="10" t="n">
        <v>1.5</v>
      </c>
      <c r="F67" s="10" t="n">
        <v>0.4</v>
      </c>
      <c r="G67" s="17" t="n"/>
      <c r="H67" s="17" t="n"/>
      <c r="I67" s="17" t="n"/>
      <c r="J67" s="10" t="n"/>
      <c r="K67" s="11">
        <f>IF($I67=6,$G67*$H67*$J67,"")</f>
        <v/>
      </c>
      <c r="L67" s="11">
        <f>IF($I67=8,$G67*$H67*$J67,"")</f>
        <v/>
      </c>
      <c r="M67" s="11">
        <f>IF($I67=10,$G67*$H67*$J67,"")</f>
        <v/>
      </c>
      <c r="N67" s="11">
        <f>IF($I67=12,$G67*$H67*$J67,"")</f>
        <v/>
      </c>
      <c r="O67" s="11">
        <f>IF($I67=14,$G67*$H67*$J67,"")</f>
        <v/>
      </c>
      <c r="P67" s="11">
        <f>IF($I67=16,$G67*$H67*$J67,"")</f>
        <v/>
      </c>
      <c r="Q67" s="11">
        <f>IF($I67=20,$G67*$H67*$J67,"")</f>
        <v/>
      </c>
      <c r="R67" s="11">
        <f>IF($I67=25,$G67*$H67*$J67,"")</f>
        <v/>
      </c>
      <c r="S67" s="11">
        <f>IF($I67=32,$G67*$H67*$J67,"")</f>
        <v/>
      </c>
    </row>
    <row r="68">
      <c r="A68" s="8" t="inlineStr">
        <is>
          <t>Armature INF X</t>
        </is>
      </c>
      <c r="B68" s="16" t="n"/>
      <c r="C68" s="16" t="n"/>
      <c r="D68" s="10" t="n"/>
      <c r="E68" s="10" t="n"/>
      <c r="F68" s="10" t="n"/>
      <c r="G68" s="17" t="n">
        <v>1</v>
      </c>
      <c r="H68" s="17" t="n">
        <v>11</v>
      </c>
      <c r="I68" s="17" t="n">
        <v>12</v>
      </c>
      <c r="J68" s="10">
        <f>(E67-0.05)+34*I68/1000</f>
        <v/>
      </c>
      <c r="K68" s="11">
        <f>IF($I68=6,$G68*$H68*$J68,"")</f>
        <v/>
      </c>
      <c r="L68" s="11">
        <f>IF($I68=8,$G68*$H68*$J68,"")</f>
        <v/>
      </c>
      <c r="M68" s="11">
        <f>IF($I68=10,$G68*$H68*$J68,"")</f>
        <v/>
      </c>
      <c r="N68" s="11">
        <f>IF($I68=12,$G68*$H68*$J68,"")</f>
        <v/>
      </c>
      <c r="O68" s="11">
        <f>IF($I68=14,$G68*$H68*$J68,"")</f>
        <v/>
      </c>
      <c r="P68" s="11">
        <f>IF($I68=16,$G68*$H68*$J68,"")</f>
        <v/>
      </c>
      <c r="Q68" s="11">
        <f>IF($I68=20,$G68*$H68*$J68,"")</f>
        <v/>
      </c>
      <c r="R68" s="11">
        <f>IF($I68=25,$G68*$H68*$J68,"")</f>
        <v/>
      </c>
      <c r="S68" s="11">
        <f>IF($I68=32,$G68*$H68*$J68,"")</f>
        <v/>
      </c>
    </row>
    <row r="69">
      <c r="A69" s="8" t="inlineStr">
        <is>
          <t>Armature INF Y</t>
        </is>
      </c>
      <c r="B69" s="16" t="n"/>
      <c r="C69" s="16" t="n"/>
      <c r="D69" s="10" t="n"/>
      <c r="E69" s="10" t="n"/>
      <c r="F69" s="10" t="n"/>
      <c r="G69" s="17" t="n">
        <v>1</v>
      </c>
      <c r="H69" s="17" t="n">
        <v>11</v>
      </c>
      <c r="I69" s="17" t="n">
        <v>12</v>
      </c>
      <c r="J69" s="10">
        <f>(D67-0.05)+34*I69/1000</f>
        <v/>
      </c>
      <c r="K69" s="11">
        <f>IF($I69=6,$G69*$H69*$J69,"")</f>
        <v/>
      </c>
      <c r="L69" s="11">
        <f>IF($I69=8,$G69*$H69*$J69,"")</f>
        <v/>
      </c>
      <c r="M69" s="11">
        <f>IF($I69=10,$G69*$H69*$J69,"")</f>
        <v/>
      </c>
      <c r="N69" s="11">
        <f>IF($I69=12,$G69*$H69*$J69,"")</f>
        <v/>
      </c>
      <c r="O69" s="11">
        <f>IF($I69=14,$G69*$H69*$J69,"")</f>
        <v/>
      </c>
      <c r="P69" s="11">
        <f>IF($I69=16,$G69*$H69*$J69,"")</f>
        <v/>
      </c>
      <c r="Q69" s="11">
        <f>IF($I69=20,$G69*$H69*$J69,"")</f>
        <v/>
      </c>
      <c r="R69" s="11">
        <f>IF($I69=25,$G69*$H69*$J69,"")</f>
        <v/>
      </c>
      <c r="S69" s="11">
        <f>IF($I69=32,$G69*$H69*$J69,"")</f>
        <v/>
      </c>
    </row>
    <row r="70">
      <c r="A70" s="8" t="inlineStr">
        <is>
          <t>S5</t>
        </is>
      </c>
      <c r="B70" s="16" t="inlineStr">
        <is>
          <t>G</t>
        </is>
      </c>
      <c r="C70" s="16" t="inlineStr">
        <is>
          <t>5</t>
        </is>
      </c>
      <c r="D70" s="10" t="n">
        <v>1.5</v>
      </c>
      <c r="E70" s="10" t="n">
        <v>1.5</v>
      </c>
      <c r="F70" s="10" t="n">
        <v>0.4</v>
      </c>
      <c r="G70" s="17" t="n"/>
      <c r="H70" s="17" t="n"/>
      <c r="I70" s="17" t="n"/>
      <c r="J70" s="10" t="n"/>
      <c r="K70" s="11">
        <f>IF($I70=6,$G70*$H70*$J70,"")</f>
        <v/>
      </c>
      <c r="L70" s="11">
        <f>IF($I70=8,$G70*$H70*$J70,"")</f>
        <v/>
      </c>
      <c r="M70" s="11">
        <f>IF($I70=10,$G70*$H70*$J70,"")</f>
        <v/>
      </c>
      <c r="N70" s="11">
        <f>IF($I70=12,$G70*$H70*$J70,"")</f>
        <v/>
      </c>
      <c r="O70" s="11">
        <f>IF($I70=14,$G70*$H70*$J70,"")</f>
        <v/>
      </c>
      <c r="P70" s="11">
        <f>IF($I70=16,$G70*$H70*$J70,"")</f>
        <v/>
      </c>
      <c r="Q70" s="11">
        <f>IF($I70=20,$G70*$H70*$J70,"")</f>
        <v/>
      </c>
      <c r="R70" s="11">
        <f>IF($I70=25,$G70*$H70*$J70,"")</f>
        <v/>
      </c>
      <c r="S70" s="11">
        <f>IF($I70=32,$G70*$H70*$J70,"")</f>
        <v/>
      </c>
    </row>
    <row r="71">
      <c r="A71" s="8" t="inlineStr">
        <is>
          <t>Armature INF X</t>
        </is>
      </c>
      <c r="B71" s="16" t="n"/>
      <c r="C71" s="16" t="n"/>
      <c r="D71" s="10" t="n"/>
      <c r="E71" s="10" t="n"/>
      <c r="F71" s="10" t="n"/>
      <c r="G71" s="17" t="n">
        <v>1</v>
      </c>
      <c r="H71" s="17" t="n">
        <v>0</v>
      </c>
      <c r="I71" s="17" t="n">
        <v>0</v>
      </c>
      <c r="J71" s="10">
        <f>(E70-0.05)+34*I71/1000</f>
        <v/>
      </c>
      <c r="K71" s="11">
        <f>IF($I71=6,$G71*$H71*$J71,"")</f>
        <v/>
      </c>
      <c r="L71" s="11">
        <f>IF($I71=8,$G71*$H71*$J71,"")</f>
        <v/>
      </c>
      <c r="M71" s="11">
        <f>IF($I71=10,$G71*$H71*$J71,"")</f>
        <v/>
      </c>
      <c r="N71" s="11">
        <f>IF($I71=12,$G71*$H71*$J71,"")</f>
        <v/>
      </c>
      <c r="O71" s="11">
        <f>IF($I71=14,$G71*$H71*$J71,"")</f>
        <v/>
      </c>
      <c r="P71" s="11">
        <f>IF($I71=16,$G71*$H71*$J71,"")</f>
        <v/>
      </c>
      <c r="Q71" s="11">
        <f>IF($I71=20,$G71*$H71*$J71,"")</f>
        <v/>
      </c>
      <c r="R71" s="11">
        <f>IF($I71=25,$G71*$H71*$J71,"")</f>
        <v/>
      </c>
      <c r="S71" s="11">
        <f>IF($I71=32,$G71*$H71*$J71,"")</f>
        <v/>
      </c>
    </row>
    <row r="72">
      <c r="A72" s="8" t="inlineStr">
        <is>
          <t>Armature INF Y</t>
        </is>
      </c>
      <c r="B72" s="16" t="n"/>
      <c r="C72" s="16" t="n"/>
      <c r="D72" s="10" t="n"/>
      <c r="E72" s="10" t="n"/>
      <c r="F72" s="10" t="n"/>
      <c r="G72" s="17" t="n">
        <v>1</v>
      </c>
      <c r="H72" s="17" t="n">
        <v>0</v>
      </c>
      <c r="I72" s="17" t="n">
        <v>0</v>
      </c>
      <c r="J72" s="10">
        <f>(D70-0.05)+34*I72/1000</f>
        <v/>
      </c>
      <c r="K72" s="11">
        <f>IF($I72=6,$G72*$H72*$J72,"")</f>
        <v/>
      </c>
      <c r="L72" s="11">
        <f>IF($I72=8,$G72*$H72*$J72,"")</f>
        <v/>
      </c>
      <c r="M72" s="11">
        <f>IF($I72=10,$G72*$H72*$J72,"")</f>
        <v/>
      </c>
      <c r="N72" s="11">
        <f>IF($I72=12,$G72*$H72*$J72,"")</f>
        <v/>
      </c>
      <c r="O72" s="11">
        <f>IF($I72=14,$G72*$H72*$J72,"")</f>
        <v/>
      </c>
      <c r="P72" s="11">
        <f>IF($I72=16,$G72*$H72*$J72,"")</f>
        <v/>
      </c>
      <c r="Q72" s="11">
        <f>IF($I72=20,$G72*$H72*$J72,"")</f>
        <v/>
      </c>
      <c r="R72" s="11">
        <f>IF($I72=25,$G72*$H72*$J72,"")</f>
        <v/>
      </c>
      <c r="S72" s="11">
        <f>IF($I72=32,$G72*$H72*$J72,"")</f>
        <v/>
      </c>
    </row>
    <row r="73">
      <c r="A73" s="8" t="inlineStr">
        <is>
          <t>P1</t>
        </is>
      </c>
      <c r="B73" s="16" t="inlineStr"/>
      <c r="C73" s="16" t="inlineStr"/>
      <c r="D73" s="10" t="n">
        <v>0.25</v>
      </c>
      <c r="E73" s="10" t="n">
        <v>0.35</v>
      </c>
      <c r="F73" s="10" t="n">
        <v>3</v>
      </c>
      <c r="G73" s="17" t="n"/>
      <c r="H73" s="17" t="n"/>
      <c r="I73" s="17" t="n"/>
      <c r="J73" s="10" t="n"/>
      <c r="K73" s="11">
        <f>IF($I73=6,$G73*$H73*$J73,"")</f>
        <v/>
      </c>
      <c r="L73" s="11">
        <f>IF($I73=8,$G73*$H73*$J73,"")</f>
        <v/>
      </c>
      <c r="M73" s="11">
        <f>IF($I73=10,$G73*$H73*$J73,"")</f>
        <v/>
      </c>
      <c r="N73" s="11">
        <f>IF($I73=12,$G73*$H73*$J73,"")</f>
        <v/>
      </c>
      <c r="O73" s="11">
        <f>IF($I73=14,$G73*$H73*$J73,"")</f>
        <v/>
      </c>
      <c r="P73" s="11">
        <f>IF($I73=16,$G73*$H73*$J73,"")</f>
        <v/>
      </c>
      <c r="Q73" s="11">
        <f>IF($I73=20,$G73*$H73*$J73,"")</f>
        <v/>
      </c>
      <c r="R73" s="11">
        <f>IF($I73=25,$G73*$H73*$J73,"")</f>
        <v/>
      </c>
      <c r="S73" s="11">
        <f>IF($I73=32,$G73*$H73*$J73,"")</f>
        <v/>
      </c>
    </row>
    <row r="74">
      <c r="A74" s="8" t="inlineStr">
        <is>
          <t>ARM LONG</t>
        </is>
      </c>
      <c r="B74" s="16" t="n"/>
      <c r="C74" s="16" t="n"/>
      <c r="D74" s="10" t="n"/>
      <c r="E74" s="10" t="n"/>
      <c r="F74" s="10" t="n"/>
      <c r="G74" s="17" t="n">
        <v>1</v>
      </c>
      <c r="H74" s="17" t="n">
        <v>6</v>
      </c>
      <c r="I74" s="17" t="n">
        <v>14</v>
      </c>
      <c r="J74" s="10">
        <f>(F73+0.50)</f>
        <v/>
      </c>
      <c r="K74" s="11">
        <f>IF($I74=6,$G74*$H74*$J74,"")</f>
        <v/>
      </c>
      <c r="L74" s="11">
        <f>IF($I74=8,$G74*$H74*$J74,"")</f>
        <v/>
      </c>
      <c r="M74" s="11">
        <f>IF($I74=10,$G74*$H74*$J74,"")</f>
        <v/>
      </c>
      <c r="N74" s="11">
        <f>IF($I74=12,$G74*$H74*$J74,"")</f>
        <v/>
      </c>
      <c r="O74" s="11">
        <f>IF($I74=14,$G74*$H74*$J74,"")</f>
        <v/>
      </c>
      <c r="P74" s="11">
        <f>IF($I74=16,$G74*$H74*$J74,"")</f>
        <v/>
      </c>
      <c r="Q74" s="11">
        <f>IF($I74=20,$G74*$H74*$J74,"")</f>
        <v/>
      </c>
      <c r="R74" s="11">
        <f>IF($I74=25,$G74*$H74*$J74,"")</f>
        <v/>
      </c>
      <c r="S74" s="11">
        <f>IF($I74=32,$G74*$H74*$J74,"")</f>
        <v/>
      </c>
    </row>
    <row r="75">
      <c r="A75" s="8" t="inlineStr">
        <is>
          <t>CADRE</t>
        </is>
      </c>
      <c r="B75" s="16" t="n"/>
      <c r="C75" s="16" t="n"/>
      <c r="D75" s="10" t="n"/>
      <c r="E75" s="10" t="n"/>
      <c r="F75" s="10" t="n"/>
      <c r="G75" s="17">
        <f>ROUNDUP(F73/0.15,0)+2</f>
        <v/>
      </c>
      <c r="H75" s="17">
        <f>ROUNDUP(F73/0.15,0)+2</f>
        <v/>
      </c>
      <c r="I75" s="17" t="n">
        <v>6</v>
      </c>
      <c r="J75" s="10">
        <f>(2*(D73+E73)+0.10)</f>
        <v/>
      </c>
      <c r="K75" s="11">
        <f>IF($I75=6,$G75*$H75*$J75,"")</f>
        <v/>
      </c>
      <c r="L75" s="11">
        <f>IF($I75=8,$G75*$H75*$J75,"")</f>
        <v/>
      </c>
      <c r="M75" s="11">
        <f>IF($I75=10,$G75*$H75*$J75,"")</f>
        <v/>
      </c>
      <c r="N75" s="11">
        <f>IF($I75=12,$G75*$H75*$J75,"")</f>
        <v/>
      </c>
      <c r="O75" s="11">
        <f>IF($I75=14,$G75*$H75*$J75,"")</f>
        <v/>
      </c>
      <c r="P75" s="11">
        <f>IF($I75=16,$G75*$H75*$J75,"")</f>
        <v/>
      </c>
      <c r="Q75" s="11">
        <f>IF($I75=20,$G75*$H75*$J75,"")</f>
        <v/>
      </c>
      <c r="R75" s="11">
        <f>IF($I75=25,$G75*$H75*$J75,"")</f>
        <v/>
      </c>
      <c r="S75" s="11">
        <f>IF($I75=32,$G75*$H75*$J75,"")</f>
        <v/>
      </c>
    </row>
    <row r="76">
      <c r="A76" s="8" t="inlineStr">
        <is>
          <t>P2</t>
        </is>
      </c>
      <c r="B76" s="16" t="inlineStr"/>
      <c r="C76" s="16" t="inlineStr"/>
      <c r="D76" s="10" t="n">
        <v>0.4</v>
      </c>
      <c r="E76" s="10" t="n">
        <v>0.4</v>
      </c>
      <c r="F76" s="10" t="n">
        <v>3</v>
      </c>
      <c r="G76" s="17" t="n"/>
      <c r="H76" s="17" t="n"/>
      <c r="I76" s="17" t="n"/>
      <c r="J76" s="10" t="n"/>
      <c r="K76" s="11">
        <f>IF($I76=6,$G76*$H76*$J76,"")</f>
        <v/>
      </c>
      <c r="L76" s="11">
        <f>IF($I76=8,$G76*$H76*$J76,"")</f>
        <v/>
      </c>
      <c r="M76" s="11">
        <f>IF($I76=10,$G76*$H76*$J76,"")</f>
        <v/>
      </c>
      <c r="N76" s="11">
        <f>IF($I76=12,$G76*$H76*$J76,"")</f>
        <v/>
      </c>
      <c r="O76" s="11">
        <f>IF($I76=14,$G76*$H76*$J76,"")</f>
        <v/>
      </c>
      <c r="P76" s="11">
        <f>IF($I76=16,$G76*$H76*$J76,"")</f>
        <v/>
      </c>
      <c r="Q76" s="11">
        <f>IF($I76=20,$G76*$H76*$J76,"")</f>
        <v/>
      </c>
      <c r="R76" s="11">
        <f>IF($I76=25,$G76*$H76*$J76,"")</f>
        <v/>
      </c>
      <c r="S76" s="11">
        <f>IF($I76=32,$G76*$H76*$J76,"")</f>
        <v/>
      </c>
    </row>
    <row r="77">
      <c r="A77" s="8" t="inlineStr">
        <is>
          <t>ARM LONG</t>
        </is>
      </c>
      <c r="B77" s="16" t="n"/>
      <c r="C77" s="16" t="n"/>
      <c r="D77" s="10" t="n"/>
      <c r="E77" s="10" t="n"/>
      <c r="F77" s="10" t="n"/>
      <c r="G77" s="17" t="n">
        <v>1</v>
      </c>
      <c r="H77" s="17" t="n">
        <v>6</v>
      </c>
      <c r="I77" s="17" t="n">
        <v>14</v>
      </c>
      <c r="J77" s="10">
        <f>(F76+0.50)</f>
        <v/>
      </c>
      <c r="K77" s="11">
        <f>IF($I77=6,$G77*$H77*$J77,"")</f>
        <v/>
      </c>
      <c r="L77" s="11">
        <f>IF($I77=8,$G77*$H77*$J77,"")</f>
        <v/>
      </c>
      <c r="M77" s="11">
        <f>IF($I77=10,$G77*$H77*$J77,"")</f>
        <v/>
      </c>
      <c r="N77" s="11">
        <f>IF($I77=12,$G77*$H77*$J77,"")</f>
        <v/>
      </c>
      <c r="O77" s="11">
        <f>IF($I77=14,$G77*$H77*$J77,"")</f>
        <v/>
      </c>
      <c r="P77" s="11">
        <f>IF($I77=16,$G77*$H77*$J77,"")</f>
        <v/>
      </c>
      <c r="Q77" s="11">
        <f>IF($I77=20,$G77*$H77*$J77,"")</f>
        <v/>
      </c>
      <c r="R77" s="11">
        <f>IF($I77=25,$G77*$H77*$J77,"")</f>
        <v/>
      </c>
      <c r="S77" s="11">
        <f>IF($I77=32,$G77*$H77*$J77,"")</f>
        <v/>
      </c>
    </row>
    <row r="78">
      <c r="A78" s="8" t="inlineStr">
        <is>
          <t>CADRE</t>
        </is>
      </c>
      <c r="B78" s="16" t="n"/>
      <c r="C78" s="16" t="n"/>
      <c r="D78" s="10" t="n"/>
      <c r="E78" s="10" t="n"/>
      <c r="F78" s="10" t="n"/>
      <c r="G78" s="17">
        <f>ROUNDUP(F76/0.15,0)+2</f>
        <v/>
      </c>
      <c r="H78" s="17">
        <f>ROUNDUP(F76/0.15,0)+2</f>
        <v/>
      </c>
      <c r="I78" s="17" t="n">
        <v>6</v>
      </c>
      <c r="J78" s="10">
        <f>(2*(D76+E76)+0.10)</f>
        <v/>
      </c>
      <c r="K78" s="11">
        <f>IF($I78=6,$G78*$H78*$J78,"")</f>
        <v/>
      </c>
      <c r="L78" s="11">
        <f>IF($I78=8,$G78*$H78*$J78,"")</f>
        <v/>
      </c>
      <c r="M78" s="11">
        <f>IF($I78=10,$G78*$H78*$J78,"")</f>
        <v/>
      </c>
      <c r="N78" s="11">
        <f>IF($I78=12,$G78*$H78*$J78,"")</f>
        <v/>
      </c>
      <c r="O78" s="11">
        <f>IF($I78=14,$G78*$H78*$J78,"")</f>
        <v/>
      </c>
      <c r="P78" s="11">
        <f>IF($I78=16,$G78*$H78*$J78,"")</f>
        <v/>
      </c>
      <c r="Q78" s="11">
        <f>IF($I78=20,$G78*$H78*$J78,"")</f>
        <v/>
      </c>
      <c r="R78" s="11">
        <f>IF($I78=25,$G78*$H78*$J78,"")</f>
        <v/>
      </c>
      <c r="S78" s="11">
        <f>IF($I78=32,$G78*$H78*$J78,"")</f>
        <v/>
      </c>
    </row>
    <row r="79">
      <c r="A79" s="8" t="inlineStr">
        <is>
          <t>P3</t>
        </is>
      </c>
      <c r="B79" s="16" t="inlineStr"/>
      <c r="C79" s="16" t="inlineStr"/>
      <c r="D79" s="10" t="n">
        <v>0.3</v>
      </c>
      <c r="E79" s="10" t="n">
        <v>0.3</v>
      </c>
      <c r="F79" s="10" t="n">
        <v>3</v>
      </c>
      <c r="G79" s="17" t="n"/>
      <c r="H79" s="17" t="n"/>
      <c r="I79" s="17" t="n"/>
      <c r="J79" s="10" t="n"/>
      <c r="K79" s="11">
        <f>IF($I79=6,$G79*$H79*$J79,"")</f>
        <v/>
      </c>
      <c r="L79" s="11">
        <f>IF($I79=8,$G79*$H79*$J79,"")</f>
        <v/>
      </c>
      <c r="M79" s="11">
        <f>IF($I79=10,$G79*$H79*$J79,"")</f>
        <v/>
      </c>
      <c r="N79" s="11">
        <f>IF($I79=12,$G79*$H79*$J79,"")</f>
        <v/>
      </c>
      <c r="O79" s="11">
        <f>IF($I79=14,$G79*$H79*$J79,"")</f>
        <v/>
      </c>
      <c r="P79" s="11">
        <f>IF($I79=16,$G79*$H79*$J79,"")</f>
        <v/>
      </c>
      <c r="Q79" s="11">
        <f>IF($I79=20,$G79*$H79*$J79,"")</f>
        <v/>
      </c>
      <c r="R79" s="11">
        <f>IF($I79=25,$G79*$H79*$J79,"")</f>
        <v/>
      </c>
      <c r="S79" s="11">
        <f>IF($I79=32,$G79*$H79*$J79,"")</f>
        <v/>
      </c>
    </row>
    <row r="80">
      <c r="A80" s="8" t="inlineStr">
        <is>
          <t>ARM LONG</t>
        </is>
      </c>
      <c r="B80" s="16" t="n"/>
      <c r="C80" s="16" t="n"/>
      <c r="D80" s="10" t="n"/>
      <c r="E80" s="10" t="n"/>
      <c r="F80" s="10" t="n"/>
      <c r="G80" s="17" t="n">
        <v>1</v>
      </c>
      <c r="H80" s="17" t="n">
        <v>6</v>
      </c>
      <c r="I80" s="17" t="n">
        <v>14</v>
      </c>
      <c r="J80" s="10">
        <f>(F79+0.50)</f>
        <v/>
      </c>
      <c r="K80" s="11">
        <f>IF($I80=6,$G80*$H80*$J80,"")</f>
        <v/>
      </c>
      <c r="L80" s="11">
        <f>IF($I80=8,$G80*$H80*$J80,"")</f>
        <v/>
      </c>
      <c r="M80" s="11">
        <f>IF($I80=10,$G80*$H80*$J80,"")</f>
        <v/>
      </c>
      <c r="N80" s="11">
        <f>IF($I80=12,$G80*$H80*$J80,"")</f>
        <v/>
      </c>
      <c r="O80" s="11">
        <f>IF($I80=14,$G80*$H80*$J80,"")</f>
        <v/>
      </c>
      <c r="P80" s="11">
        <f>IF($I80=16,$G80*$H80*$J80,"")</f>
        <v/>
      </c>
      <c r="Q80" s="11">
        <f>IF($I80=20,$G80*$H80*$J80,"")</f>
        <v/>
      </c>
      <c r="R80" s="11">
        <f>IF($I80=25,$G80*$H80*$J80,"")</f>
        <v/>
      </c>
      <c r="S80" s="11">
        <f>IF($I80=32,$G80*$H80*$J80,"")</f>
        <v/>
      </c>
    </row>
    <row r="81">
      <c r="A81" s="8" t="inlineStr">
        <is>
          <t>CADRE</t>
        </is>
      </c>
      <c r="B81" s="16" t="n"/>
      <c r="C81" s="16" t="n"/>
      <c r="D81" s="10" t="n"/>
      <c r="E81" s="10" t="n"/>
      <c r="F81" s="10" t="n"/>
      <c r="G81" s="17">
        <f>ROUNDUP(F79/0.15,0)+2</f>
        <v/>
      </c>
      <c r="H81" s="17">
        <f>ROUNDUP(F79/0.15,0)+2</f>
        <v/>
      </c>
      <c r="I81" s="17" t="n">
        <v>6</v>
      </c>
      <c r="J81" s="10">
        <f>(2*(D79+E79)+0.10)</f>
        <v/>
      </c>
      <c r="K81" s="11">
        <f>IF($I81=6,$G81*$H81*$J81,"")</f>
        <v/>
      </c>
      <c r="L81" s="11">
        <f>IF($I81=8,$G81*$H81*$J81,"")</f>
        <v/>
      </c>
      <c r="M81" s="11">
        <f>IF($I81=10,$G81*$H81*$J81,"")</f>
        <v/>
      </c>
      <c r="N81" s="11">
        <f>IF($I81=12,$G81*$H81*$J81,"")</f>
        <v/>
      </c>
      <c r="O81" s="11">
        <f>IF($I81=14,$G81*$H81*$J81,"")</f>
        <v/>
      </c>
      <c r="P81" s="11">
        <f>IF($I81=16,$G81*$H81*$J81,"")</f>
        <v/>
      </c>
      <c r="Q81" s="11">
        <f>IF($I81=20,$G81*$H81*$J81,"")</f>
        <v/>
      </c>
      <c r="R81" s="11">
        <f>IF($I81=25,$G81*$H81*$J81,"")</f>
        <v/>
      </c>
      <c r="S81" s="11">
        <f>IF($I81=32,$G81*$H81*$J81,"")</f>
        <v/>
      </c>
    </row>
    <row r="82">
      <c r="A82" s="8" t="inlineStr">
        <is>
          <t>P4</t>
        </is>
      </c>
      <c r="B82" s="16" t="inlineStr"/>
      <c r="C82" s="16" t="inlineStr"/>
      <c r="D82" s="10" t="n">
        <v>0.35</v>
      </c>
      <c r="E82" s="10" t="n">
        <v>0.35</v>
      </c>
      <c r="F82" s="10" t="n">
        <v>3</v>
      </c>
      <c r="G82" s="17" t="n"/>
      <c r="H82" s="17" t="n"/>
      <c r="I82" s="17" t="n"/>
      <c r="J82" s="10" t="n"/>
      <c r="K82" s="11">
        <f>IF($I82=6,$G82*$H82*$J82,"")</f>
        <v/>
      </c>
      <c r="L82" s="11">
        <f>IF($I82=8,$G82*$H82*$J82,"")</f>
        <v/>
      </c>
      <c r="M82" s="11">
        <f>IF($I82=10,$G82*$H82*$J82,"")</f>
        <v/>
      </c>
      <c r="N82" s="11">
        <f>IF($I82=12,$G82*$H82*$J82,"")</f>
        <v/>
      </c>
      <c r="O82" s="11">
        <f>IF($I82=14,$G82*$H82*$J82,"")</f>
        <v/>
      </c>
      <c r="P82" s="11">
        <f>IF($I82=16,$G82*$H82*$J82,"")</f>
        <v/>
      </c>
      <c r="Q82" s="11">
        <f>IF($I82=20,$G82*$H82*$J82,"")</f>
        <v/>
      </c>
      <c r="R82" s="11">
        <f>IF($I82=25,$G82*$H82*$J82,"")</f>
        <v/>
      </c>
      <c r="S82" s="11">
        <f>IF($I82=32,$G82*$H82*$J82,"")</f>
        <v/>
      </c>
    </row>
    <row r="83">
      <c r="A83" s="8" t="inlineStr">
        <is>
          <t>ARM LONG</t>
        </is>
      </c>
      <c r="B83" s="16" t="n"/>
      <c r="C83" s="16" t="n"/>
      <c r="D83" s="10" t="n"/>
      <c r="E83" s="10" t="n"/>
      <c r="F83" s="10" t="n"/>
      <c r="G83" s="17" t="n">
        <v>1</v>
      </c>
      <c r="H83" s="17" t="n">
        <v>6</v>
      </c>
      <c r="I83" s="17" t="n">
        <v>14</v>
      </c>
      <c r="J83" s="10">
        <f>(F82+0.50)</f>
        <v/>
      </c>
      <c r="K83" s="11">
        <f>IF($I83=6,$G83*$H83*$J83,"")</f>
        <v/>
      </c>
      <c r="L83" s="11">
        <f>IF($I83=8,$G83*$H83*$J83,"")</f>
        <v/>
      </c>
      <c r="M83" s="11">
        <f>IF($I83=10,$G83*$H83*$J83,"")</f>
        <v/>
      </c>
      <c r="N83" s="11">
        <f>IF($I83=12,$G83*$H83*$J83,"")</f>
        <v/>
      </c>
      <c r="O83" s="11">
        <f>IF($I83=14,$G83*$H83*$J83,"")</f>
        <v/>
      </c>
      <c r="P83" s="11">
        <f>IF($I83=16,$G83*$H83*$J83,"")</f>
        <v/>
      </c>
      <c r="Q83" s="11">
        <f>IF($I83=20,$G83*$H83*$J83,"")</f>
        <v/>
      </c>
      <c r="R83" s="11">
        <f>IF($I83=25,$G83*$H83*$J83,"")</f>
        <v/>
      </c>
      <c r="S83" s="11">
        <f>IF($I83=32,$G83*$H83*$J83,"")</f>
        <v/>
      </c>
    </row>
    <row r="84">
      <c r="A84" s="8" t="inlineStr">
        <is>
          <t>CADRE</t>
        </is>
      </c>
      <c r="B84" s="16" t="n"/>
      <c r="C84" s="16" t="n"/>
      <c r="D84" s="10" t="n"/>
      <c r="E84" s="10" t="n"/>
      <c r="F84" s="10" t="n"/>
      <c r="G84" s="17">
        <f>ROUNDUP(F82/0.15,0)+2</f>
        <v/>
      </c>
      <c r="H84" s="17">
        <f>ROUNDUP(F82/0.15,0)+2</f>
        <v/>
      </c>
      <c r="I84" s="17" t="n">
        <v>6</v>
      </c>
      <c r="J84" s="10">
        <f>(2*(D82+E82)+0.10)</f>
        <v/>
      </c>
      <c r="K84" s="11">
        <f>IF($I84=6,$G84*$H84*$J84,"")</f>
        <v/>
      </c>
      <c r="L84" s="11">
        <f>IF($I84=8,$G84*$H84*$J84,"")</f>
        <v/>
      </c>
      <c r="M84" s="11">
        <f>IF($I84=10,$G84*$H84*$J84,"")</f>
        <v/>
      </c>
      <c r="N84" s="11">
        <f>IF($I84=12,$G84*$H84*$J84,"")</f>
        <v/>
      </c>
      <c r="O84" s="11">
        <f>IF($I84=14,$G84*$H84*$J84,"")</f>
        <v/>
      </c>
      <c r="P84" s="11">
        <f>IF($I84=16,$G84*$H84*$J84,"")</f>
        <v/>
      </c>
      <c r="Q84" s="11">
        <f>IF($I84=20,$G84*$H84*$J84,"")</f>
        <v/>
      </c>
      <c r="R84" s="11">
        <f>IF($I84=25,$G84*$H84*$J84,"")</f>
        <v/>
      </c>
      <c r="S84" s="11">
        <f>IF($I84=32,$G84*$H84*$J84,"")</f>
        <v/>
      </c>
    </row>
    <row r="85">
      <c r="A85" s="8" t="inlineStr">
        <is>
          <t>BN1</t>
        </is>
      </c>
      <c r="B85" s="16" t="inlineStr"/>
      <c r="C85" s="16" t="inlineStr"/>
      <c r="D85" s="10" t="n">
        <v>0</v>
      </c>
      <c r="E85" s="10" t="n">
        <v>0</v>
      </c>
      <c r="F85" s="10" t="n"/>
      <c r="G85" s="17" t="n"/>
      <c r="H85" s="17" t="n"/>
      <c r="I85" s="17" t="n"/>
      <c r="J85" s="10" t="n"/>
      <c r="K85" s="11">
        <f>IF($I85=6,$G85*$H85*$J85,"")</f>
        <v/>
      </c>
      <c r="L85" s="11">
        <f>IF($I85=8,$G85*$H85*$J85,"")</f>
        <v/>
      </c>
      <c r="M85" s="11">
        <f>IF($I85=10,$G85*$H85*$J85,"")</f>
        <v/>
      </c>
      <c r="N85" s="11">
        <f>IF($I85=12,$G85*$H85*$J85,"")</f>
        <v/>
      </c>
      <c r="O85" s="11">
        <f>IF($I85=14,$G85*$H85*$J85,"")</f>
        <v/>
      </c>
      <c r="P85" s="11">
        <f>IF($I85=16,$G85*$H85*$J85,"")</f>
        <v/>
      </c>
      <c r="Q85" s="11">
        <f>IF($I85=20,$G85*$H85*$J85,"")</f>
        <v/>
      </c>
      <c r="R85" s="11">
        <f>IF($I85=25,$G85*$H85*$J85,"")</f>
        <v/>
      </c>
      <c r="S85" s="11">
        <f>IF($I85=32,$G85*$H85*$J85,"")</f>
        <v/>
      </c>
    </row>
    <row r="86">
      <c r="A86" s="8" t="inlineStr">
        <is>
          <t>Armature</t>
        </is>
      </c>
      <c r="B86" s="16" t="n"/>
      <c r="C86" s="16" t="n"/>
      <c r="D86" s="10" t="n"/>
      <c r="E86" s="10" t="n"/>
      <c r="F86" s="10" t="n"/>
      <c r="G86" s="17" t="n">
        <v>1</v>
      </c>
      <c r="H86" s="17" t="n">
        <v>2</v>
      </c>
      <c r="I86" s="17" t="n">
        <v>12</v>
      </c>
      <c r="J86" s="10" t="n"/>
      <c r="K86" s="11">
        <f>IF($I86=6,$G86*$H86*$J86,"")</f>
        <v/>
      </c>
      <c r="L86" s="11">
        <f>IF($I86=8,$G86*$H86*$J86,"")</f>
        <v/>
      </c>
      <c r="M86" s="11">
        <f>IF($I86=10,$G86*$H86*$J86,"")</f>
        <v/>
      </c>
      <c r="N86" s="11">
        <f>IF($I86=12,$G86*$H86*$J86,"")</f>
        <v/>
      </c>
      <c r="O86" s="11">
        <f>IF($I86=14,$G86*$H86*$J86,"")</f>
        <v/>
      </c>
      <c r="P86" s="11">
        <f>IF($I86=16,$G86*$H86*$J86,"")</f>
        <v/>
      </c>
      <c r="Q86" s="11">
        <f>IF($I86=20,$G86*$H86*$J86,"")</f>
        <v/>
      </c>
      <c r="R86" s="11">
        <f>IF($I86=25,$G86*$H86*$J86,"")</f>
        <v/>
      </c>
      <c r="S86" s="11">
        <f>IF($I86=32,$G86*$H86*$J86,"")</f>
        <v/>
      </c>
    </row>
    <row r="87">
      <c r="A87" s="8" t="inlineStr">
        <is>
          <t>Armature</t>
        </is>
      </c>
      <c r="B87" s="16" t="n"/>
      <c r="C87" s="16" t="n"/>
      <c r="D87" s="10" t="n"/>
      <c r="E87" s="10" t="n"/>
      <c r="F87" s="10" t="n"/>
      <c r="G87" s="17" t="n">
        <v>1</v>
      </c>
      <c r="H87" s="17" t="n">
        <v>4</v>
      </c>
      <c r="I87" s="17" t="n">
        <v>14</v>
      </c>
      <c r="J87" s="10" t="n"/>
      <c r="K87" s="11">
        <f>IF($I87=6,$G87*$H87*$J87,"")</f>
        <v/>
      </c>
      <c r="L87" s="11">
        <f>IF($I87=8,$G87*$H87*$J87,"")</f>
        <v/>
      </c>
      <c r="M87" s="11">
        <f>IF($I87=10,$G87*$H87*$J87,"")</f>
        <v/>
      </c>
      <c r="N87" s="11">
        <f>IF($I87=12,$G87*$H87*$J87,"")</f>
        <v/>
      </c>
      <c r="O87" s="11">
        <f>IF($I87=14,$G87*$H87*$J87,"")</f>
        <v/>
      </c>
      <c r="P87" s="11">
        <f>IF($I87=16,$G87*$H87*$J87,"")</f>
        <v/>
      </c>
      <c r="Q87" s="11">
        <f>IF($I87=20,$G87*$H87*$J87,"")</f>
        <v/>
      </c>
      <c r="R87" s="11">
        <f>IF($I87=25,$G87*$H87*$J87,"")</f>
        <v/>
      </c>
      <c r="S87" s="11">
        <f>IF($I87=32,$G87*$H87*$J87,"")</f>
        <v/>
      </c>
    </row>
    <row r="88">
      <c r="A88" s="8" t="inlineStr">
        <is>
          <t>Armature</t>
        </is>
      </c>
      <c r="B88" s="16" t="n"/>
      <c r="C88" s="16" t="n"/>
      <c r="D88" s="10" t="n"/>
      <c r="E88" s="10" t="n"/>
      <c r="F88" s="10" t="n"/>
      <c r="G88" s="17" t="n">
        <v>1</v>
      </c>
      <c r="H88" s="17" t="n">
        <v>4</v>
      </c>
      <c r="I88" s="17" t="n">
        <v>16</v>
      </c>
      <c r="J88" s="10" t="n"/>
      <c r="K88" s="11">
        <f>IF($I88=6,$G88*$H88*$J88,"")</f>
        <v/>
      </c>
      <c r="L88" s="11">
        <f>IF($I88=8,$G88*$H88*$J88,"")</f>
        <v/>
      </c>
      <c r="M88" s="11">
        <f>IF($I88=10,$G88*$H88*$J88,"")</f>
        <v/>
      </c>
      <c r="N88" s="11">
        <f>IF($I88=12,$G88*$H88*$J88,"")</f>
        <v/>
      </c>
      <c r="O88" s="11">
        <f>IF($I88=14,$G88*$H88*$J88,"")</f>
        <v/>
      </c>
      <c r="P88" s="11">
        <f>IF($I88=16,$G88*$H88*$J88,"")</f>
        <v/>
      </c>
      <c r="Q88" s="11">
        <f>IF($I88=20,$G88*$H88*$J88,"")</f>
        <v/>
      </c>
      <c r="R88" s="11">
        <f>IF($I88=25,$G88*$H88*$J88,"")</f>
        <v/>
      </c>
      <c r="S88" s="11">
        <f>IF($I88=32,$G88*$H88*$J88,"")</f>
        <v/>
      </c>
    </row>
    <row r="89">
      <c r="A89" s="8" t="inlineStr">
        <is>
          <t>Armature</t>
        </is>
      </c>
      <c r="B89" s="16" t="n"/>
      <c r="C89" s="16" t="n"/>
      <c r="D89" s="10" t="n"/>
      <c r="E89" s="10" t="n"/>
      <c r="F89" s="10" t="n"/>
      <c r="G89" s="17" t="n">
        <v>1</v>
      </c>
      <c r="H89" s="17" t="n">
        <v>4</v>
      </c>
      <c r="I89" s="17" t="n">
        <v>12</v>
      </c>
      <c r="J89" s="10" t="n"/>
      <c r="K89" s="11">
        <f>IF($I89=6,$G89*$H89*$J89,"")</f>
        <v/>
      </c>
      <c r="L89" s="11">
        <f>IF($I89=8,$G89*$H89*$J89,"")</f>
        <v/>
      </c>
      <c r="M89" s="11">
        <f>IF($I89=10,$G89*$H89*$J89,"")</f>
        <v/>
      </c>
      <c r="N89" s="11">
        <f>IF($I89=12,$G89*$H89*$J89,"")</f>
        <v/>
      </c>
      <c r="O89" s="11">
        <f>IF($I89=14,$G89*$H89*$J89,"")</f>
        <v/>
      </c>
      <c r="P89" s="11">
        <f>IF($I89=16,$G89*$H89*$J89,"")</f>
        <v/>
      </c>
      <c r="Q89" s="11">
        <f>IF($I89=20,$G89*$H89*$J89,"")</f>
        <v/>
      </c>
      <c r="R89" s="11">
        <f>IF($I89=25,$G89*$H89*$J89,"")</f>
        <v/>
      </c>
      <c r="S89" s="11">
        <f>IF($I89=32,$G89*$H89*$J89,"")</f>
        <v/>
      </c>
    </row>
    <row r="90">
      <c r="A90" s="8" t="inlineStr">
        <is>
          <t>Armature</t>
        </is>
      </c>
      <c r="B90" s="16" t="n"/>
      <c r="C90" s="16" t="n"/>
      <c r="D90" s="10" t="n"/>
      <c r="E90" s="10" t="n"/>
      <c r="F90" s="10" t="n"/>
      <c r="G90" s="17" t="n">
        <v>1</v>
      </c>
      <c r="H90" s="17" t="n">
        <v>4</v>
      </c>
      <c r="I90" s="17" t="n">
        <v>14</v>
      </c>
      <c r="J90" s="10" t="n"/>
      <c r="K90" s="11">
        <f>IF($I90=6,$G90*$H90*$J90,"")</f>
        <v/>
      </c>
      <c r="L90" s="11">
        <f>IF($I90=8,$G90*$H90*$J90,"")</f>
        <v/>
      </c>
      <c r="M90" s="11">
        <f>IF($I90=10,$G90*$H90*$J90,"")</f>
        <v/>
      </c>
      <c r="N90" s="11">
        <f>IF($I90=12,$G90*$H90*$J90,"")</f>
        <v/>
      </c>
      <c r="O90" s="11">
        <f>IF($I90=14,$G90*$H90*$J90,"")</f>
        <v/>
      </c>
      <c r="P90" s="11">
        <f>IF($I90=16,$G90*$H90*$J90,"")</f>
        <v/>
      </c>
      <c r="Q90" s="11">
        <f>IF($I90=20,$G90*$H90*$J90,"")</f>
        <v/>
      </c>
      <c r="R90" s="11">
        <f>IF($I90=25,$G90*$H90*$J90,"")</f>
        <v/>
      </c>
      <c r="S90" s="11">
        <f>IF($I90=32,$G90*$H90*$J90,"")</f>
        <v/>
      </c>
    </row>
    <row r="91">
      <c r="A91" s="8" t="inlineStr">
        <is>
          <t>Armature</t>
        </is>
      </c>
      <c r="B91" s="16" t="n"/>
      <c r="C91" s="16" t="n"/>
      <c r="D91" s="10" t="n"/>
      <c r="E91" s="10" t="n"/>
      <c r="F91" s="10" t="n"/>
      <c r="G91" s="17" t="n">
        <v>1</v>
      </c>
      <c r="H91" s="17" t="n">
        <v>2</v>
      </c>
      <c r="I91" s="17" t="n">
        <v>12</v>
      </c>
      <c r="J91" s="10" t="n"/>
      <c r="K91" s="11">
        <f>IF($I91=6,$G91*$H91*$J91,"")</f>
        <v/>
      </c>
      <c r="L91" s="11">
        <f>IF($I91=8,$G91*$H91*$J91,"")</f>
        <v/>
      </c>
      <c r="M91" s="11">
        <f>IF($I91=10,$G91*$H91*$J91,"")</f>
        <v/>
      </c>
      <c r="N91" s="11">
        <f>IF($I91=12,$G91*$H91*$J91,"")</f>
        <v/>
      </c>
      <c r="O91" s="11">
        <f>IF($I91=14,$G91*$H91*$J91,"")</f>
        <v/>
      </c>
      <c r="P91" s="11">
        <f>IF($I91=16,$G91*$H91*$J91,"")</f>
        <v/>
      </c>
      <c r="Q91" s="11">
        <f>IF($I91=20,$G91*$H91*$J91,"")</f>
        <v/>
      </c>
      <c r="R91" s="11">
        <f>IF($I91=25,$G91*$H91*$J91,"")</f>
        <v/>
      </c>
      <c r="S91" s="11">
        <f>IF($I91=32,$G91*$H91*$J91,"")</f>
        <v/>
      </c>
    </row>
    <row r="92">
      <c r="A92" s="8" t="inlineStr">
        <is>
          <t>Armature</t>
        </is>
      </c>
      <c r="B92" s="16" t="n"/>
      <c r="C92" s="16" t="n"/>
      <c r="D92" s="10" t="n"/>
      <c r="E92" s="10" t="n"/>
      <c r="F92" s="10" t="n"/>
      <c r="G92" s="17" t="n">
        <v>1</v>
      </c>
      <c r="H92" s="17" t="n">
        <v>2</v>
      </c>
      <c r="I92" s="17" t="n">
        <v>16</v>
      </c>
      <c r="J92" s="10" t="n"/>
      <c r="K92" s="11">
        <f>IF($I92=6,$G92*$H92*$J92,"")</f>
        <v/>
      </c>
      <c r="L92" s="11">
        <f>IF($I92=8,$G92*$H92*$J92,"")</f>
        <v/>
      </c>
      <c r="M92" s="11">
        <f>IF($I92=10,$G92*$H92*$J92,"")</f>
        <v/>
      </c>
      <c r="N92" s="11">
        <f>IF($I92=12,$G92*$H92*$J92,"")</f>
        <v/>
      </c>
      <c r="O92" s="11">
        <f>IF($I92=14,$G92*$H92*$J92,"")</f>
        <v/>
      </c>
      <c r="P92" s="11">
        <f>IF($I92=16,$G92*$H92*$J92,"")</f>
        <v/>
      </c>
      <c r="Q92" s="11">
        <f>IF($I92=20,$G92*$H92*$J92,"")</f>
        <v/>
      </c>
      <c r="R92" s="11">
        <f>IF($I92=25,$G92*$H92*$J92,"")</f>
        <v/>
      </c>
      <c r="S92" s="11">
        <f>IF($I92=32,$G92*$H92*$J92,"")</f>
        <v/>
      </c>
    </row>
    <row r="93">
      <c r="A93" s="8" t="inlineStr">
        <is>
          <t>BN2</t>
        </is>
      </c>
      <c r="B93" s="16" t="inlineStr"/>
      <c r="C93" s="16" t="inlineStr"/>
      <c r="D93" s="10" t="n">
        <v>0</v>
      </c>
      <c r="E93" s="10" t="n">
        <v>0</v>
      </c>
      <c r="F93" s="10" t="n"/>
      <c r="G93" s="17" t="n"/>
      <c r="H93" s="17" t="n"/>
      <c r="I93" s="17" t="n"/>
      <c r="J93" s="10" t="n"/>
      <c r="K93" s="11">
        <f>IF($I93=6,$G93*$H93*$J93,"")</f>
        <v/>
      </c>
      <c r="L93" s="11">
        <f>IF($I93=8,$G93*$H93*$J93,"")</f>
        <v/>
      </c>
      <c r="M93" s="11">
        <f>IF($I93=10,$G93*$H93*$J93,"")</f>
        <v/>
      </c>
      <c r="N93" s="11">
        <f>IF($I93=12,$G93*$H93*$J93,"")</f>
        <v/>
      </c>
      <c r="O93" s="11">
        <f>IF($I93=14,$G93*$H93*$J93,"")</f>
        <v/>
      </c>
      <c r="P93" s="11">
        <f>IF($I93=16,$G93*$H93*$J93,"")</f>
        <v/>
      </c>
      <c r="Q93" s="11">
        <f>IF($I93=20,$G93*$H93*$J93,"")</f>
        <v/>
      </c>
      <c r="R93" s="11">
        <f>IF($I93=25,$G93*$H93*$J93,"")</f>
        <v/>
      </c>
      <c r="S93" s="11">
        <f>IF($I93=32,$G93*$H93*$J93,"")</f>
        <v/>
      </c>
    </row>
    <row r="94">
      <c r="A94" s="8" t="inlineStr">
        <is>
          <t>N1</t>
        </is>
      </c>
      <c r="B94" s="16" t="inlineStr"/>
      <c r="C94" s="16" t="inlineStr"/>
      <c r="D94" s="10" t="n">
        <v>0.2</v>
      </c>
      <c r="E94" s="10" t="n">
        <v>0.3</v>
      </c>
      <c r="F94" s="10" t="n"/>
      <c r="G94" s="17" t="n"/>
      <c r="H94" s="17" t="n"/>
      <c r="I94" s="17" t="n"/>
      <c r="J94" s="10" t="n"/>
      <c r="K94" s="11">
        <f>IF($I94=6,$G94*$H94*$J94,"")</f>
        <v/>
      </c>
      <c r="L94" s="11">
        <f>IF($I94=8,$G94*$H94*$J94,"")</f>
        <v/>
      </c>
      <c r="M94" s="11">
        <f>IF($I94=10,$G94*$H94*$J94,"")</f>
        <v/>
      </c>
      <c r="N94" s="11">
        <f>IF($I94=12,$G94*$H94*$J94,"")</f>
        <v/>
      </c>
      <c r="O94" s="11">
        <f>IF($I94=14,$G94*$H94*$J94,"")</f>
        <v/>
      </c>
      <c r="P94" s="11">
        <f>IF($I94=16,$G94*$H94*$J94,"")</f>
        <v/>
      </c>
      <c r="Q94" s="11">
        <f>IF($I94=20,$G94*$H94*$J94,"")</f>
        <v/>
      </c>
      <c r="R94" s="11">
        <f>IF($I94=25,$G94*$H94*$J94,"")</f>
        <v/>
      </c>
      <c r="S94" s="11">
        <f>IF($I94=32,$G94*$H94*$J94,"")</f>
        <v/>
      </c>
    </row>
    <row r="95">
      <c r="A95" s="8" t="inlineStr">
        <is>
          <t>Armature</t>
        </is>
      </c>
      <c r="B95" s="16" t="n"/>
      <c r="C95" s="16" t="n"/>
      <c r="D95" s="10" t="n"/>
      <c r="E95" s="10" t="n"/>
      <c r="F95" s="10" t="n"/>
      <c r="G95" s="17" t="n">
        <v>1</v>
      </c>
      <c r="H95" s="17" t="n">
        <v>2</v>
      </c>
      <c r="I95" s="17" t="n">
        <v>10</v>
      </c>
      <c r="J95" s="10" t="n"/>
      <c r="K95" s="11">
        <f>IF($I95=6,$G95*$H95*$J95,"")</f>
        <v/>
      </c>
      <c r="L95" s="11">
        <f>IF($I95=8,$G95*$H95*$J95,"")</f>
        <v/>
      </c>
      <c r="M95" s="11">
        <f>IF($I95=10,$G95*$H95*$J95,"")</f>
        <v/>
      </c>
      <c r="N95" s="11">
        <f>IF($I95=12,$G95*$H95*$J95,"")</f>
        <v/>
      </c>
      <c r="O95" s="11">
        <f>IF($I95=14,$G95*$H95*$J95,"")</f>
        <v/>
      </c>
      <c r="P95" s="11">
        <f>IF($I95=16,$G95*$H95*$J95,"")</f>
        <v/>
      </c>
      <c r="Q95" s="11">
        <f>IF($I95=20,$G95*$H95*$J95,"")</f>
        <v/>
      </c>
      <c r="R95" s="11">
        <f>IF($I95=25,$G95*$H95*$J95,"")</f>
        <v/>
      </c>
      <c r="S95" s="11">
        <f>IF($I95=32,$G95*$H95*$J95,"")</f>
        <v/>
      </c>
    </row>
    <row r="96">
      <c r="A96" s="8" t="inlineStr">
        <is>
          <t>Armature</t>
        </is>
      </c>
      <c r="B96" s="16" t="n"/>
      <c r="C96" s="16" t="n"/>
      <c r="D96" s="10" t="n"/>
      <c r="E96" s="10" t="n"/>
      <c r="F96" s="10" t="n"/>
      <c r="G96" s="17" t="n">
        <v>1</v>
      </c>
      <c r="H96" s="17" t="n">
        <v>2</v>
      </c>
      <c r="I96" s="17" t="n">
        <v>12</v>
      </c>
      <c r="J96" s="10" t="n"/>
      <c r="K96" s="11">
        <f>IF($I96=6,$G96*$H96*$J96,"")</f>
        <v/>
      </c>
      <c r="L96" s="11">
        <f>IF($I96=8,$G96*$H96*$J96,"")</f>
        <v/>
      </c>
      <c r="M96" s="11">
        <f>IF($I96=10,$G96*$H96*$J96,"")</f>
        <v/>
      </c>
      <c r="N96" s="11">
        <f>IF($I96=12,$G96*$H96*$J96,"")</f>
        <v/>
      </c>
      <c r="O96" s="11">
        <f>IF($I96=14,$G96*$H96*$J96,"")</f>
        <v/>
      </c>
      <c r="P96" s="11">
        <f>IF($I96=16,$G96*$H96*$J96,"")</f>
        <v/>
      </c>
      <c r="Q96" s="11">
        <f>IF($I96=20,$G96*$H96*$J96,"")</f>
        <v/>
      </c>
      <c r="R96" s="11">
        <f>IF($I96=25,$G96*$H96*$J96,"")</f>
        <v/>
      </c>
      <c r="S96" s="11">
        <f>IF($I96=32,$G96*$H96*$J96,"")</f>
        <v/>
      </c>
    </row>
    <row r="97">
      <c r="A97" s="8" t="inlineStr">
        <is>
          <t>Armature</t>
        </is>
      </c>
      <c r="B97" s="16" t="n"/>
      <c r="C97" s="16" t="n"/>
      <c r="D97" s="10" t="n"/>
      <c r="E97" s="10" t="n"/>
      <c r="F97" s="10" t="n"/>
      <c r="G97" s="17" t="n">
        <v>1</v>
      </c>
      <c r="H97" s="17" t="n">
        <v>2</v>
      </c>
      <c r="I97" s="17" t="n">
        <v>12</v>
      </c>
      <c r="J97" s="10" t="n"/>
      <c r="K97" s="11">
        <f>IF($I97=6,$G97*$H97*$J97,"")</f>
        <v/>
      </c>
      <c r="L97" s="11">
        <f>IF($I97=8,$G97*$H97*$J97,"")</f>
        <v/>
      </c>
      <c r="M97" s="11">
        <f>IF($I97=10,$G97*$H97*$J97,"")</f>
        <v/>
      </c>
      <c r="N97" s="11">
        <f>IF($I97=12,$G97*$H97*$J97,"")</f>
        <v/>
      </c>
      <c r="O97" s="11">
        <f>IF($I97=14,$G97*$H97*$J97,"")</f>
        <v/>
      </c>
      <c r="P97" s="11">
        <f>IF($I97=16,$G97*$H97*$J97,"")</f>
        <v/>
      </c>
      <c r="Q97" s="11">
        <f>IF($I97=20,$G97*$H97*$J97,"")</f>
        <v/>
      </c>
      <c r="R97" s="11">
        <f>IF($I97=25,$G97*$H97*$J97,"")</f>
        <v/>
      </c>
      <c r="S97" s="11">
        <f>IF($I97=32,$G97*$H97*$J97,"")</f>
        <v/>
      </c>
    </row>
    <row r="98">
      <c r="A98" s="8" t="inlineStr">
        <is>
          <t>N2</t>
        </is>
      </c>
      <c r="B98" s="16" t="inlineStr"/>
      <c r="C98" s="16" t="inlineStr"/>
      <c r="D98" s="10" t="n">
        <v>0.2</v>
      </c>
      <c r="E98" s="10" t="n">
        <v>0.35</v>
      </c>
      <c r="F98" s="10" t="n"/>
      <c r="G98" s="17" t="n"/>
      <c r="H98" s="17" t="n"/>
      <c r="I98" s="17" t="n"/>
      <c r="J98" s="10" t="n"/>
      <c r="K98" s="11">
        <f>IF($I98=6,$G98*$H98*$J98,"")</f>
        <v/>
      </c>
      <c r="L98" s="11">
        <f>IF($I98=8,$G98*$H98*$J98,"")</f>
        <v/>
      </c>
      <c r="M98" s="11">
        <f>IF($I98=10,$G98*$H98*$J98,"")</f>
        <v/>
      </c>
      <c r="N98" s="11">
        <f>IF($I98=12,$G98*$H98*$J98,"")</f>
        <v/>
      </c>
      <c r="O98" s="11">
        <f>IF($I98=14,$G98*$H98*$J98,"")</f>
        <v/>
      </c>
      <c r="P98" s="11">
        <f>IF($I98=16,$G98*$H98*$J98,"")</f>
        <v/>
      </c>
      <c r="Q98" s="11">
        <f>IF($I98=20,$G98*$H98*$J98,"")</f>
        <v/>
      </c>
      <c r="R98" s="11">
        <f>IF($I98=25,$G98*$H98*$J98,"")</f>
        <v/>
      </c>
      <c r="S98" s="11">
        <f>IF($I98=32,$G98*$H98*$J98,"")</f>
        <v/>
      </c>
    </row>
    <row r="99">
      <c r="A99" s="8" t="inlineStr">
        <is>
          <t>Armature</t>
        </is>
      </c>
      <c r="B99" s="16" t="n"/>
      <c r="C99" s="16" t="n"/>
      <c r="D99" s="10" t="n"/>
      <c r="E99" s="10" t="n"/>
      <c r="F99" s="10" t="n"/>
      <c r="G99" s="17" t="n">
        <v>1</v>
      </c>
      <c r="H99" s="17" t="n">
        <v>2</v>
      </c>
      <c r="I99" s="17" t="n">
        <v>10</v>
      </c>
      <c r="J99" s="10" t="n"/>
      <c r="K99" s="11">
        <f>IF($I99=6,$G99*$H99*$J99,"")</f>
        <v/>
      </c>
      <c r="L99" s="11">
        <f>IF($I99=8,$G99*$H99*$J99,"")</f>
        <v/>
      </c>
      <c r="M99" s="11">
        <f>IF($I99=10,$G99*$H99*$J99,"")</f>
        <v/>
      </c>
      <c r="N99" s="11">
        <f>IF($I99=12,$G99*$H99*$J99,"")</f>
        <v/>
      </c>
      <c r="O99" s="11">
        <f>IF($I99=14,$G99*$H99*$J99,"")</f>
        <v/>
      </c>
      <c r="P99" s="11">
        <f>IF($I99=16,$G99*$H99*$J99,"")</f>
        <v/>
      </c>
      <c r="Q99" s="11">
        <f>IF($I99=20,$G99*$H99*$J99,"")</f>
        <v/>
      </c>
      <c r="R99" s="11">
        <f>IF($I99=25,$G99*$H99*$J99,"")</f>
        <v/>
      </c>
      <c r="S99" s="11">
        <f>IF($I99=32,$G99*$H99*$J99,"")</f>
        <v/>
      </c>
    </row>
    <row r="100">
      <c r="A100" s="8" t="inlineStr">
        <is>
          <t>Armature</t>
        </is>
      </c>
      <c r="B100" s="16" t="n"/>
      <c r="C100" s="16" t="n"/>
      <c r="D100" s="10" t="n"/>
      <c r="E100" s="10" t="n"/>
      <c r="F100" s="10" t="n"/>
      <c r="G100" s="17" t="n">
        <v>1</v>
      </c>
      <c r="H100" s="17" t="n">
        <v>2</v>
      </c>
      <c r="I100" s="17" t="n">
        <v>12</v>
      </c>
      <c r="J100" s="10" t="n"/>
      <c r="K100" s="11">
        <f>IF($I100=6,$G100*$H100*$J100,"")</f>
        <v/>
      </c>
      <c r="L100" s="11">
        <f>IF($I100=8,$G100*$H100*$J100,"")</f>
        <v/>
      </c>
      <c r="M100" s="11">
        <f>IF($I100=10,$G100*$H100*$J100,"")</f>
        <v/>
      </c>
      <c r="N100" s="11">
        <f>IF($I100=12,$G100*$H100*$J100,"")</f>
        <v/>
      </c>
      <c r="O100" s="11">
        <f>IF($I100=14,$G100*$H100*$J100,"")</f>
        <v/>
      </c>
      <c r="P100" s="11">
        <f>IF($I100=16,$G100*$H100*$J100,"")</f>
        <v/>
      </c>
      <c r="Q100" s="11">
        <f>IF($I100=20,$G100*$H100*$J100,"")</f>
        <v/>
      </c>
      <c r="R100" s="11">
        <f>IF($I100=25,$G100*$H100*$J100,"")</f>
        <v/>
      </c>
      <c r="S100" s="11">
        <f>IF($I100=32,$G100*$H100*$J100,"")</f>
        <v/>
      </c>
    </row>
    <row r="101">
      <c r="A101" s="8" t="inlineStr">
        <is>
          <t>N3</t>
        </is>
      </c>
      <c r="B101" s="16" t="inlineStr"/>
      <c r="C101" s="16" t="inlineStr"/>
      <c r="D101" s="10" t="n">
        <v>0.2</v>
      </c>
      <c r="E101" s="10" t="n">
        <v>0.4</v>
      </c>
      <c r="F101" s="10" t="n"/>
      <c r="G101" s="17" t="n"/>
      <c r="H101" s="17" t="n"/>
      <c r="I101" s="17" t="n"/>
      <c r="J101" s="10" t="n"/>
      <c r="K101" s="11">
        <f>IF($I101=6,$G101*$H101*$J101,"")</f>
        <v/>
      </c>
      <c r="L101" s="11">
        <f>IF($I101=8,$G101*$H101*$J101,"")</f>
        <v/>
      </c>
      <c r="M101" s="11">
        <f>IF($I101=10,$G101*$H101*$J101,"")</f>
        <v/>
      </c>
      <c r="N101" s="11">
        <f>IF($I101=12,$G101*$H101*$J101,"")</f>
        <v/>
      </c>
      <c r="O101" s="11">
        <f>IF($I101=14,$G101*$H101*$J101,"")</f>
        <v/>
      </c>
      <c r="P101" s="11">
        <f>IF($I101=16,$G101*$H101*$J101,"")</f>
        <v/>
      </c>
      <c r="Q101" s="11">
        <f>IF($I101=20,$G101*$H101*$J101,"")</f>
        <v/>
      </c>
      <c r="R101" s="11">
        <f>IF($I101=25,$G101*$H101*$J101,"")</f>
        <v/>
      </c>
      <c r="S101" s="11">
        <f>IF($I101=32,$G101*$H101*$J101,"")</f>
        <v/>
      </c>
    </row>
    <row r="102">
      <c r="A102" s="8" t="inlineStr">
        <is>
          <t>Armature</t>
        </is>
      </c>
      <c r="B102" s="16" t="n"/>
      <c r="C102" s="16" t="n"/>
      <c r="D102" s="10" t="n"/>
      <c r="E102" s="10" t="n"/>
      <c r="F102" s="10" t="n"/>
      <c r="G102" s="17" t="n">
        <v>1</v>
      </c>
      <c r="H102" s="17" t="n">
        <v>2</v>
      </c>
      <c r="I102" s="17" t="n">
        <v>10</v>
      </c>
      <c r="J102" s="10" t="n"/>
      <c r="K102" s="11">
        <f>IF($I102=6,$G102*$H102*$J102,"")</f>
        <v/>
      </c>
      <c r="L102" s="11">
        <f>IF($I102=8,$G102*$H102*$J102,"")</f>
        <v/>
      </c>
      <c r="M102" s="11">
        <f>IF($I102=10,$G102*$H102*$J102,"")</f>
        <v/>
      </c>
      <c r="N102" s="11">
        <f>IF($I102=12,$G102*$H102*$J102,"")</f>
        <v/>
      </c>
      <c r="O102" s="11">
        <f>IF($I102=14,$G102*$H102*$J102,"")</f>
        <v/>
      </c>
      <c r="P102" s="11">
        <f>IF($I102=16,$G102*$H102*$J102,"")</f>
        <v/>
      </c>
      <c r="Q102" s="11">
        <f>IF($I102=20,$G102*$H102*$J102,"")</f>
        <v/>
      </c>
      <c r="R102" s="11">
        <f>IF($I102=25,$G102*$H102*$J102,"")</f>
        <v/>
      </c>
      <c r="S102" s="11">
        <f>IF($I102=32,$G102*$H102*$J102,"")</f>
        <v/>
      </c>
    </row>
    <row r="103">
      <c r="A103" s="8" t="inlineStr">
        <is>
          <t>Armature</t>
        </is>
      </c>
      <c r="B103" s="16" t="n"/>
      <c r="C103" s="16" t="n"/>
      <c r="D103" s="10" t="n"/>
      <c r="E103" s="10" t="n"/>
      <c r="F103" s="10" t="n"/>
      <c r="G103" s="17" t="n">
        <v>1</v>
      </c>
      <c r="H103" s="17" t="n">
        <v>3</v>
      </c>
      <c r="I103" s="17" t="n">
        <v>14</v>
      </c>
      <c r="J103" s="10" t="n"/>
      <c r="K103" s="11">
        <f>IF($I103=6,$G103*$H103*$J103,"")</f>
        <v/>
      </c>
      <c r="L103" s="11">
        <f>IF($I103=8,$G103*$H103*$J103,"")</f>
        <v/>
      </c>
      <c r="M103" s="11">
        <f>IF($I103=10,$G103*$H103*$J103,"")</f>
        <v/>
      </c>
      <c r="N103" s="11">
        <f>IF($I103=12,$G103*$H103*$J103,"")</f>
        <v/>
      </c>
      <c r="O103" s="11">
        <f>IF($I103=14,$G103*$H103*$J103,"")</f>
        <v/>
      </c>
      <c r="P103" s="11">
        <f>IF($I103=16,$G103*$H103*$J103,"")</f>
        <v/>
      </c>
      <c r="Q103" s="11">
        <f>IF($I103=20,$G103*$H103*$J103,"")</f>
        <v/>
      </c>
      <c r="R103" s="11">
        <f>IF($I103=25,$G103*$H103*$J103,"")</f>
        <v/>
      </c>
      <c r="S103" s="11">
        <f>IF($I103=32,$G103*$H103*$J103,"")</f>
        <v/>
      </c>
    </row>
    <row r="104">
      <c r="A104" s="8" t="inlineStr">
        <is>
          <t>Armature</t>
        </is>
      </c>
      <c r="B104" s="16" t="n"/>
      <c r="C104" s="16" t="n"/>
      <c r="D104" s="10" t="n"/>
      <c r="E104" s="10" t="n"/>
      <c r="F104" s="10" t="n"/>
      <c r="G104" s="17" t="n">
        <v>1</v>
      </c>
      <c r="H104" s="17" t="n">
        <v>4</v>
      </c>
      <c r="I104" s="17" t="n">
        <v>12</v>
      </c>
      <c r="J104" s="10" t="n"/>
      <c r="K104" s="11">
        <f>IF($I104=6,$G104*$H104*$J104,"")</f>
        <v/>
      </c>
      <c r="L104" s="11">
        <f>IF($I104=8,$G104*$H104*$J104,"")</f>
        <v/>
      </c>
      <c r="M104" s="11">
        <f>IF($I104=10,$G104*$H104*$J104,"")</f>
        <v/>
      </c>
      <c r="N104" s="11">
        <f>IF($I104=12,$G104*$H104*$J104,"")</f>
        <v/>
      </c>
      <c r="O104" s="11">
        <f>IF($I104=14,$G104*$H104*$J104,"")</f>
        <v/>
      </c>
      <c r="P104" s="11">
        <f>IF($I104=16,$G104*$H104*$J104,"")</f>
        <v/>
      </c>
      <c r="Q104" s="11">
        <f>IF($I104=20,$G104*$H104*$J104,"")</f>
        <v/>
      </c>
      <c r="R104" s="11">
        <f>IF($I104=25,$G104*$H104*$J104,"")</f>
        <v/>
      </c>
      <c r="S104" s="11">
        <f>IF($I104=32,$G104*$H104*$J104,"")</f>
        <v/>
      </c>
    </row>
    <row r="105">
      <c r="A105" s="8" t="inlineStr">
        <is>
          <t>N4</t>
        </is>
      </c>
      <c r="B105" s="16" t="inlineStr"/>
      <c r="C105" s="16" t="inlineStr"/>
      <c r="D105" s="10" t="n">
        <v>0.2</v>
      </c>
      <c r="E105" s="10" t="n">
        <v>0.45</v>
      </c>
      <c r="F105" s="10" t="n"/>
      <c r="G105" s="17" t="n"/>
      <c r="H105" s="17" t="n"/>
      <c r="I105" s="17" t="n"/>
      <c r="J105" s="10" t="n"/>
      <c r="K105" s="11">
        <f>IF($I105=6,$G105*$H105*$J105,"")</f>
        <v/>
      </c>
      <c r="L105" s="11">
        <f>IF($I105=8,$G105*$H105*$J105,"")</f>
        <v/>
      </c>
      <c r="M105" s="11">
        <f>IF($I105=10,$G105*$H105*$J105,"")</f>
        <v/>
      </c>
      <c r="N105" s="11">
        <f>IF($I105=12,$G105*$H105*$J105,"")</f>
        <v/>
      </c>
      <c r="O105" s="11">
        <f>IF($I105=14,$G105*$H105*$J105,"")</f>
        <v/>
      </c>
      <c r="P105" s="11">
        <f>IF($I105=16,$G105*$H105*$J105,"")</f>
        <v/>
      </c>
      <c r="Q105" s="11">
        <f>IF($I105=20,$G105*$H105*$J105,"")</f>
        <v/>
      </c>
      <c r="R105" s="11">
        <f>IF($I105=25,$G105*$H105*$J105,"")</f>
        <v/>
      </c>
      <c r="S105" s="11">
        <f>IF($I105=32,$G105*$H105*$J105,"")</f>
        <v/>
      </c>
    </row>
    <row r="106">
      <c r="A106" s="8" t="inlineStr">
        <is>
          <t>Armature</t>
        </is>
      </c>
      <c r="B106" s="16" t="n"/>
      <c r="C106" s="16" t="n"/>
      <c r="D106" s="10" t="n"/>
      <c r="E106" s="10" t="n"/>
      <c r="F106" s="10" t="n"/>
      <c r="G106" s="17" t="n">
        <v>1</v>
      </c>
      <c r="H106" s="17" t="n">
        <v>2</v>
      </c>
      <c r="I106" s="17" t="n">
        <v>10</v>
      </c>
      <c r="J106" s="10" t="n"/>
      <c r="K106" s="11">
        <f>IF($I106=6,$G106*$H106*$J106,"")</f>
        <v/>
      </c>
      <c r="L106" s="11">
        <f>IF($I106=8,$G106*$H106*$J106,"")</f>
        <v/>
      </c>
      <c r="M106" s="11">
        <f>IF($I106=10,$G106*$H106*$J106,"")</f>
        <v/>
      </c>
      <c r="N106" s="11">
        <f>IF($I106=12,$G106*$H106*$J106,"")</f>
        <v/>
      </c>
      <c r="O106" s="11">
        <f>IF($I106=14,$G106*$H106*$J106,"")</f>
        <v/>
      </c>
      <c r="P106" s="11">
        <f>IF($I106=16,$G106*$H106*$J106,"")</f>
        <v/>
      </c>
      <c r="Q106" s="11">
        <f>IF($I106=20,$G106*$H106*$J106,"")</f>
        <v/>
      </c>
      <c r="R106" s="11">
        <f>IF($I106=25,$G106*$H106*$J106,"")</f>
        <v/>
      </c>
      <c r="S106" s="11">
        <f>IF($I106=32,$G106*$H106*$J106,"")</f>
        <v/>
      </c>
    </row>
    <row r="107">
      <c r="A107" s="8" t="inlineStr">
        <is>
          <t>Armature</t>
        </is>
      </c>
      <c r="B107" s="16" t="n"/>
      <c r="C107" s="16" t="n"/>
      <c r="D107" s="10" t="n"/>
      <c r="E107" s="10" t="n"/>
      <c r="F107" s="10" t="n"/>
      <c r="G107" s="17" t="n">
        <v>1</v>
      </c>
      <c r="H107" s="17" t="n">
        <v>3</v>
      </c>
      <c r="I107" s="17" t="n">
        <v>14</v>
      </c>
      <c r="J107" s="10" t="n"/>
      <c r="K107" s="11">
        <f>IF($I107=6,$G107*$H107*$J107,"")</f>
        <v/>
      </c>
      <c r="L107" s="11">
        <f>IF($I107=8,$G107*$H107*$J107,"")</f>
        <v/>
      </c>
      <c r="M107" s="11">
        <f>IF($I107=10,$G107*$H107*$J107,"")</f>
        <v/>
      </c>
      <c r="N107" s="11">
        <f>IF($I107=12,$G107*$H107*$J107,"")</f>
        <v/>
      </c>
      <c r="O107" s="11">
        <f>IF($I107=14,$G107*$H107*$J107,"")</f>
        <v/>
      </c>
      <c r="P107" s="11">
        <f>IF($I107=16,$G107*$H107*$J107,"")</f>
        <v/>
      </c>
      <c r="Q107" s="11">
        <f>IF($I107=20,$G107*$H107*$J107,"")</f>
        <v/>
      </c>
      <c r="R107" s="11">
        <f>IF($I107=25,$G107*$H107*$J107,"")</f>
        <v/>
      </c>
      <c r="S107" s="11">
        <f>IF($I107=32,$G107*$H107*$J107,"")</f>
        <v/>
      </c>
    </row>
    <row r="108">
      <c r="A108" s="8" t="inlineStr">
        <is>
          <t>Armature</t>
        </is>
      </c>
      <c r="B108" s="16" t="n"/>
      <c r="C108" s="16" t="n"/>
      <c r="D108" s="10" t="n"/>
      <c r="E108" s="10" t="n"/>
      <c r="F108" s="10" t="n"/>
      <c r="G108" s="17" t="n">
        <v>1</v>
      </c>
      <c r="H108" s="17" t="n">
        <v>2</v>
      </c>
      <c r="I108" s="17" t="n">
        <v>10</v>
      </c>
      <c r="J108" s="10" t="n"/>
      <c r="K108" s="11">
        <f>IF($I108=6,$G108*$H108*$J108,"")</f>
        <v/>
      </c>
      <c r="L108" s="11">
        <f>IF($I108=8,$G108*$H108*$J108,"")</f>
        <v/>
      </c>
      <c r="M108" s="11">
        <f>IF($I108=10,$G108*$H108*$J108,"")</f>
        <v/>
      </c>
      <c r="N108" s="11">
        <f>IF($I108=12,$G108*$H108*$J108,"")</f>
        <v/>
      </c>
      <c r="O108" s="11">
        <f>IF($I108=14,$G108*$H108*$J108,"")</f>
        <v/>
      </c>
      <c r="P108" s="11">
        <f>IF($I108=16,$G108*$H108*$J108,"")</f>
        <v/>
      </c>
      <c r="Q108" s="11">
        <f>IF($I108=20,$G108*$H108*$J108,"")</f>
        <v/>
      </c>
      <c r="R108" s="11">
        <f>IF($I108=25,$G108*$H108*$J108,"")</f>
        <v/>
      </c>
      <c r="S108" s="11">
        <f>IF($I108=32,$G108*$H108*$J108,"")</f>
        <v/>
      </c>
    </row>
    <row r="109">
      <c r="A109" s="8" t="inlineStr">
        <is>
          <t>Armature</t>
        </is>
      </c>
      <c r="B109" s="16" t="n"/>
      <c r="C109" s="16" t="n"/>
      <c r="D109" s="10" t="n"/>
      <c r="E109" s="10" t="n"/>
      <c r="F109" s="10" t="n"/>
      <c r="G109" s="17" t="n">
        <v>1</v>
      </c>
      <c r="H109" s="17" t="n">
        <v>4</v>
      </c>
      <c r="I109" s="17" t="n">
        <v>12</v>
      </c>
      <c r="J109" s="10" t="n"/>
      <c r="K109" s="11">
        <f>IF($I109=6,$G109*$H109*$J109,"")</f>
        <v/>
      </c>
      <c r="L109" s="11">
        <f>IF($I109=8,$G109*$H109*$J109,"")</f>
        <v/>
      </c>
      <c r="M109" s="11">
        <f>IF($I109=10,$G109*$H109*$J109,"")</f>
        <v/>
      </c>
      <c r="N109" s="11">
        <f>IF($I109=12,$G109*$H109*$J109,"")</f>
        <v/>
      </c>
      <c r="O109" s="11">
        <f>IF($I109=14,$G109*$H109*$J109,"")</f>
        <v/>
      </c>
      <c r="P109" s="11">
        <f>IF($I109=16,$G109*$H109*$J109,"")</f>
        <v/>
      </c>
      <c r="Q109" s="11">
        <f>IF($I109=20,$G109*$H109*$J109,"")</f>
        <v/>
      </c>
      <c r="R109" s="11">
        <f>IF($I109=25,$G109*$H109*$J109,"")</f>
        <v/>
      </c>
      <c r="S109" s="11">
        <f>IF($I109=32,$G109*$H109*$J109,"")</f>
        <v/>
      </c>
    </row>
    <row r="110">
      <c r="A110" s="8" t="inlineStr">
        <is>
          <t>N5</t>
        </is>
      </c>
      <c r="B110" s="16" t="inlineStr"/>
      <c r="C110" s="16" t="inlineStr"/>
      <c r="D110" s="10" t="n">
        <v>0.2</v>
      </c>
      <c r="E110" s="10" t="n">
        <v>0.5</v>
      </c>
      <c r="F110" s="10" t="n"/>
      <c r="G110" s="17" t="n"/>
      <c r="H110" s="17" t="n"/>
      <c r="I110" s="17" t="n"/>
      <c r="J110" s="10" t="n"/>
      <c r="K110" s="11">
        <f>IF($I110=6,$G110*$H110*$J110,"")</f>
        <v/>
      </c>
      <c r="L110" s="11">
        <f>IF($I110=8,$G110*$H110*$J110,"")</f>
        <v/>
      </c>
      <c r="M110" s="11">
        <f>IF($I110=10,$G110*$H110*$J110,"")</f>
        <v/>
      </c>
      <c r="N110" s="11">
        <f>IF($I110=12,$G110*$H110*$J110,"")</f>
        <v/>
      </c>
      <c r="O110" s="11">
        <f>IF($I110=14,$G110*$H110*$J110,"")</f>
        <v/>
      </c>
      <c r="P110" s="11">
        <f>IF($I110=16,$G110*$H110*$J110,"")</f>
        <v/>
      </c>
      <c r="Q110" s="11">
        <f>IF($I110=20,$G110*$H110*$J110,"")</f>
        <v/>
      </c>
      <c r="R110" s="11">
        <f>IF($I110=25,$G110*$H110*$J110,"")</f>
        <v/>
      </c>
      <c r="S110" s="11">
        <f>IF($I110=32,$G110*$H110*$J110,"")</f>
        <v/>
      </c>
    </row>
    <row r="111">
      <c r="A111" s="8" t="inlineStr">
        <is>
          <t>Armature</t>
        </is>
      </c>
      <c r="B111" s="16" t="n"/>
      <c r="C111" s="16" t="n"/>
      <c r="D111" s="10" t="n"/>
      <c r="E111" s="10" t="n"/>
      <c r="F111" s="10" t="n"/>
      <c r="G111" s="17" t="n">
        <v>1</v>
      </c>
      <c r="H111" s="17" t="n">
        <v>2</v>
      </c>
      <c r="I111" s="17" t="n">
        <v>10</v>
      </c>
      <c r="J111" s="10" t="n"/>
      <c r="K111" s="11">
        <f>IF($I111=6,$G111*$H111*$J111,"")</f>
        <v/>
      </c>
      <c r="L111" s="11">
        <f>IF($I111=8,$G111*$H111*$J111,"")</f>
        <v/>
      </c>
      <c r="M111" s="11">
        <f>IF($I111=10,$G111*$H111*$J111,"")</f>
        <v/>
      </c>
      <c r="N111" s="11">
        <f>IF($I111=12,$G111*$H111*$J111,"")</f>
        <v/>
      </c>
      <c r="O111" s="11">
        <f>IF($I111=14,$G111*$H111*$J111,"")</f>
        <v/>
      </c>
      <c r="P111" s="11">
        <f>IF($I111=16,$G111*$H111*$J111,"")</f>
        <v/>
      </c>
      <c r="Q111" s="11">
        <f>IF($I111=20,$G111*$H111*$J111,"")</f>
        <v/>
      </c>
      <c r="R111" s="11">
        <f>IF($I111=25,$G111*$H111*$J111,"")</f>
        <v/>
      </c>
      <c r="S111" s="11">
        <f>IF($I111=32,$G111*$H111*$J111,"")</f>
        <v/>
      </c>
    </row>
    <row r="112">
      <c r="A112" s="8" t="inlineStr">
        <is>
          <t>Armature</t>
        </is>
      </c>
      <c r="B112" s="16" t="n"/>
      <c r="C112" s="16" t="n"/>
      <c r="D112" s="10" t="n"/>
      <c r="E112" s="10" t="n"/>
      <c r="F112" s="10" t="n"/>
      <c r="G112" s="17" t="n">
        <v>1</v>
      </c>
      <c r="H112" s="17" t="n">
        <v>3</v>
      </c>
      <c r="I112" s="17" t="n">
        <v>14</v>
      </c>
      <c r="J112" s="10" t="n"/>
      <c r="K112" s="11">
        <f>IF($I112=6,$G112*$H112*$J112,"")</f>
        <v/>
      </c>
      <c r="L112" s="11">
        <f>IF($I112=8,$G112*$H112*$J112,"")</f>
        <v/>
      </c>
      <c r="M112" s="11">
        <f>IF($I112=10,$G112*$H112*$J112,"")</f>
        <v/>
      </c>
      <c r="N112" s="11">
        <f>IF($I112=12,$G112*$H112*$J112,"")</f>
        <v/>
      </c>
      <c r="O112" s="11">
        <f>IF($I112=14,$G112*$H112*$J112,"")</f>
        <v/>
      </c>
      <c r="P112" s="11">
        <f>IF($I112=16,$G112*$H112*$J112,"")</f>
        <v/>
      </c>
      <c r="Q112" s="11">
        <f>IF($I112=20,$G112*$H112*$J112,"")</f>
        <v/>
      </c>
      <c r="R112" s="11">
        <f>IF($I112=25,$G112*$H112*$J112,"")</f>
        <v/>
      </c>
      <c r="S112" s="11">
        <f>IF($I112=32,$G112*$H112*$J112,"")</f>
        <v/>
      </c>
    </row>
    <row r="113">
      <c r="A113" s="8" t="inlineStr">
        <is>
          <t>Armature</t>
        </is>
      </c>
      <c r="B113" s="16" t="n"/>
      <c r="C113" s="16" t="n"/>
      <c r="D113" s="10" t="n"/>
      <c r="E113" s="10" t="n"/>
      <c r="F113" s="10" t="n"/>
      <c r="G113" s="17" t="n">
        <v>1</v>
      </c>
      <c r="H113" s="17" t="n">
        <v>2</v>
      </c>
      <c r="I113" s="17" t="n">
        <v>10</v>
      </c>
      <c r="J113" s="10" t="n"/>
      <c r="K113" s="11">
        <f>IF($I113=6,$G113*$H113*$J113,"")</f>
        <v/>
      </c>
      <c r="L113" s="11">
        <f>IF($I113=8,$G113*$H113*$J113,"")</f>
        <v/>
      </c>
      <c r="M113" s="11">
        <f>IF($I113=10,$G113*$H113*$J113,"")</f>
        <v/>
      </c>
      <c r="N113" s="11">
        <f>IF($I113=12,$G113*$H113*$J113,"")</f>
        <v/>
      </c>
      <c r="O113" s="11">
        <f>IF($I113=14,$G113*$H113*$J113,"")</f>
        <v/>
      </c>
      <c r="P113" s="11">
        <f>IF($I113=16,$G113*$H113*$J113,"")</f>
        <v/>
      </c>
      <c r="Q113" s="11">
        <f>IF($I113=20,$G113*$H113*$J113,"")</f>
        <v/>
      </c>
      <c r="R113" s="11">
        <f>IF($I113=25,$G113*$H113*$J113,"")</f>
        <v/>
      </c>
      <c r="S113" s="11">
        <f>IF($I113=32,$G113*$H113*$J113,"")</f>
        <v/>
      </c>
    </row>
    <row r="114">
      <c r="A114" s="8" t="inlineStr">
        <is>
          <t>Armature</t>
        </is>
      </c>
      <c r="B114" s="16" t="n"/>
      <c r="C114" s="16" t="n"/>
      <c r="D114" s="10" t="n"/>
      <c r="E114" s="10" t="n"/>
      <c r="F114" s="10" t="n"/>
      <c r="G114" s="17" t="n">
        <v>1</v>
      </c>
      <c r="H114" s="17" t="n">
        <v>4</v>
      </c>
      <c r="I114" s="17" t="n">
        <v>12</v>
      </c>
      <c r="J114" s="10" t="n"/>
      <c r="K114" s="11">
        <f>IF($I114=6,$G114*$H114*$J114,"")</f>
        <v/>
      </c>
      <c r="L114" s="11">
        <f>IF($I114=8,$G114*$H114*$J114,"")</f>
        <v/>
      </c>
      <c r="M114" s="11">
        <f>IF($I114=10,$G114*$H114*$J114,"")</f>
        <v/>
      </c>
      <c r="N114" s="11">
        <f>IF($I114=12,$G114*$H114*$J114,"")</f>
        <v/>
      </c>
      <c r="O114" s="11">
        <f>IF($I114=14,$G114*$H114*$J114,"")</f>
        <v/>
      </c>
      <c r="P114" s="11">
        <f>IF($I114=16,$G114*$H114*$J114,"")</f>
        <v/>
      </c>
      <c r="Q114" s="11">
        <f>IF($I114=20,$G114*$H114*$J114,"")</f>
        <v/>
      </c>
      <c r="R114" s="11">
        <f>IF($I114=25,$G114*$H114*$J114,"")</f>
        <v/>
      </c>
      <c r="S114" s="11">
        <f>IF($I114=32,$G114*$H114*$J114,"")</f>
        <v/>
      </c>
    </row>
    <row r="115">
      <c r="A115" s="8" t="inlineStr">
        <is>
          <t>N6</t>
        </is>
      </c>
      <c r="B115" s="16" t="inlineStr"/>
      <c r="C115" s="16" t="inlineStr"/>
      <c r="D115" s="10" t="n">
        <v>0.4</v>
      </c>
      <c r="E115" s="10" t="n">
        <v>0.9</v>
      </c>
      <c r="F115" s="10" t="n"/>
      <c r="G115" s="17" t="n"/>
      <c r="H115" s="17" t="n"/>
      <c r="I115" s="17" t="n"/>
      <c r="J115" s="10" t="n"/>
      <c r="K115" s="11">
        <f>IF($I115=6,$G115*$H115*$J115,"")</f>
        <v/>
      </c>
      <c r="L115" s="11">
        <f>IF($I115=8,$G115*$H115*$J115,"")</f>
        <v/>
      </c>
      <c r="M115" s="11">
        <f>IF($I115=10,$G115*$H115*$J115,"")</f>
        <v/>
      </c>
      <c r="N115" s="11">
        <f>IF($I115=12,$G115*$H115*$J115,"")</f>
        <v/>
      </c>
      <c r="O115" s="11">
        <f>IF($I115=14,$G115*$H115*$J115,"")</f>
        <v/>
      </c>
      <c r="P115" s="11">
        <f>IF($I115=16,$G115*$H115*$J115,"")</f>
        <v/>
      </c>
      <c r="Q115" s="11">
        <f>IF($I115=20,$G115*$H115*$J115,"")</f>
        <v/>
      </c>
      <c r="R115" s="11">
        <f>IF($I115=25,$G115*$H115*$J115,"")</f>
        <v/>
      </c>
      <c r="S115" s="11">
        <f>IF($I115=32,$G115*$H115*$J115,"")</f>
        <v/>
      </c>
    </row>
    <row r="116">
      <c r="A116" s="8" t="inlineStr">
        <is>
          <t>Armature</t>
        </is>
      </c>
      <c r="B116" s="16" t="n"/>
      <c r="C116" s="16" t="n"/>
      <c r="D116" s="10" t="n"/>
      <c r="E116" s="10" t="n"/>
      <c r="F116" s="10" t="n"/>
      <c r="G116" s="17" t="n">
        <v>1</v>
      </c>
      <c r="H116" s="17" t="n">
        <v>4</v>
      </c>
      <c r="I116" s="17" t="n">
        <v>16</v>
      </c>
      <c r="J116" s="10" t="n"/>
      <c r="K116" s="11">
        <f>IF($I116=6,$G116*$H116*$J116,"")</f>
        <v/>
      </c>
      <c r="L116" s="11">
        <f>IF($I116=8,$G116*$H116*$J116,"")</f>
        <v/>
      </c>
      <c r="M116" s="11">
        <f>IF($I116=10,$G116*$H116*$J116,"")</f>
        <v/>
      </c>
      <c r="N116" s="11">
        <f>IF($I116=12,$G116*$H116*$J116,"")</f>
        <v/>
      </c>
      <c r="O116" s="11">
        <f>IF($I116=14,$G116*$H116*$J116,"")</f>
        <v/>
      </c>
      <c r="P116" s="11">
        <f>IF($I116=16,$G116*$H116*$J116,"")</f>
        <v/>
      </c>
      <c r="Q116" s="11">
        <f>IF($I116=20,$G116*$H116*$J116,"")</f>
        <v/>
      </c>
      <c r="R116" s="11">
        <f>IF($I116=25,$G116*$H116*$J116,"")</f>
        <v/>
      </c>
      <c r="S116" s="11">
        <f>IF($I116=32,$G116*$H116*$J116,"")</f>
        <v/>
      </c>
    </row>
    <row r="117">
      <c r="A117" s="8" t="inlineStr">
        <is>
          <t>Armature</t>
        </is>
      </c>
      <c r="B117" s="16" t="n"/>
      <c r="C117" s="16" t="n"/>
      <c r="D117" s="10" t="n"/>
      <c r="E117" s="10" t="n"/>
      <c r="F117" s="10" t="n"/>
      <c r="G117" s="17" t="n">
        <v>1</v>
      </c>
      <c r="H117" s="17" t="n">
        <v>2</v>
      </c>
      <c r="I117" s="17" t="n">
        <v>16</v>
      </c>
      <c r="J117" s="10" t="n"/>
      <c r="K117" s="11">
        <f>IF($I117=6,$G117*$H117*$J117,"")</f>
        <v/>
      </c>
      <c r="L117" s="11">
        <f>IF($I117=8,$G117*$H117*$J117,"")</f>
        <v/>
      </c>
      <c r="M117" s="11">
        <f>IF($I117=10,$G117*$H117*$J117,"")</f>
        <v/>
      </c>
      <c r="N117" s="11">
        <f>IF($I117=12,$G117*$H117*$J117,"")</f>
        <v/>
      </c>
      <c r="O117" s="11">
        <f>IF($I117=14,$G117*$H117*$J117,"")</f>
        <v/>
      </c>
      <c r="P117" s="11">
        <f>IF($I117=16,$G117*$H117*$J117,"")</f>
        <v/>
      </c>
      <c r="Q117" s="11">
        <f>IF($I117=20,$G117*$H117*$J117,"")</f>
        <v/>
      </c>
      <c r="R117" s="11">
        <f>IF($I117=25,$G117*$H117*$J117,"")</f>
        <v/>
      </c>
      <c r="S117" s="11">
        <f>IF($I117=32,$G117*$H117*$J117,"")</f>
        <v/>
      </c>
    </row>
    <row r="118">
      <c r="A118" s="8" t="inlineStr">
        <is>
          <t>Armature</t>
        </is>
      </c>
      <c r="B118" s="16" t="n"/>
      <c r="C118" s="16" t="n"/>
      <c r="D118" s="10" t="n"/>
      <c r="E118" s="10" t="n"/>
      <c r="F118" s="10" t="n"/>
      <c r="G118" s="17" t="n">
        <v>1</v>
      </c>
      <c r="H118" s="17" t="n">
        <v>2</v>
      </c>
      <c r="I118" s="17" t="n">
        <v>12</v>
      </c>
      <c r="J118" s="10" t="n"/>
      <c r="K118" s="11">
        <f>IF($I118=6,$G118*$H118*$J118,"")</f>
        <v/>
      </c>
      <c r="L118" s="11">
        <f>IF($I118=8,$G118*$H118*$J118,"")</f>
        <v/>
      </c>
      <c r="M118" s="11">
        <f>IF($I118=10,$G118*$H118*$J118,"")</f>
        <v/>
      </c>
      <c r="N118" s="11">
        <f>IF($I118=12,$G118*$H118*$J118,"")</f>
        <v/>
      </c>
      <c r="O118" s="11">
        <f>IF($I118=14,$G118*$H118*$J118,"")</f>
        <v/>
      </c>
      <c r="P118" s="11">
        <f>IF($I118=16,$G118*$H118*$J118,"")</f>
        <v/>
      </c>
      <c r="Q118" s="11">
        <f>IF($I118=20,$G118*$H118*$J118,"")</f>
        <v/>
      </c>
      <c r="R118" s="11">
        <f>IF($I118=25,$G118*$H118*$J118,"")</f>
        <v/>
      </c>
      <c r="S118" s="11">
        <f>IF($I118=32,$G118*$H118*$J118,"")</f>
        <v/>
      </c>
    </row>
    <row r="119">
      <c r="A119" s="8" t="inlineStr">
        <is>
          <t>N7</t>
        </is>
      </c>
      <c r="B119" s="16" t="inlineStr"/>
      <c r="C119" s="16" t="inlineStr"/>
      <c r="D119" s="10" t="n">
        <v>0.3</v>
      </c>
      <c r="E119" s="10" t="n">
        <v>0.9</v>
      </c>
      <c r="F119" s="10" t="n"/>
      <c r="G119" s="17" t="n"/>
      <c r="H119" s="17" t="n"/>
      <c r="I119" s="17" t="n"/>
      <c r="J119" s="10" t="n"/>
      <c r="K119" s="11">
        <f>IF($I119=6,$G119*$H119*$J119,"")</f>
        <v/>
      </c>
      <c r="L119" s="11">
        <f>IF($I119=8,$G119*$H119*$J119,"")</f>
        <v/>
      </c>
      <c r="M119" s="11">
        <f>IF($I119=10,$G119*$H119*$J119,"")</f>
        <v/>
      </c>
      <c r="N119" s="11">
        <f>IF($I119=12,$G119*$H119*$J119,"")</f>
        <v/>
      </c>
      <c r="O119" s="11">
        <f>IF($I119=14,$G119*$H119*$J119,"")</f>
        <v/>
      </c>
      <c r="P119" s="11">
        <f>IF($I119=16,$G119*$H119*$J119,"")</f>
        <v/>
      </c>
      <c r="Q119" s="11">
        <f>IF($I119=20,$G119*$H119*$J119,"")</f>
        <v/>
      </c>
      <c r="R119" s="11">
        <f>IF($I119=25,$G119*$H119*$J119,"")</f>
        <v/>
      </c>
      <c r="S119" s="11">
        <f>IF($I119=32,$G119*$H119*$J119,"")</f>
        <v/>
      </c>
    </row>
    <row r="120">
      <c r="A120" s="8" t="inlineStr">
        <is>
          <t>Armature</t>
        </is>
      </c>
      <c r="B120" s="16" t="n"/>
      <c r="C120" s="16" t="n"/>
      <c r="D120" s="10" t="n"/>
      <c r="E120" s="10" t="n"/>
      <c r="F120" s="10" t="n"/>
      <c r="G120" s="17" t="n">
        <v>1</v>
      </c>
      <c r="H120" s="17" t="n">
        <v>2</v>
      </c>
      <c r="I120" s="17" t="n">
        <v>12</v>
      </c>
      <c r="J120" s="10" t="n"/>
      <c r="K120" s="11">
        <f>IF($I120=6,$G120*$H120*$J120,"")</f>
        <v/>
      </c>
      <c r="L120" s="11">
        <f>IF($I120=8,$G120*$H120*$J120,"")</f>
        <v/>
      </c>
      <c r="M120" s="11">
        <f>IF($I120=10,$G120*$H120*$J120,"")</f>
        <v/>
      </c>
      <c r="N120" s="11">
        <f>IF($I120=12,$G120*$H120*$J120,"")</f>
        <v/>
      </c>
      <c r="O120" s="11">
        <f>IF($I120=14,$G120*$H120*$J120,"")</f>
        <v/>
      </c>
      <c r="P120" s="11">
        <f>IF($I120=16,$G120*$H120*$J120,"")</f>
        <v/>
      </c>
      <c r="Q120" s="11">
        <f>IF($I120=20,$G120*$H120*$J120,"")</f>
        <v/>
      </c>
      <c r="R120" s="11">
        <f>IF($I120=25,$G120*$H120*$J120,"")</f>
        <v/>
      </c>
      <c r="S120" s="11">
        <f>IF($I120=32,$G120*$H120*$J120,"")</f>
        <v/>
      </c>
    </row>
    <row r="121">
      <c r="A121" s="8" t="inlineStr">
        <is>
          <t>Armature</t>
        </is>
      </c>
      <c r="B121" s="16" t="n"/>
      <c r="C121" s="16" t="n"/>
      <c r="D121" s="10" t="n"/>
      <c r="E121" s="10" t="n"/>
      <c r="F121" s="10" t="n"/>
      <c r="G121" s="17" t="n">
        <v>1</v>
      </c>
      <c r="H121" s="17" t="n">
        <v>4</v>
      </c>
      <c r="I121" s="17" t="n">
        <v>12</v>
      </c>
      <c r="J121" s="10" t="n"/>
      <c r="K121" s="11">
        <f>IF($I121=6,$G121*$H121*$J121,"")</f>
        <v/>
      </c>
      <c r="L121" s="11">
        <f>IF($I121=8,$G121*$H121*$J121,"")</f>
        <v/>
      </c>
      <c r="M121" s="11">
        <f>IF($I121=10,$G121*$H121*$J121,"")</f>
        <v/>
      </c>
      <c r="N121" s="11">
        <f>IF($I121=12,$G121*$H121*$J121,"")</f>
        <v/>
      </c>
      <c r="O121" s="11">
        <f>IF($I121=14,$G121*$H121*$J121,"")</f>
        <v/>
      </c>
      <c r="P121" s="11">
        <f>IF($I121=16,$G121*$H121*$J121,"")</f>
        <v/>
      </c>
      <c r="Q121" s="11">
        <f>IF($I121=20,$G121*$H121*$J121,"")</f>
        <v/>
      </c>
      <c r="R121" s="11">
        <f>IF($I121=25,$G121*$H121*$J121,"")</f>
        <v/>
      </c>
      <c r="S121" s="11">
        <f>IF($I121=32,$G121*$H121*$J121,"")</f>
        <v/>
      </c>
    </row>
    <row r="122">
      <c r="A122" s="8" t="inlineStr">
        <is>
          <t>Armature</t>
        </is>
      </c>
      <c r="B122" s="16" t="n"/>
      <c r="C122" s="16" t="n"/>
      <c r="D122" s="10" t="n"/>
      <c r="E122" s="10" t="n"/>
      <c r="F122" s="10" t="n"/>
      <c r="G122" s="17" t="n">
        <v>1</v>
      </c>
      <c r="H122" s="17" t="n">
        <v>4</v>
      </c>
      <c r="I122" s="17" t="n">
        <v>14</v>
      </c>
      <c r="J122" s="10" t="n"/>
      <c r="K122" s="11">
        <f>IF($I122=6,$G122*$H122*$J122,"")</f>
        <v/>
      </c>
      <c r="L122" s="11">
        <f>IF($I122=8,$G122*$H122*$J122,"")</f>
        <v/>
      </c>
      <c r="M122" s="11">
        <f>IF($I122=10,$G122*$H122*$J122,"")</f>
        <v/>
      </c>
      <c r="N122" s="11">
        <f>IF($I122=12,$G122*$H122*$J122,"")</f>
        <v/>
      </c>
      <c r="O122" s="11">
        <f>IF($I122=14,$G122*$H122*$J122,"")</f>
        <v/>
      </c>
      <c r="P122" s="11">
        <f>IF($I122=16,$G122*$H122*$J122,"")</f>
        <v/>
      </c>
      <c r="Q122" s="11">
        <f>IF($I122=20,$G122*$H122*$J122,"")</f>
        <v/>
      </c>
      <c r="R122" s="11">
        <f>IF($I122=25,$G122*$H122*$J122,"")</f>
        <v/>
      </c>
      <c r="S122" s="11">
        <f>IF($I122=32,$G122*$H122*$J122,"")</f>
        <v/>
      </c>
    </row>
    <row r="123">
      <c r="A123" s="18" t="inlineStr">
        <is>
          <t>LONGUEUR TOTALE (ml)</t>
        </is>
      </c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>
        <f>SUM(K4:K122)</f>
        <v/>
      </c>
      <c r="L123" s="19">
        <f>SUM(L4:L122)</f>
        <v/>
      </c>
      <c r="M123" s="19">
        <f>SUM(M4:M122)</f>
        <v/>
      </c>
      <c r="N123" s="19">
        <f>SUM(N4:N122)</f>
        <v/>
      </c>
      <c r="O123" s="19">
        <f>SUM(O4:O122)</f>
        <v/>
      </c>
      <c r="P123" s="19">
        <f>SUM(P4:P122)</f>
        <v/>
      </c>
      <c r="Q123" s="19">
        <f>SUM(Q4:Q122)</f>
        <v/>
      </c>
      <c r="R123" s="19">
        <f>SUM(R4:R122)</f>
        <v/>
      </c>
      <c r="S123" s="19">
        <f>SUM(S4:S122)</f>
        <v/>
      </c>
    </row>
    <row r="124">
      <c r="A124" s="18" t="inlineStr">
        <is>
          <t>POIDS UNITAIRE NOMINAL (kg/ml)</t>
        </is>
      </c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>
        <v>0.222</v>
      </c>
      <c r="L124" s="19" t="n">
        <v>0.395</v>
      </c>
      <c r="M124" s="19" t="n">
        <v>0.617</v>
      </c>
      <c r="N124" s="19" t="n">
        <v>0.888</v>
      </c>
      <c r="O124" s="19" t="n">
        <v>1.208</v>
      </c>
      <c r="P124" s="19" t="n">
        <v>1.578</v>
      </c>
      <c r="Q124" s="19" t="n">
        <v>2.466</v>
      </c>
      <c r="R124" s="19" t="n">
        <v>3.853</v>
      </c>
      <c r="S124" s="19" t="n">
        <v>6.313</v>
      </c>
    </row>
    <row r="125">
      <c r="A125" s="18" t="inlineStr">
        <is>
          <t>POIDS PARTIEL PAR DIAMÈTRE (kg)</t>
        </is>
      </c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>
        <f>K123*K124</f>
        <v/>
      </c>
      <c r="L125" s="19">
        <f>L123*L124</f>
        <v/>
      </c>
      <c r="M125" s="19">
        <f>M123*M124</f>
        <v/>
      </c>
      <c r="N125" s="19">
        <f>N123*N124</f>
        <v/>
      </c>
      <c r="O125" s="19">
        <f>O123*O124</f>
        <v/>
      </c>
      <c r="P125" s="19">
        <f>P123*P124</f>
        <v/>
      </c>
      <c r="Q125" s="19">
        <f>Q123*Q124</f>
        <v/>
      </c>
      <c r="R125" s="19">
        <f>R123*R124</f>
        <v/>
      </c>
      <c r="S125" s="19">
        <f>S123*S124</f>
        <v/>
      </c>
    </row>
    <row r="126">
      <c r="A126" s="21" t="inlineStr">
        <is>
          <t>POIDS TOTAL DES ACIERS (KG)</t>
        </is>
      </c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5">
        <f>SUM(K125:S125)</f>
        <v/>
      </c>
    </row>
    <row r="127">
      <c r="A127" s="21" t="inlineStr">
        <is>
          <t>POIDS TOTAL (tonnes)</t>
        </is>
      </c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5">
        <f>K126/1000</f>
        <v/>
      </c>
    </row>
    <row r="128">
      <c r="A128" s="18" t="inlineStr">
        <is>
          <t>Volume béton de référence (m³) — à saisir</t>
        </is>
      </c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>
        <f>'01_Detail_Quantitatif'!K92</f>
        <v/>
      </c>
      <c r="L128" s="19" t="n"/>
      <c r="M128" s="19" t="n"/>
      <c r="N128" s="19" t="n"/>
      <c r="O128" s="19" t="n"/>
      <c r="P128" s="19" t="n"/>
      <c r="Q128" s="19" t="n"/>
      <c r="R128" s="19" t="n"/>
      <c r="S128" s="19" t="n"/>
    </row>
    <row r="129">
      <c r="A129" s="21" t="inlineStr">
        <is>
          <t>TAUX DE FERRAILLAGE MOYEN (kg/m³)</t>
        </is>
      </c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5">
        <f>IF(K128&gt;0,K126/K128,"")</f>
        <v/>
      </c>
    </row>
  </sheetData>
  <mergeCells count="4">
    <mergeCell ref="B2:F2"/>
    <mergeCell ref="L2:N2"/>
    <mergeCell ref="P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0" customWidth="1" min="4" max="4"/>
    <col width="10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ATTACHEMENT — SYNTHÈSE DES ARMATURES PAR TYPE D'OUVRAGE</t>
        </is>
      </c>
    </row>
    <row r="2">
      <c r="A2" s="2" t="inlineStr">
        <is>
          <t>Projet :</t>
        </is>
      </c>
      <c r="B2" s="3" t="n"/>
      <c r="C2" s="35" t="n"/>
      <c r="D2" s="35" t="n"/>
      <c r="E2" s="34" t="n"/>
      <c r="F2" s="2" t="inlineStr">
        <is>
          <t>Attachement n° :</t>
        </is>
      </c>
      <c r="G2" s="3" t="n"/>
      <c r="H2" s="35" t="n"/>
      <c r="I2" s="34" t="n"/>
      <c r="J2" s="2" t="inlineStr">
        <is>
          <t>Date :</t>
        </is>
      </c>
      <c r="K2" s="3" t="n"/>
      <c r="L2" s="35" t="n"/>
      <c r="M2" s="35" t="n"/>
      <c r="N2" s="35" t="n"/>
      <c r="O2" s="34" t="n"/>
    </row>
    <row r="3">
      <c r="A3" s="4" t="inlineStr">
        <is>
          <t>Type d'Ouvrage</t>
        </is>
      </c>
      <c r="B3" s="4" t="inlineStr">
        <is>
          <t>Type d'Armature</t>
        </is>
      </c>
      <c r="C3" s="4" t="inlineStr">
        <is>
          <t>N° Ouvrages cumulés</t>
        </is>
      </c>
      <c r="D3" s="4" t="inlineStr">
        <is>
          <t>Nb barres</t>
        </is>
      </c>
      <c r="E3" s="4" t="inlineStr">
        <is>
          <t>Diamètre (mm)</t>
        </is>
      </c>
      <c r="F3" s="4" t="inlineStr">
        <is>
          <t>Longueur unitaire (m)</t>
        </is>
      </c>
      <c r="G3" s="4" t="inlineStr">
        <is>
          <t>T6</t>
        </is>
      </c>
      <c r="H3" s="4" t="inlineStr">
        <is>
          <t>T8</t>
        </is>
      </c>
      <c r="I3" s="4" t="inlineStr">
        <is>
          <t>T10</t>
        </is>
      </c>
      <c r="J3" s="4" t="inlineStr">
        <is>
          <t>T12</t>
        </is>
      </c>
      <c r="K3" s="4" t="inlineStr">
        <is>
          <t>T14</t>
        </is>
      </c>
      <c r="L3" s="4" t="inlineStr">
        <is>
          <t>T16</t>
        </is>
      </c>
      <c r="M3" s="4" t="inlineStr">
        <is>
          <t>T20</t>
        </is>
      </c>
      <c r="N3" s="4" t="inlineStr">
        <is>
          <t>T25</t>
        </is>
      </c>
      <c r="O3" s="4" t="inlineStr">
        <is>
          <t>T32</t>
        </is>
      </c>
    </row>
    <row r="4">
      <c r="A4" s="8" t="inlineStr">
        <is>
          <t>Semelle S2</t>
        </is>
      </c>
      <c r="B4" s="8" t="inlineStr">
        <is>
          <t>Lit INF X &amp; Y</t>
        </is>
      </c>
      <c r="C4" s="17" t="n">
        <v>1</v>
      </c>
      <c r="D4" s="17" t="n">
        <v>14</v>
      </c>
      <c r="E4" s="17" t="n">
        <v>12</v>
      </c>
      <c r="F4" s="10" t="n">
        <v>1.458</v>
      </c>
      <c r="G4" s="11">
        <f>IF($E4=6,$C4*$D4*$F4,"")</f>
        <v/>
      </c>
      <c r="H4" s="11">
        <f>IF($E4=8,$C4*$D4*$F4,"")</f>
        <v/>
      </c>
      <c r="I4" s="11">
        <f>IF($E4=10,$C4*$D4*$F4,"")</f>
        <v/>
      </c>
      <c r="J4" s="11">
        <f>IF($E4=12,$C4*$D4*$F4,"")</f>
        <v/>
      </c>
      <c r="K4" s="11">
        <f>IF($E4=14,$C4*$D4*$F4,"")</f>
        <v/>
      </c>
      <c r="L4" s="11">
        <f>IF($E4=16,$C4*$D4*$F4,"")</f>
        <v/>
      </c>
      <c r="M4" s="11">
        <f>IF($E4=20,$C4*$D4*$F4,"")</f>
        <v/>
      </c>
      <c r="N4" s="11">
        <f>IF($E4=25,$C4*$D4*$F4,"")</f>
        <v/>
      </c>
      <c r="O4" s="11">
        <f>IF($E4=32,$C4*$D4*$F4,"")</f>
        <v/>
      </c>
    </row>
    <row r="5">
      <c r="A5" s="8" t="inlineStr">
        <is>
          <t>Semelle S3</t>
        </is>
      </c>
      <c r="B5" s="8" t="inlineStr">
        <is>
          <t>Lit INF X &amp; Y</t>
        </is>
      </c>
      <c r="C5" s="17" t="n">
        <v>1</v>
      </c>
      <c r="D5" s="17" t="n">
        <v>16</v>
      </c>
      <c r="E5" s="17" t="n">
        <v>12</v>
      </c>
      <c r="F5" s="10" t="n">
        <v>1.558</v>
      </c>
      <c r="G5" s="11">
        <f>IF($E5=6,$C5*$D5*$F5,"")</f>
        <v/>
      </c>
      <c r="H5" s="11">
        <f>IF($E5=8,$C5*$D5*$F5,"")</f>
        <v/>
      </c>
      <c r="I5" s="11">
        <f>IF($E5=10,$C5*$D5*$F5,"")</f>
        <v/>
      </c>
      <c r="J5" s="11">
        <f>IF($E5=12,$C5*$D5*$F5,"")</f>
        <v/>
      </c>
      <c r="K5" s="11">
        <f>IF($E5=14,$C5*$D5*$F5,"")</f>
        <v/>
      </c>
      <c r="L5" s="11">
        <f>IF($E5=16,$C5*$D5*$F5,"")</f>
        <v/>
      </c>
      <c r="M5" s="11">
        <f>IF($E5=20,$C5*$D5*$F5,"")</f>
        <v/>
      </c>
      <c r="N5" s="11">
        <f>IF($E5=25,$C5*$D5*$F5,"")</f>
        <v/>
      </c>
      <c r="O5" s="11">
        <f>IF($E5=32,$C5*$D5*$F5,"")</f>
        <v/>
      </c>
    </row>
    <row r="6">
      <c r="A6" s="8" t="inlineStr">
        <is>
          <t>Semelle S3</t>
        </is>
      </c>
      <c r="B6" s="8" t="inlineStr">
        <is>
          <t>Lit INF X &amp; Y</t>
        </is>
      </c>
      <c r="C6" s="17" t="n">
        <v>1</v>
      </c>
      <c r="D6" s="17" t="n">
        <v>16</v>
      </c>
      <c r="E6" s="17" t="n">
        <v>12</v>
      </c>
      <c r="F6" s="10" t="n">
        <v>1.558</v>
      </c>
      <c r="G6" s="11">
        <f>IF($E6=6,$C6*$D6*$F6,"")</f>
        <v/>
      </c>
      <c r="H6" s="11">
        <f>IF($E6=8,$C6*$D6*$F6,"")</f>
        <v/>
      </c>
      <c r="I6" s="11">
        <f>IF($E6=10,$C6*$D6*$F6,"")</f>
        <v/>
      </c>
      <c r="J6" s="11">
        <f>IF($E6=12,$C6*$D6*$F6,"")</f>
        <v/>
      </c>
      <c r="K6" s="11">
        <f>IF($E6=14,$C6*$D6*$F6,"")</f>
        <v/>
      </c>
      <c r="L6" s="11">
        <f>IF($E6=16,$C6*$D6*$F6,"")</f>
        <v/>
      </c>
      <c r="M6" s="11">
        <f>IF($E6=20,$C6*$D6*$F6,"")</f>
        <v/>
      </c>
      <c r="N6" s="11">
        <f>IF($E6=25,$C6*$D6*$F6,"")</f>
        <v/>
      </c>
      <c r="O6" s="11">
        <f>IF($E6=32,$C6*$D6*$F6,"")</f>
        <v/>
      </c>
    </row>
    <row r="7">
      <c r="A7" s="8" t="inlineStr">
        <is>
          <t>Semelle S3</t>
        </is>
      </c>
      <c r="B7" s="8" t="inlineStr">
        <is>
          <t>Lit INF X &amp; Y</t>
        </is>
      </c>
      <c r="C7" s="17" t="n">
        <v>1</v>
      </c>
      <c r="D7" s="17" t="n">
        <v>16</v>
      </c>
      <c r="E7" s="17" t="n">
        <v>12</v>
      </c>
      <c r="F7" s="10" t="n">
        <v>1.558</v>
      </c>
      <c r="G7" s="11">
        <f>IF($E7=6,$C7*$D7*$F7,"")</f>
        <v/>
      </c>
      <c r="H7" s="11">
        <f>IF($E7=8,$C7*$D7*$F7,"")</f>
        <v/>
      </c>
      <c r="I7" s="11">
        <f>IF($E7=10,$C7*$D7*$F7,"")</f>
        <v/>
      </c>
      <c r="J7" s="11">
        <f>IF($E7=12,$C7*$D7*$F7,"")</f>
        <v/>
      </c>
      <c r="K7" s="11">
        <f>IF($E7=14,$C7*$D7*$F7,"")</f>
        <v/>
      </c>
      <c r="L7" s="11">
        <f>IF($E7=16,$C7*$D7*$F7,"")</f>
        <v/>
      </c>
      <c r="M7" s="11">
        <f>IF($E7=20,$C7*$D7*$F7,"")</f>
        <v/>
      </c>
      <c r="N7" s="11">
        <f>IF($E7=25,$C7*$D7*$F7,"")</f>
        <v/>
      </c>
      <c r="O7" s="11">
        <f>IF($E7=32,$C7*$D7*$F7,"")</f>
        <v/>
      </c>
    </row>
    <row r="8">
      <c r="A8" s="8" t="inlineStr">
        <is>
          <t>Semelle S3</t>
        </is>
      </c>
      <c r="B8" s="8" t="inlineStr">
        <is>
          <t>Lit INF X &amp; Y</t>
        </is>
      </c>
      <c r="C8" s="17" t="n">
        <v>1</v>
      </c>
      <c r="D8" s="17" t="n">
        <v>16</v>
      </c>
      <c r="E8" s="17" t="n">
        <v>12</v>
      </c>
      <c r="F8" s="10" t="n">
        <v>1.558</v>
      </c>
      <c r="G8" s="11">
        <f>IF($E8=6,$C8*$D8*$F8,"")</f>
        <v/>
      </c>
      <c r="H8" s="11">
        <f>IF($E8=8,$C8*$D8*$F8,"")</f>
        <v/>
      </c>
      <c r="I8" s="11">
        <f>IF($E8=10,$C8*$D8*$F8,"")</f>
        <v/>
      </c>
      <c r="J8" s="11">
        <f>IF($E8=12,$C8*$D8*$F8,"")</f>
        <v/>
      </c>
      <c r="K8" s="11">
        <f>IF($E8=14,$C8*$D8*$F8,"")</f>
        <v/>
      </c>
      <c r="L8" s="11">
        <f>IF($E8=16,$C8*$D8*$F8,"")</f>
        <v/>
      </c>
      <c r="M8" s="11">
        <f>IF($E8=20,$C8*$D8*$F8,"")</f>
        <v/>
      </c>
      <c r="N8" s="11">
        <f>IF($E8=25,$C8*$D8*$F8,"")</f>
        <v/>
      </c>
      <c r="O8" s="11">
        <f>IF($E8=32,$C8*$D8*$F8,"")</f>
        <v/>
      </c>
    </row>
    <row r="9">
      <c r="A9" s="8" t="inlineStr">
        <is>
          <t>Semelle S3</t>
        </is>
      </c>
      <c r="B9" s="8" t="inlineStr">
        <is>
          <t>Lit INF X &amp; Y</t>
        </is>
      </c>
      <c r="C9" s="17" t="n">
        <v>1</v>
      </c>
      <c r="D9" s="17" t="n">
        <v>16</v>
      </c>
      <c r="E9" s="17" t="n">
        <v>12</v>
      </c>
      <c r="F9" s="10" t="n">
        <v>1.558</v>
      </c>
      <c r="G9" s="11">
        <f>IF($E9=6,$C9*$D9*$F9,"")</f>
        <v/>
      </c>
      <c r="H9" s="11">
        <f>IF($E9=8,$C9*$D9*$F9,"")</f>
        <v/>
      </c>
      <c r="I9" s="11">
        <f>IF($E9=10,$C9*$D9*$F9,"")</f>
        <v/>
      </c>
      <c r="J9" s="11">
        <f>IF($E9=12,$C9*$D9*$F9,"")</f>
        <v/>
      </c>
      <c r="K9" s="11">
        <f>IF($E9=14,$C9*$D9*$F9,"")</f>
        <v/>
      </c>
      <c r="L9" s="11">
        <f>IF($E9=16,$C9*$D9*$F9,"")</f>
        <v/>
      </c>
      <c r="M9" s="11">
        <f>IF($E9=20,$C9*$D9*$F9,"")</f>
        <v/>
      </c>
      <c r="N9" s="11">
        <f>IF($E9=25,$C9*$D9*$F9,"")</f>
        <v/>
      </c>
      <c r="O9" s="11">
        <f>IF($E9=32,$C9*$D9*$F9,"")</f>
        <v/>
      </c>
    </row>
    <row r="10">
      <c r="A10" s="8" t="inlineStr">
        <is>
          <t>Semelle S3</t>
        </is>
      </c>
      <c r="B10" s="8" t="inlineStr">
        <is>
          <t>Lit INF X &amp; Y</t>
        </is>
      </c>
      <c r="C10" s="17" t="n">
        <v>1</v>
      </c>
      <c r="D10" s="17" t="n">
        <v>16</v>
      </c>
      <c r="E10" s="17" t="n">
        <v>12</v>
      </c>
      <c r="F10" s="10" t="n">
        <v>1.558</v>
      </c>
      <c r="G10" s="11">
        <f>IF($E10=6,$C10*$D10*$F10,"")</f>
        <v/>
      </c>
      <c r="H10" s="11">
        <f>IF($E10=8,$C10*$D10*$F10,"")</f>
        <v/>
      </c>
      <c r="I10" s="11">
        <f>IF($E10=10,$C10*$D10*$F10,"")</f>
        <v/>
      </c>
      <c r="J10" s="11">
        <f>IF($E10=12,$C10*$D10*$F10,"")</f>
        <v/>
      </c>
      <c r="K10" s="11">
        <f>IF($E10=14,$C10*$D10*$F10,"")</f>
        <v/>
      </c>
      <c r="L10" s="11">
        <f>IF($E10=16,$C10*$D10*$F10,"")</f>
        <v/>
      </c>
      <c r="M10" s="11">
        <f>IF($E10=20,$C10*$D10*$F10,"")</f>
        <v/>
      </c>
      <c r="N10" s="11">
        <f>IF($E10=25,$C10*$D10*$F10,"")</f>
        <v/>
      </c>
      <c r="O10" s="11">
        <f>IF($E10=32,$C10*$D10*$F10,"")</f>
        <v/>
      </c>
    </row>
    <row r="11">
      <c r="A11" s="8" t="inlineStr">
        <is>
          <t>Semelle S4</t>
        </is>
      </c>
      <c r="B11" s="8" t="inlineStr">
        <is>
          <t>Lit INF X &amp; Y</t>
        </is>
      </c>
      <c r="C11" s="17" t="n">
        <v>1</v>
      </c>
      <c r="D11" s="17" t="n">
        <v>22</v>
      </c>
      <c r="E11" s="17" t="n">
        <v>12</v>
      </c>
      <c r="F11" s="10" t="n">
        <v>1.858</v>
      </c>
      <c r="G11" s="11">
        <f>IF($E11=6,$C11*$D11*$F11,"")</f>
        <v/>
      </c>
      <c r="H11" s="11">
        <f>IF($E11=8,$C11*$D11*$F11,"")</f>
        <v/>
      </c>
      <c r="I11" s="11">
        <f>IF($E11=10,$C11*$D11*$F11,"")</f>
        <v/>
      </c>
      <c r="J11" s="11">
        <f>IF($E11=12,$C11*$D11*$F11,"")</f>
        <v/>
      </c>
      <c r="K11" s="11">
        <f>IF($E11=14,$C11*$D11*$F11,"")</f>
        <v/>
      </c>
      <c r="L11" s="11">
        <f>IF($E11=16,$C11*$D11*$F11,"")</f>
        <v/>
      </c>
      <c r="M11" s="11">
        <f>IF($E11=20,$C11*$D11*$F11,"")</f>
        <v/>
      </c>
      <c r="N11" s="11">
        <f>IF($E11=25,$C11*$D11*$F11,"")</f>
        <v/>
      </c>
      <c r="O11" s="11">
        <f>IF($E11=32,$C11*$D11*$F11,"")</f>
        <v/>
      </c>
    </row>
    <row r="12">
      <c r="A12" s="8" t="inlineStr">
        <is>
          <t>Semelle S3</t>
        </is>
      </c>
      <c r="B12" s="8" t="inlineStr">
        <is>
          <t>Lit INF X &amp; Y</t>
        </is>
      </c>
      <c r="C12" s="17" t="n">
        <v>1</v>
      </c>
      <c r="D12" s="17" t="n">
        <v>16</v>
      </c>
      <c r="E12" s="17" t="n">
        <v>12</v>
      </c>
      <c r="F12" s="10" t="n">
        <v>1.558</v>
      </c>
      <c r="G12" s="11">
        <f>IF($E12=6,$C12*$D12*$F12,"")</f>
        <v/>
      </c>
      <c r="H12" s="11">
        <f>IF($E12=8,$C12*$D12*$F12,"")</f>
        <v/>
      </c>
      <c r="I12" s="11">
        <f>IF($E12=10,$C12*$D12*$F12,"")</f>
        <v/>
      </c>
      <c r="J12" s="11">
        <f>IF($E12=12,$C12*$D12*$F12,"")</f>
        <v/>
      </c>
      <c r="K12" s="11">
        <f>IF($E12=14,$C12*$D12*$F12,"")</f>
        <v/>
      </c>
      <c r="L12" s="11">
        <f>IF($E12=16,$C12*$D12*$F12,"")</f>
        <v/>
      </c>
      <c r="M12" s="11">
        <f>IF($E12=20,$C12*$D12*$F12,"")</f>
        <v/>
      </c>
      <c r="N12" s="11">
        <f>IF($E12=25,$C12*$D12*$F12,"")</f>
        <v/>
      </c>
      <c r="O12" s="11">
        <f>IF($E12=32,$C12*$D12*$F12,"")</f>
        <v/>
      </c>
    </row>
    <row r="13">
      <c r="A13" s="8" t="inlineStr">
        <is>
          <t>Semelle S3</t>
        </is>
      </c>
      <c r="B13" s="8" t="inlineStr">
        <is>
          <t>Lit INF X &amp; Y</t>
        </is>
      </c>
      <c r="C13" s="17" t="n">
        <v>1</v>
      </c>
      <c r="D13" s="17" t="n">
        <v>16</v>
      </c>
      <c r="E13" s="17" t="n">
        <v>12</v>
      </c>
      <c r="F13" s="10" t="n">
        <v>1.558</v>
      </c>
      <c r="G13" s="11">
        <f>IF($E13=6,$C13*$D13*$F13,"")</f>
        <v/>
      </c>
      <c r="H13" s="11">
        <f>IF($E13=8,$C13*$D13*$F13,"")</f>
        <v/>
      </c>
      <c r="I13" s="11">
        <f>IF($E13=10,$C13*$D13*$F13,"")</f>
        <v/>
      </c>
      <c r="J13" s="11">
        <f>IF($E13=12,$C13*$D13*$F13,"")</f>
        <v/>
      </c>
      <c r="K13" s="11">
        <f>IF($E13=14,$C13*$D13*$F13,"")</f>
        <v/>
      </c>
      <c r="L13" s="11">
        <f>IF($E13=16,$C13*$D13*$F13,"")</f>
        <v/>
      </c>
      <c r="M13" s="11">
        <f>IF($E13=20,$C13*$D13*$F13,"")</f>
        <v/>
      </c>
      <c r="N13" s="11">
        <f>IF($E13=25,$C13*$D13*$F13,"")</f>
        <v/>
      </c>
      <c r="O13" s="11">
        <f>IF($E13=32,$C13*$D13*$F13,"")</f>
        <v/>
      </c>
    </row>
    <row r="14">
      <c r="A14" s="8" t="inlineStr">
        <is>
          <t>Semelle S1</t>
        </is>
      </c>
      <c r="B14" s="8" t="inlineStr">
        <is>
          <t>Lit INF X &amp; Y</t>
        </is>
      </c>
      <c r="C14" s="17" t="n">
        <v>1</v>
      </c>
      <c r="D14" s="17" t="n">
        <v>12</v>
      </c>
      <c r="E14" s="17" t="n">
        <v>12</v>
      </c>
      <c r="F14" s="10" t="n">
        <v>1.358</v>
      </c>
      <c r="G14" s="11">
        <f>IF($E14=6,$C14*$D14*$F14,"")</f>
        <v/>
      </c>
      <c r="H14" s="11">
        <f>IF($E14=8,$C14*$D14*$F14,"")</f>
        <v/>
      </c>
      <c r="I14" s="11">
        <f>IF($E14=10,$C14*$D14*$F14,"")</f>
        <v/>
      </c>
      <c r="J14" s="11">
        <f>IF($E14=12,$C14*$D14*$F14,"")</f>
        <v/>
      </c>
      <c r="K14" s="11">
        <f>IF($E14=14,$C14*$D14*$F14,"")</f>
        <v/>
      </c>
      <c r="L14" s="11">
        <f>IF($E14=16,$C14*$D14*$F14,"")</f>
        <v/>
      </c>
      <c r="M14" s="11">
        <f>IF($E14=20,$C14*$D14*$F14,"")</f>
        <v/>
      </c>
      <c r="N14" s="11">
        <f>IF($E14=25,$C14*$D14*$F14,"")</f>
        <v/>
      </c>
      <c r="O14" s="11">
        <f>IF($E14=32,$C14*$D14*$F14,"")</f>
        <v/>
      </c>
    </row>
    <row r="15">
      <c r="A15" s="8" t="inlineStr">
        <is>
          <t>Semelle S1</t>
        </is>
      </c>
      <c r="B15" s="8" t="inlineStr">
        <is>
          <t>Lit INF X &amp; Y</t>
        </is>
      </c>
      <c r="C15" s="17" t="n">
        <v>1</v>
      </c>
      <c r="D15" s="17" t="n">
        <v>12</v>
      </c>
      <c r="E15" s="17" t="n">
        <v>12</v>
      </c>
      <c r="F15" s="10" t="n">
        <v>1.358</v>
      </c>
      <c r="G15" s="11">
        <f>IF($E15=6,$C15*$D15*$F15,"")</f>
        <v/>
      </c>
      <c r="H15" s="11">
        <f>IF($E15=8,$C15*$D15*$F15,"")</f>
        <v/>
      </c>
      <c r="I15" s="11">
        <f>IF($E15=10,$C15*$D15*$F15,"")</f>
        <v/>
      </c>
      <c r="J15" s="11">
        <f>IF($E15=12,$C15*$D15*$F15,"")</f>
        <v/>
      </c>
      <c r="K15" s="11">
        <f>IF($E15=14,$C15*$D15*$F15,"")</f>
        <v/>
      </c>
      <c r="L15" s="11">
        <f>IF($E15=16,$C15*$D15*$F15,"")</f>
        <v/>
      </c>
      <c r="M15" s="11">
        <f>IF($E15=20,$C15*$D15*$F15,"")</f>
        <v/>
      </c>
      <c r="N15" s="11">
        <f>IF($E15=25,$C15*$D15*$F15,"")</f>
        <v/>
      </c>
      <c r="O15" s="11">
        <f>IF($E15=32,$C15*$D15*$F15,"")</f>
        <v/>
      </c>
    </row>
    <row r="16">
      <c r="A16" s="8" t="inlineStr">
        <is>
          <t>Semelle S5</t>
        </is>
      </c>
      <c r="B16" s="8" t="inlineStr">
        <is>
          <t>Lit INF X &amp; Y</t>
        </is>
      </c>
      <c r="C16" s="17" t="n">
        <v>1</v>
      </c>
      <c r="D16" s="17" t="n">
        <v>0</v>
      </c>
      <c r="E16" s="17" t="n">
        <v>0</v>
      </c>
      <c r="F16" s="10" t="n">
        <v>0</v>
      </c>
      <c r="G16" s="11">
        <f>IF($E16=6,$C16*$D16*$F16,"")</f>
        <v/>
      </c>
      <c r="H16" s="11">
        <f>IF($E16=8,$C16*$D16*$F16,"")</f>
        <v/>
      </c>
      <c r="I16" s="11">
        <f>IF($E16=10,$C16*$D16*$F16,"")</f>
        <v/>
      </c>
      <c r="J16" s="11">
        <f>IF($E16=12,$C16*$D16*$F16,"")</f>
        <v/>
      </c>
      <c r="K16" s="11">
        <f>IF($E16=14,$C16*$D16*$F16,"")</f>
        <v/>
      </c>
      <c r="L16" s="11">
        <f>IF($E16=16,$C16*$D16*$F16,"")</f>
        <v/>
      </c>
      <c r="M16" s="11">
        <f>IF($E16=20,$C16*$D16*$F16,"")</f>
        <v/>
      </c>
      <c r="N16" s="11">
        <f>IF($E16=25,$C16*$D16*$F16,"")</f>
        <v/>
      </c>
      <c r="O16" s="11">
        <f>IF($E16=32,$C16*$D16*$F16,"")</f>
        <v/>
      </c>
    </row>
    <row r="17">
      <c r="A17" s="8" t="inlineStr">
        <is>
          <t>Semelle S5</t>
        </is>
      </c>
      <c r="B17" s="8" t="inlineStr">
        <is>
          <t>Lit INF X &amp; Y</t>
        </is>
      </c>
      <c r="C17" s="17" t="n">
        <v>1</v>
      </c>
      <c r="D17" s="17" t="n">
        <v>0</v>
      </c>
      <c r="E17" s="17" t="n">
        <v>0</v>
      </c>
      <c r="F17" s="10" t="n">
        <v>0</v>
      </c>
      <c r="G17" s="11">
        <f>IF($E17=6,$C17*$D17*$F17,"")</f>
        <v/>
      </c>
      <c r="H17" s="11">
        <f>IF($E17=8,$C17*$D17*$F17,"")</f>
        <v/>
      </c>
      <c r="I17" s="11">
        <f>IF($E17=10,$C17*$D17*$F17,"")</f>
        <v/>
      </c>
      <c r="J17" s="11">
        <f>IF($E17=12,$C17*$D17*$F17,"")</f>
        <v/>
      </c>
      <c r="K17" s="11">
        <f>IF($E17=14,$C17*$D17*$F17,"")</f>
        <v/>
      </c>
      <c r="L17" s="11">
        <f>IF($E17=16,$C17*$D17*$F17,"")</f>
        <v/>
      </c>
      <c r="M17" s="11">
        <f>IF($E17=20,$C17*$D17*$F17,"")</f>
        <v/>
      </c>
      <c r="N17" s="11">
        <f>IF($E17=25,$C17*$D17*$F17,"")</f>
        <v/>
      </c>
      <c r="O17" s="11">
        <f>IF($E17=32,$C17*$D17*$F17,"")</f>
        <v/>
      </c>
    </row>
    <row r="18">
      <c r="A18" s="8" t="inlineStr">
        <is>
          <t>Semelle S4</t>
        </is>
      </c>
      <c r="B18" s="8" t="inlineStr">
        <is>
          <t>Lit INF X &amp; Y</t>
        </is>
      </c>
      <c r="C18" s="17" t="n">
        <v>1</v>
      </c>
      <c r="D18" s="17" t="n">
        <v>22</v>
      </c>
      <c r="E18" s="17" t="n">
        <v>12</v>
      </c>
      <c r="F18" s="10" t="n">
        <v>1.858</v>
      </c>
      <c r="G18" s="11">
        <f>IF($E18=6,$C18*$D18*$F18,"")</f>
        <v/>
      </c>
      <c r="H18" s="11">
        <f>IF($E18=8,$C18*$D18*$F18,"")</f>
        <v/>
      </c>
      <c r="I18" s="11">
        <f>IF($E18=10,$C18*$D18*$F18,"")</f>
        <v/>
      </c>
      <c r="J18" s="11">
        <f>IF($E18=12,$C18*$D18*$F18,"")</f>
        <v/>
      </c>
      <c r="K18" s="11">
        <f>IF($E18=14,$C18*$D18*$F18,"")</f>
        <v/>
      </c>
      <c r="L18" s="11">
        <f>IF($E18=16,$C18*$D18*$F18,"")</f>
        <v/>
      </c>
      <c r="M18" s="11">
        <f>IF($E18=20,$C18*$D18*$F18,"")</f>
        <v/>
      </c>
      <c r="N18" s="11">
        <f>IF($E18=25,$C18*$D18*$F18,"")</f>
        <v/>
      </c>
      <c r="O18" s="11">
        <f>IF($E18=32,$C18*$D18*$F18,"")</f>
        <v/>
      </c>
    </row>
    <row r="19">
      <c r="A19" s="8" t="inlineStr">
        <is>
          <t>Semelle S4</t>
        </is>
      </c>
      <c r="B19" s="8" t="inlineStr">
        <is>
          <t>Lit INF X &amp; Y</t>
        </is>
      </c>
      <c r="C19" s="17" t="n">
        <v>1</v>
      </c>
      <c r="D19" s="17" t="n">
        <v>22</v>
      </c>
      <c r="E19" s="17" t="n">
        <v>12</v>
      </c>
      <c r="F19" s="10" t="n">
        <v>1.858</v>
      </c>
      <c r="G19" s="11">
        <f>IF($E19=6,$C19*$D19*$F19,"")</f>
        <v/>
      </c>
      <c r="H19" s="11">
        <f>IF($E19=8,$C19*$D19*$F19,"")</f>
        <v/>
      </c>
      <c r="I19" s="11">
        <f>IF($E19=10,$C19*$D19*$F19,"")</f>
        <v/>
      </c>
      <c r="J19" s="11">
        <f>IF($E19=12,$C19*$D19*$F19,"")</f>
        <v/>
      </c>
      <c r="K19" s="11">
        <f>IF($E19=14,$C19*$D19*$F19,"")</f>
        <v/>
      </c>
      <c r="L19" s="11">
        <f>IF($E19=16,$C19*$D19*$F19,"")</f>
        <v/>
      </c>
      <c r="M19" s="11">
        <f>IF($E19=20,$C19*$D19*$F19,"")</f>
        <v/>
      </c>
      <c r="N19" s="11">
        <f>IF($E19=25,$C19*$D19*$F19,"")</f>
        <v/>
      </c>
      <c r="O19" s="11">
        <f>IF($E19=32,$C19*$D19*$F19,"")</f>
        <v/>
      </c>
    </row>
    <row r="20">
      <c r="A20" s="8" t="inlineStr">
        <is>
          <t>Semelle S4</t>
        </is>
      </c>
      <c r="B20" s="8" t="inlineStr">
        <is>
          <t>Lit INF X &amp; Y</t>
        </is>
      </c>
      <c r="C20" s="17" t="n">
        <v>1</v>
      </c>
      <c r="D20" s="17" t="n">
        <v>22</v>
      </c>
      <c r="E20" s="17" t="n">
        <v>12</v>
      </c>
      <c r="F20" s="10" t="n">
        <v>1.858</v>
      </c>
      <c r="G20" s="11">
        <f>IF($E20=6,$C20*$D20*$F20,"")</f>
        <v/>
      </c>
      <c r="H20" s="11">
        <f>IF($E20=8,$C20*$D20*$F20,"")</f>
        <v/>
      </c>
      <c r="I20" s="11">
        <f>IF($E20=10,$C20*$D20*$F20,"")</f>
        <v/>
      </c>
      <c r="J20" s="11">
        <f>IF($E20=12,$C20*$D20*$F20,"")</f>
        <v/>
      </c>
      <c r="K20" s="11">
        <f>IF($E20=14,$C20*$D20*$F20,"")</f>
        <v/>
      </c>
      <c r="L20" s="11">
        <f>IF($E20=16,$C20*$D20*$F20,"")</f>
        <v/>
      </c>
      <c r="M20" s="11">
        <f>IF($E20=20,$C20*$D20*$F20,"")</f>
        <v/>
      </c>
      <c r="N20" s="11">
        <f>IF($E20=25,$C20*$D20*$F20,"")</f>
        <v/>
      </c>
      <c r="O20" s="11">
        <f>IF($E20=32,$C20*$D20*$F20,"")</f>
        <v/>
      </c>
    </row>
    <row r="21">
      <c r="A21" s="8" t="inlineStr">
        <is>
          <t>Semelle S4</t>
        </is>
      </c>
      <c r="B21" s="8" t="inlineStr">
        <is>
          <t>Lit INF X &amp; Y</t>
        </is>
      </c>
      <c r="C21" s="17" t="n">
        <v>1</v>
      </c>
      <c r="D21" s="17" t="n">
        <v>22</v>
      </c>
      <c r="E21" s="17" t="n">
        <v>12</v>
      </c>
      <c r="F21" s="10" t="n">
        <v>1.858</v>
      </c>
      <c r="G21" s="11">
        <f>IF($E21=6,$C21*$D21*$F21,"")</f>
        <v/>
      </c>
      <c r="H21" s="11">
        <f>IF($E21=8,$C21*$D21*$F21,"")</f>
        <v/>
      </c>
      <c r="I21" s="11">
        <f>IF($E21=10,$C21*$D21*$F21,"")</f>
        <v/>
      </c>
      <c r="J21" s="11">
        <f>IF($E21=12,$C21*$D21*$F21,"")</f>
        <v/>
      </c>
      <c r="K21" s="11">
        <f>IF($E21=14,$C21*$D21*$F21,"")</f>
        <v/>
      </c>
      <c r="L21" s="11">
        <f>IF($E21=16,$C21*$D21*$F21,"")</f>
        <v/>
      </c>
      <c r="M21" s="11">
        <f>IF($E21=20,$C21*$D21*$F21,"")</f>
        <v/>
      </c>
      <c r="N21" s="11">
        <f>IF($E21=25,$C21*$D21*$F21,"")</f>
        <v/>
      </c>
      <c r="O21" s="11">
        <f>IF($E21=32,$C21*$D21*$F21,"")</f>
        <v/>
      </c>
    </row>
    <row r="22">
      <c r="A22" s="8" t="inlineStr">
        <is>
          <t>Semelle S4</t>
        </is>
      </c>
      <c r="B22" s="8" t="inlineStr">
        <is>
          <t>Lit INF X &amp; Y</t>
        </is>
      </c>
      <c r="C22" s="17" t="n">
        <v>1</v>
      </c>
      <c r="D22" s="17" t="n">
        <v>22</v>
      </c>
      <c r="E22" s="17" t="n">
        <v>12</v>
      </c>
      <c r="F22" s="10" t="n">
        <v>1.858</v>
      </c>
      <c r="G22" s="11">
        <f>IF($E22=6,$C22*$D22*$F22,"")</f>
        <v/>
      </c>
      <c r="H22" s="11">
        <f>IF($E22=8,$C22*$D22*$F22,"")</f>
        <v/>
      </c>
      <c r="I22" s="11">
        <f>IF($E22=10,$C22*$D22*$F22,"")</f>
        <v/>
      </c>
      <c r="J22" s="11">
        <f>IF($E22=12,$C22*$D22*$F22,"")</f>
        <v/>
      </c>
      <c r="K22" s="11">
        <f>IF($E22=14,$C22*$D22*$F22,"")</f>
        <v/>
      </c>
      <c r="L22" s="11">
        <f>IF($E22=16,$C22*$D22*$F22,"")</f>
        <v/>
      </c>
      <c r="M22" s="11">
        <f>IF($E22=20,$C22*$D22*$F22,"")</f>
        <v/>
      </c>
      <c r="N22" s="11">
        <f>IF($E22=25,$C22*$D22*$F22,"")</f>
        <v/>
      </c>
      <c r="O22" s="11">
        <f>IF($E22=32,$C22*$D22*$F22,"")</f>
        <v/>
      </c>
    </row>
    <row r="23">
      <c r="A23" s="8" t="inlineStr">
        <is>
          <t>Semelle S4</t>
        </is>
      </c>
      <c r="B23" s="8" t="inlineStr">
        <is>
          <t>Lit INF X &amp; Y</t>
        </is>
      </c>
      <c r="C23" s="17" t="n">
        <v>1</v>
      </c>
      <c r="D23" s="17" t="n">
        <v>22</v>
      </c>
      <c r="E23" s="17" t="n">
        <v>12</v>
      </c>
      <c r="F23" s="10" t="n">
        <v>1.858</v>
      </c>
      <c r="G23" s="11">
        <f>IF($E23=6,$C23*$D23*$F23,"")</f>
        <v/>
      </c>
      <c r="H23" s="11">
        <f>IF($E23=8,$C23*$D23*$F23,"")</f>
        <v/>
      </c>
      <c r="I23" s="11">
        <f>IF($E23=10,$C23*$D23*$F23,"")</f>
        <v/>
      </c>
      <c r="J23" s="11">
        <f>IF($E23=12,$C23*$D23*$F23,"")</f>
        <v/>
      </c>
      <c r="K23" s="11">
        <f>IF($E23=14,$C23*$D23*$F23,"")</f>
        <v/>
      </c>
      <c r="L23" s="11">
        <f>IF($E23=16,$C23*$D23*$F23,"")</f>
        <v/>
      </c>
      <c r="M23" s="11">
        <f>IF($E23=20,$C23*$D23*$F23,"")</f>
        <v/>
      </c>
      <c r="N23" s="11">
        <f>IF($E23=25,$C23*$D23*$F23,"")</f>
        <v/>
      </c>
      <c r="O23" s="11">
        <f>IF($E23=32,$C23*$D23*$F23,"")</f>
        <v/>
      </c>
    </row>
    <row r="24">
      <c r="A24" s="8" t="inlineStr">
        <is>
          <t>Semelle S4</t>
        </is>
      </c>
      <c r="B24" s="8" t="inlineStr">
        <is>
          <t>Lit INF X &amp; Y</t>
        </is>
      </c>
      <c r="C24" s="17" t="n">
        <v>1</v>
      </c>
      <c r="D24" s="17" t="n">
        <v>22</v>
      </c>
      <c r="E24" s="17" t="n">
        <v>12</v>
      </c>
      <c r="F24" s="10" t="n">
        <v>1.858</v>
      </c>
      <c r="G24" s="11">
        <f>IF($E24=6,$C24*$D24*$F24,"")</f>
        <v/>
      </c>
      <c r="H24" s="11">
        <f>IF($E24=8,$C24*$D24*$F24,"")</f>
        <v/>
      </c>
      <c r="I24" s="11">
        <f>IF($E24=10,$C24*$D24*$F24,"")</f>
        <v/>
      </c>
      <c r="J24" s="11">
        <f>IF($E24=12,$C24*$D24*$F24,"")</f>
        <v/>
      </c>
      <c r="K24" s="11">
        <f>IF($E24=14,$C24*$D24*$F24,"")</f>
        <v/>
      </c>
      <c r="L24" s="11">
        <f>IF($E24=16,$C24*$D24*$F24,"")</f>
        <v/>
      </c>
      <c r="M24" s="11">
        <f>IF($E24=20,$C24*$D24*$F24,"")</f>
        <v/>
      </c>
      <c r="N24" s="11">
        <f>IF($E24=25,$C24*$D24*$F24,"")</f>
        <v/>
      </c>
      <c r="O24" s="11">
        <f>IF($E24=32,$C24*$D24*$F24,"")</f>
        <v/>
      </c>
    </row>
    <row r="25">
      <c r="A25" s="8" t="inlineStr">
        <is>
          <t>Semelle S4</t>
        </is>
      </c>
      <c r="B25" s="8" t="inlineStr">
        <is>
          <t>Lit INF X &amp; Y</t>
        </is>
      </c>
      <c r="C25" s="17" t="n">
        <v>1</v>
      </c>
      <c r="D25" s="17" t="n">
        <v>22</v>
      </c>
      <c r="E25" s="17" t="n">
        <v>12</v>
      </c>
      <c r="F25" s="10" t="n">
        <v>1.858</v>
      </c>
      <c r="G25" s="11">
        <f>IF($E25=6,$C25*$D25*$F25,"")</f>
        <v/>
      </c>
      <c r="H25" s="11">
        <f>IF($E25=8,$C25*$D25*$F25,"")</f>
        <v/>
      </c>
      <c r="I25" s="11">
        <f>IF($E25=10,$C25*$D25*$F25,"")</f>
        <v/>
      </c>
      <c r="J25" s="11">
        <f>IF($E25=12,$C25*$D25*$F25,"")</f>
        <v/>
      </c>
      <c r="K25" s="11">
        <f>IF($E25=14,$C25*$D25*$F25,"")</f>
        <v/>
      </c>
      <c r="L25" s="11">
        <f>IF($E25=16,$C25*$D25*$F25,"")</f>
        <v/>
      </c>
      <c r="M25" s="11">
        <f>IF($E25=20,$C25*$D25*$F25,"")</f>
        <v/>
      </c>
      <c r="N25" s="11">
        <f>IF($E25=25,$C25*$D25*$F25,"")</f>
        <v/>
      </c>
      <c r="O25" s="11">
        <f>IF($E25=32,$C25*$D25*$F25,"")</f>
        <v/>
      </c>
    </row>
    <row r="26">
      <c r="A26" s="8" t="inlineStr">
        <is>
          <t>Semelle S5</t>
        </is>
      </c>
      <c r="B26" s="8" t="inlineStr">
        <is>
          <t>Lit INF X &amp; Y</t>
        </is>
      </c>
      <c r="C26" s="17" t="n">
        <v>1</v>
      </c>
      <c r="D26" s="17" t="n">
        <v>0</v>
      </c>
      <c r="E26" s="17" t="n">
        <v>0</v>
      </c>
      <c r="F26" s="10" t="n">
        <v>0</v>
      </c>
      <c r="G26" s="11">
        <f>IF($E26=6,$C26*$D26*$F26,"")</f>
        <v/>
      </c>
      <c r="H26" s="11">
        <f>IF($E26=8,$C26*$D26*$F26,"")</f>
        <v/>
      </c>
      <c r="I26" s="11">
        <f>IF($E26=10,$C26*$D26*$F26,"")</f>
        <v/>
      </c>
      <c r="J26" s="11">
        <f>IF($E26=12,$C26*$D26*$F26,"")</f>
        <v/>
      </c>
      <c r="K26" s="11">
        <f>IF($E26=14,$C26*$D26*$F26,"")</f>
        <v/>
      </c>
      <c r="L26" s="11">
        <f>IF($E26=16,$C26*$D26*$F26,"")</f>
        <v/>
      </c>
      <c r="M26" s="11">
        <f>IF($E26=20,$C26*$D26*$F26,"")</f>
        <v/>
      </c>
      <c r="N26" s="11">
        <f>IF($E26=25,$C26*$D26*$F26,"")</f>
        <v/>
      </c>
      <c r="O26" s="11">
        <f>IF($E26=32,$C26*$D26*$F26,"")</f>
        <v/>
      </c>
    </row>
    <row r="27">
      <c r="A27" s="8" t="inlineStr">
        <is>
          <t>Poteau P1</t>
        </is>
      </c>
      <c r="B27" s="8" t="inlineStr">
        <is>
          <t>ARM LONG</t>
        </is>
      </c>
      <c r="C27" s="17" t="n">
        <v>1</v>
      </c>
      <c r="D27" s="17" t="n">
        <v>6</v>
      </c>
      <c r="E27" s="17" t="n">
        <v>14</v>
      </c>
      <c r="F27" s="10" t="n">
        <v>3.5</v>
      </c>
      <c r="G27" s="11">
        <f>IF($E27=6,$C27*$D27*$F27,"")</f>
        <v/>
      </c>
      <c r="H27" s="11">
        <f>IF($E27=8,$C27*$D27*$F27,"")</f>
        <v/>
      </c>
      <c r="I27" s="11">
        <f>IF($E27=10,$C27*$D27*$F27,"")</f>
        <v/>
      </c>
      <c r="J27" s="11">
        <f>IF($E27=12,$C27*$D27*$F27,"")</f>
        <v/>
      </c>
      <c r="K27" s="11">
        <f>IF($E27=14,$C27*$D27*$F27,"")</f>
        <v/>
      </c>
      <c r="L27" s="11">
        <f>IF($E27=16,$C27*$D27*$F27,"")</f>
        <v/>
      </c>
      <c r="M27" s="11">
        <f>IF($E27=20,$C27*$D27*$F27,"")</f>
        <v/>
      </c>
      <c r="N27" s="11">
        <f>IF($E27=25,$C27*$D27*$F27,"")</f>
        <v/>
      </c>
      <c r="O27" s="11">
        <f>IF($E27=32,$C27*$D27*$F27,"")</f>
        <v/>
      </c>
    </row>
    <row r="28">
      <c r="A28" s="8" t="inlineStr">
        <is>
          <t>Poteau P2</t>
        </is>
      </c>
      <c r="B28" s="8" t="inlineStr">
        <is>
          <t>ARM LONG</t>
        </is>
      </c>
      <c r="C28" s="17" t="n">
        <v>1</v>
      </c>
      <c r="D28" s="17" t="n">
        <v>6</v>
      </c>
      <c r="E28" s="17" t="n">
        <v>14</v>
      </c>
      <c r="F28" s="10" t="n">
        <v>3.5</v>
      </c>
      <c r="G28" s="11">
        <f>IF($E28=6,$C28*$D28*$F28,"")</f>
        <v/>
      </c>
      <c r="H28" s="11">
        <f>IF($E28=8,$C28*$D28*$F28,"")</f>
        <v/>
      </c>
      <c r="I28" s="11">
        <f>IF($E28=10,$C28*$D28*$F28,"")</f>
        <v/>
      </c>
      <c r="J28" s="11">
        <f>IF($E28=12,$C28*$D28*$F28,"")</f>
        <v/>
      </c>
      <c r="K28" s="11">
        <f>IF($E28=14,$C28*$D28*$F28,"")</f>
        <v/>
      </c>
      <c r="L28" s="11">
        <f>IF($E28=16,$C28*$D28*$F28,"")</f>
        <v/>
      </c>
      <c r="M28" s="11">
        <f>IF($E28=20,$C28*$D28*$F28,"")</f>
        <v/>
      </c>
      <c r="N28" s="11">
        <f>IF($E28=25,$C28*$D28*$F28,"")</f>
        <v/>
      </c>
      <c r="O28" s="11">
        <f>IF($E28=32,$C28*$D28*$F28,"")</f>
        <v/>
      </c>
    </row>
    <row r="29">
      <c r="A29" s="8" t="inlineStr">
        <is>
          <t>Poteau P3</t>
        </is>
      </c>
      <c r="B29" s="8" t="inlineStr">
        <is>
          <t>ARM LONG</t>
        </is>
      </c>
      <c r="C29" s="17" t="n">
        <v>1</v>
      </c>
      <c r="D29" s="17" t="n">
        <v>6</v>
      </c>
      <c r="E29" s="17" t="n">
        <v>14</v>
      </c>
      <c r="F29" s="10" t="n">
        <v>3.5</v>
      </c>
      <c r="G29" s="11">
        <f>IF($E29=6,$C29*$D29*$F29,"")</f>
        <v/>
      </c>
      <c r="H29" s="11">
        <f>IF($E29=8,$C29*$D29*$F29,"")</f>
        <v/>
      </c>
      <c r="I29" s="11">
        <f>IF($E29=10,$C29*$D29*$F29,"")</f>
        <v/>
      </c>
      <c r="J29" s="11">
        <f>IF($E29=12,$C29*$D29*$F29,"")</f>
        <v/>
      </c>
      <c r="K29" s="11">
        <f>IF($E29=14,$C29*$D29*$F29,"")</f>
        <v/>
      </c>
      <c r="L29" s="11">
        <f>IF($E29=16,$C29*$D29*$F29,"")</f>
        <v/>
      </c>
      <c r="M29" s="11">
        <f>IF($E29=20,$C29*$D29*$F29,"")</f>
        <v/>
      </c>
      <c r="N29" s="11">
        <f>IF($E29=25,$C29*$D29*$F29,"")</f>
        <v/>
      </c>
      <c r="O29" s="11">
        <f>IF($E29=32,$C29*$D29*$F29,"")</f>
        <v/>
      </c>
    </row>
    <row r="30">
      <c r="A30" s="8" t="inlineStr">
        <is>
          <t>Poteau P4</t>
        </is>
      </c>
      <c r="B30" s="8" t="inlineStr">
        <is>
          <t>ARM LONG</t>
        </is>
      </c>
      <c r="C30" s="17" t="n">
        <v>1</v>
      </c>
      <c r="D30" s="17" t="n">
        <v>6</v>
      </c>
      <c r="E30" s="17" t="n">
        <v>14</v>
      </c>
      <c r="F30" s="10" t="n">
        <v>3.5</v>
      </c>
      <c r="G30" s="11">
        <f>IF($E30=6,$C30*$D30*$F30,"")</f>
        <v/>
      </c>
      <c r="H30" s="11">
        <f>IF($E30=8,$C30*$D30*$F30,"")</f>
        <v/>
      </c>
      <c r="I30" s="11">
        <f>IF($E30=10,$C30*$D30*$F30,"")</f>
        <v/>
      </c>
      <c r="J30" s="11">
        <f>IF($E30=12,$C30*$D30*$F30,"")</f>
        <v/>
      </c>
      <c r="K30" s="11">
        <f>IF($E30=14,$C30*$D30*$F30,"")</f>
        <v/>
      </c>
      <c r="L30" s="11">
        <f>IF($E30=16,$C30*$D30*$F30,"")</f>
        <v/>
      </c>
      <c r="M30" s="11">
        <f>IF($E30=20,$C30*$D30*$F30,"")</f>
        <v/>
      </c>
      <c r="N30" s="11">
        <f>IF($E30=25,$C30*$D30*$F30,"")</f>
        <v/>
      </c>
      <c r="O30" s="11">
        <f>IF($E30=32,$C30*$D30*$F30,"")</f>
        <v/>
      </c>
    </row>
    <row r="31">
      <c r="A31" s="8" t="inlineStr">
        <is>
          <t>Poutre BN1</t>
        </is>
      </c>
      <c r="B31" s="8" t="inlineStr">
        <is>
          <t>Filants</t>
        </is>
      </c>
      <c r="C31" s="17" t="n">
        <v>1</v>
      </c>
      <c r="D31" s="17" t="n">
        <v>2</v>
      </c>
      <c r="E31" s="17" t="n">
        <v>12</v>
      </c>
      <c r="F31" s="10" t="inlineStr"/>
      <c r="G31" s="11">
        <f>IF($E31=6,$C31*$D31*$F31,"")</f>
        <v/>
      </c>
      <c r="H31" s="11">
        <f>IF($E31=8,$C31*$D31*$F31,"")</f>
        <v/>
      </c>
      <c r="I31" s="11">
        <f>IF($E31=10,$C31*$D31*$F31,"")</f>
        <v/>
      </c>
      <c r="J31" s="11">
        <f>IF($E31=12,$C31*$D31*$F31,"")</f>
        <v/>
      </c>
      <c r="K31" s="11">
        <f>IF($E31=14,$C31*$D31*$F31,"")</f>
        <v/>
      </c>
      <c r="L31" s="11">
        <f>IF($E31=16,$C31*$D31*$F31,"")</f>
        <v/>
      </c>
      <c r="M31" s="11">
        <f>IF($E31=20,$C31*$D31*$F31,"")</f>
        <v/>
      </c>
      <c r="N31" s="11">
        <f>IF($E31=25,$C31*$D31*$F31,"")</f>
        <v/>
      </c>
      <c r="O31" s="11">
        <f>IF($E31=32,$C31*$D31*$F31,"")</f>
        <v/>
      </c>
    </row>
    <row r="32">
      <c r="A32" s="8" t="inlineStr">
        <is>
          <t>Poutre BN1</t>
        </is>
      </c>
      <c r="B32" s="8" t="inlineStr">
        <is>
          <t>Filants</t>
        </is>
      </c>
      <c r="C32" s="17" t="n">
        <v>1</v>
      </c>
      <c r="D32" s="17" t="n">
        <v>4</v>
      </c>
      <c r="E32" s="17" t="n">
        <v>14</v>
      </c>
      <c r="F32" s="10" t="inlineStr"/>
      <c r="G32" s="11">
        <f>IF($E32=6,$C32*$D32*$F32,"")</f>
        <v/>
      </c>
      <c r="H32" s="11">
        <f>IF($E32=8,$C32*$D32*$F32,"")</f>
        <v/>
      </c>
      <c r="I32" s="11">
        <f>IF($E32=10,$C32*$D32*$F32,"")</f>
        <v/>
      </c>
      <c r="J32" s="11">
        <f>IF($E32=12,$C32*$D32*$F32,"")</f>
        <v/>
      </c>
      <c r="K32" s="11">
        <f>IF($E32=14,$C32*$D32*$F32,"")</f>
        <v/>
      </c>
      <c r="L32" s="11">
        <f>IF($E32=16,$C32*$D32*$F32,"")</f>
        <v/>
      </c>
      <c r="M32" s="11">
        <f>IF($E32=20,$C32*$D32*$F32,"")</f>
        <v/>
      </c>
      <c r="N32" s="11">
        <f>IF($E32=25,$C32*$D32*$F32,"")</f>
        <v/>
      </c>
      <c r="O32" s="11">
        <f>IF($E32=32,$C32*$D32*$F32,"")</f>
        <v/>
      </c>
    </row>
    <row r="33">
      <c r="A33" s="8" t="inlineStr">
        <is>
          <t>Poutre BN1</t>
        </is>
      </c>
      <c r="B33" s="8" t="inlineStr">
        <is>
          <t>Filants</t>
        </is>
      </c>
      <c r="C33" s="17" t="n">
        <v>1</v>
      </c>
      <c r="D33" s="17" t="n">
        <v>4</v>
      </c>
      <c r="E33" s="17" t="n">
        <v>16</v>
      </c>
      <c r="F33" s="10" t="inlineStr"/>
      <c r="G33" s="11">
        <f>IF($E33=6,$C33*$D33*$F33,"")</f>
        <v/>
      </c>
      <c r="H33" s="11">
        <f>IF($E33=8,$C33*$D33*$F33,"")</f>
        <v/>
      </c>
      <c r="I33" s="11">
        <f>IF($E33=10,$C33*$D33*$F33,"")</f>
        <v/>
      </c>
      <c r="J33" s="11">
        <f>IF($E33=12,$C33*$D33*$F33,"")</f>
        <v/>
      </c>
      <c r="K33" s="11">
        <f>IF($E33=14,$C33*$D33*$F33,"")</f>
        <v/>
      </c>
      <c r="L33" s="11">
        <f>IF($E33=16,$C33*$D33*$F33,"")</f>
        <v/>
      </c>
      <c r="M33" s="11">
        <f>IF($E33=20,$C33*$D33*$F33,"")</f>
        <v/>
      </c>
      <c r="N33" s="11">
        <f>IF($E33=25,$C33*$D33*$F33,"")</f>
        <v/>
      </c>
      <c r="O33" s="11">
        <f>IF($E33=32,$C33*$D33*$F33,"")</f>
        <v/>
      </c>
    </row>
    <row r="34">
      <c r="A34" s="8" t="inlineStr">
        <is>
          <t>Poutre BN1</t>
        </is>
      </c>
      <c r="B34" s="8" t="inlineStr">
        <is>
          <t>Filants</t>
        </is>
      </c>
      <c r="C34" s="17" t="n">
        <v>1</v>
      </c>
      <c r="D34" s="17" t="n">
        <v>4</v>
      </c>
      <c r="E34" s="17" t="n">
        <v>12</v>
      </c>
      <c r="F34" s="10" t="inlineStr"/>
      <c r="G34" s="11">
        <f>IF($E34=6,$C34*$D34*$F34,"")</f>
        <v/>
      </c>
      <c r="H34" s="11">
        <f>IF($E34=8,$C34*$D34*$F34,"")</f>
        <v/>
      </c>
      <c r="I34" s="11">
        <f>IF($E34=10,$C34*$D34*$F34,"")</f>
        <v/>
      </c>
      <c r="J34" s="11">
        <f>IF($E34=12,$C34*$D34*$F34,"")</f>
        <v/>
      </c>
      <c r="K34" s="11">
        <f>IF($E34=14,$C34*$D34*$F34,"")</f>
        <v/>
      </c>
      <c r="L34" s="11">
        <f>IF($E34=16,$C34*$D34*$F34,"")</f>
        <v/>
      </c>
      <c r="M34" s="11">
        <f>IF($E34=20,$C34*$D34*$F34,"")</f>
        <v/>
      </c>
      <c r="N34" s="11">
        <f>IF($E34=25,$C34*$D34*$F34,"")</f>
        <v/>
      </c>
      <c r="O34" s="11">
        <f>IF($E34=32,$C34*$D34*$F34,"")</f>
        <v/>
      </c>
    </row>
    <row r="35">
      <c r="A35" s="8" t="inlineStr">
        <is>
          <t>Poutre BN1</t>
        </is>
      </c>
      <c r="B35" s="8" t="inlineStr">
        <is>
          <t>Filants</t>
        </is>
      </c>
      <c r="C35" s="17" t="n">
        <v>1</v>
      </c>
      <c r="D35" s="17" t="n">
        <v>4</v>
      </c>
      <c r="E35" s="17" t="n">
        <v>14</v>
      </c>
      <c r="F35" s="10" t="inlineStr"/>
      <c r="G35" s="11">
        <f>IF($E35=6,$C35*$D35*$F35,"")</f>
        <v/>
      </c>
      <c r="H35" s="11">
        <f>IF($E35=8,$C35*$D35*$F35,"")</f>
        <v/>
      </c>
      <c r="I35" s="11">
        <f>IF($E35=10,$C35*$D35*$F35,"")</f>
        <v/>
      </c>
      <c r="J35" s="11">
        <f>IF($E35=12,$C35*$D35*$F35,"")</f>
        <v/>
      </c>
      <c r="K35" s="11">
        <f>IF($E35=14,$C35*$D35*$F35,"")</f>
        <v/>
      </c>
      <c r="L35" s="11">
        <f>IF($E35=16,$C35*$D35*$F35,"")</f>
        <v/>
      </c>
      <c r="M35" s="11">
        <f>IF($E35=20,$C35*$D35*$F35,"")</f>
        <v/>
      </c>
      <c r="N35" s="11">
        <f>IF($E35=25,$C35*$D35*$F35,"")</f>
        <v/>
      </c>
      <c r="O35" s="11">
        <f>IF($E35=32,$C35*$D35*$F35,"")</f>
        <v/>
      </c>
    </row>
    <row r="36">
      <c r="A36" s="8" t="inlineStr">
        <is>
          <t>Poutre BN1</t>
        </is>
      </c>
      <c r="B36" s="8" t="inlineStr">
        <is>
          <t>Filants</t>
        </is>
      </c>
      <c r="C36" s="17" t="n">
        <v>1</v>
      </c>
      <c r="D36" s="17" t="n">
        <v>2</v>
      </c>
      <c r="E36" s="17" t="n">
        <v>12</v>
      </c>
      <c r="F36" s="10" t="inlineStr"/>
      <c r="G36" s="11">
        <f>IF($E36=6,$C36*$D36*$F36,"")</f>
        <v/>
      </c>
      <c r="H36" s="11">
        <f>IF($E36=8,$C36*$D36*$F36,"")</f>
        <v/>
      </c>
      <c r="I36" s="11">
        <f>IF($E36=10,$C36*$D36*$F36,"")</f>
        <v/>
      </c>
      <c r="J36" s="11">
        <f>IF($E36=12,$C36*$D36*$F36,"")</f>
        <v/>
      </c>
      <c r="K36" s="11">
        <f>IF($E36=14,$C36*$D36*$F36,"")</f>
        <v/>
      </c>
      <c r="L36" s="11">
        <f>IF($E36=16,$C36*$D36*$F36,"")</f>
        <v/>
      </c>
      <c r="M36" s="11">
        <f>IF($E36=20,$C36*$D36*$F36,"")</f>
        <v/>
      </c>
      <c r="N36" s="11">
        <f>IF($E36=25,$C36*$D36*$F36,"")</f>
        <v/>
      </c>
      <c r="O36" s="11">
        <f>IF($E36=32,$C36*$D36*$F36,"")</f>
        <v/>
      </c>
    </row>
    <row r="37">
      <c r="A37" s="8" t="inlineStr">
        <is>
          <t>Poutre BN1</t>
        </is>
      </c>
      <c r="B37" s="8" t="inlineStr">
        <is>
          <t>Filants</t>
        </is>
      </c>
      <c r="C37" s="17" t="n">
        <v>1</v>
      </c>
      <c r="D37" s="17" t="n">
        <v>2</v>
      </c>
      <c r="E37" s="17" t="n">
        <v>16</v>
      </c>
      <c r="F37" s="10" t="inlineStr"/>
      <c r="G37" s="11">
        <f>IF($E37=6,$C37*$D37*$F37,"")</f>
        <v/>
      </c>
      <c r="H37" s="11">
        <f>IF($E37=8,$C37*$D37*$F37,"")</f>
        <v/>
      </c>
      <c r="I37" s="11">
        <f>IF($E37=10,$C37*$D37*$F37,"")</f>
        <v/>
      </c>
      <c r="J37" s="11">
        <f>IF($E37=12,$C37*$D37*$F37,"")</f>
        <v/>
      </c>
      <c r="K37" s="11">
        <f>IF($E37=14,$C37*$D37*$F37,"")</f>
        <v/>
      </c>
      <c r="L37" s="11">
        <f>IF($E37=16,$C37*$D37*$F37,"")</f>
        <v/>
      </c>
      <c r="M37" s="11">
        <f>IF($E37=20,$C37*$D37*$F37,"")</f>
        <v/>
      </c>
      <c r="N37" s="11">
        <f>IF($E37=25,$C37*$D37*$F37,"")</f>
        <v/>
      </c>
      <c r="O37" s="11">
        <f>IF($E37=32,$C37*$D37*$F37,"")</f>
        <v/>
      </c>
    </row>
    <row r="38">
      <c r="A38" s="8" t="inlineStr">
        <is>
          <t>Poutre N1</t>
        </is>
      </c>
      <c r="B38" s="8" t="inlineStr">
        <is>
          <t>Filants</t>
        </is>
      </c>
      <c r="C38" s="17" t="n">
        <v>1</v>
      </c>
      <c r="D38" s="17" t="n">
        <v>2</v>
      </c>
      <c r="E38" s="17" t="n">
        <v>10</v>
      </c>
      <c r="F38" s="10" t="inlineStr"/>
      <c r="G38" s="11">
        <f>IF($E38=6,$C38*$D38*$F38,"")</f>
        <v/>
      </c>
      <c r="H38" s="11">
        <f>IF($E38=8,$C38*$D38*$F38,"")</f>
        <v/>
      </c>
      <c r="I38" s="11">
        <f>IF($E38=10,$C38*$D38*$F38,"")</f>
        <v/>
      </c>
      <c r="J38" s="11">
        <f>IF($E38=12,$C38*$D38*$F38,"")</f>
        <v/>
      </c>
      <c r="K38" s="11">
        <f>IF($E38=14,$C38*$D38*$F38,"")</f>
        <v/>
      </c>
      <c r="L38" s="11">
        <f>IF($E38=16,$C38*$D38*$F38,"")</f>
        <v/>
      </c>
      <c r="M38" s="11">
        <f>IF($E38=20,$C38*$D38*$F38,"")</f>
        <v/>
      </c>
      <c r="N38" s="11">
        <f>IF($E38=25,$C38*$D38*$F38,"")</f>
        <v/>
      </c>
      <c r="O38" s="11">
        <f>IF($E38=32,$C38*$D38*$F38,"")</f>
        <v/>
      </c>
    </row>
    <row r="39">
      <c r="A39" s="8" t="inlineStr">
        <is>
          <t>Poutre N1</t>
        </is>
      </c>
      <c r="B39" s="8" t="inlineStr">
        <is>
          <t>Filants</t>
        </is>
      </c>
      <c r="C39" s="17" t="n">
        <v>1</v>
      </c>
      <c r="D39" s="17" t="n">
        <v>2</v>
      </c>
      <c r="E39" s="17" t="n">
        <v>12</v>
      </c>
      <c r="F39" s="10" t="inlineStr"/>
      <c r="G39" s="11">
        <f>IF($E39=6,$C39*$D39*$F39,"")</f>
        <v/>
      </c>
      <c r="H39" s="11">
        <f>IF($E39=8,$C39*$D39*$F39,"")</f>
        <v/>
      </c>
      <c r="I39" s="11">
        <f>IF($E39=10,$C39*$D39*$F39,"")</f>
        <v/>
      </c>
      <c r="J39" s="11">
        <f>IF($E39=12,$C39*$D39*$F39,"")</f>
        <v/>
      </c>
      <c r="K39" s="11">
        <f>IF($E39=14,$C39*$D39*$F39,"")</f>
        <v/>
      </c>
      <c r="L39" s="11">
        <f>IF($E39=16,$C39*$D39*$F39,"")</f>
        <v/>
      </c>
      <c r="M39" s="11">
        <f>IF($E39=20,$C39*$D39*$F39,"")</f>
        <v/>
      </c>
      <c r="N39" s="11">
        <f>IF($E39=25,$C39*$D39*$F39,"")</f>
        <v/>
      </c>
      <c r="O39" s="11">
        <f>IF($E39=32,$C39*$D39*$F39,"")</f>
        <v/>
      </c>
    </row>
    <row r="40">
      <c r="A40" s="8" t="inlineStr">
        <is>
          <t>Poutre N1</t>
        </is>
      </c>
      <c r="B40" s="8" t="inlineStr">
        <is>
          <t>Filants</t>
        </is>
      </c>
      <c r="C40" s="17" t="n">
        <v>1</v>
      </c>
      <c r="D40" s="17" t="n">
        <v>2</v>
      </c>
      <c r="E40" s="17" t="n">
        <v>12</v>
      </c>
      <c r="F40" s="10" t="inlineStr"/>
      <c r="G40" s="11">
        <f>IF($E40=6,$C40*$D40*$F40,"")</f>
        <v/>
      </c>
      <c r="H40" s="11">
        <f>IF($E40=8,$C40*$D40*$F40,"")</f>
        <v/>
      </c>
      <c r="I40" s="11">
        <f>IF($E40=10,$C40*$D40*$F40,"")</f>
        <v/>
      </c>
      <c r="J40" s="11">
        <f>IF($E40=12,$C40*$D40*$F40,"")</f>
        <v/>
      </c>
      <c r="K40" s="11">
        <f>IF($E40=14,$C40*$D40*$F40,"")</f>
        <v/>
      </c>
      <c r="L40" s="11">
        <f>IF($E40=16,$C40*$D40*$F40,"")</f>
        <v/>
      </c>
      <c r="M40" s="11">
        <f>IF($E40=20,$C40*$D40*$F40,"")</f>
        <v/>
      </c>
      <c r="N40" s="11">
        <f>IF($E40=25,$C40*$D40*$F40,"")</f>
        <v/>
      </c>
      <c r="O40" s="11">
        <f>IF($E40=32,$C40*$D40*$F40,"")</f>
        <v/>
      </c>
    </row>
    <row r="41">
      <c r="A41" s="8" t="inlineStr">
        <is>
          <t>Poutre N2</t>
        </is>
      </c>
      <c r="B41" s="8" t="inlineStr">
        <is>
          <t>Filants</t>
        </is>
      </c>
      <c r="C41" s="17" t="n">
        <v>1</v>
      </c>
      <c r="D41" s="17" t="n">
        <v>2</v>
      </c>
      <c r="E41" s="17" t="n">
        <v>10</v>
      </c>
      <c r="F41" s="10" t="inlineStr"/>
      <c r="G41" s="11">
        <f>IF($E41=6,$C41*$D41*$F41,"")</f>
        <v/>
      </c>
      <c r="H41" s="11">
        <f>IF($E41=8,$C41*$D41*$F41,"")</f>
        <v/>
      </c>
      <c r="I41" s="11">
        <f>IF($E41=10,$C41*$D41*$F41,"")</f>
        <v/>
      </c>
      <c r="J41" s="11">
        <f>IF($E41=12,$C41*$D41*$F41,"")</f>
        <v/>
      </c>
      <c r="K41" s="11">
        <f>IF($E41=14,$C41*$D41*$F41,"")</f>
        <v/>
      </c>
      <c r="L41" s="11">
        <f>IF($E41=16,$C41*$D41*$F41,"")</f>
        <v/>
      </c>
      <c r="M41" s="11">
        <f>IF($E41=20,$C41*$D41*$F41,"")</f>
        <v/>
      </c>
      <c r="N41" s="11">
        <f>IF($E41=25,$C41*$D41*$F41,"")</f>
        <v/>
      </c>
      <c r="O41" s="11">
        <f>IF($E41=32,$C41*$D41*$F41,"")</f>
        <v/>
      </c>
    </row>
    <row r="42">
      <c r="A42" s="8" t="inlineStr">
        <is>
          <t>Poutre N2</t>
        </is>
      </c>
      <c r="B42" s="8" t="inlineStr">
        <is>
          <t>Filants</t>
        </is>
      </c>
      <c r="C42" s="17" t="n">
        <v>1</v>
      </c>
      <c r="D42" s="17" t="n">
        <v>2</v>
      </c>
      <c r="E42" s="17" t="n">
        <v>12</v>
      </c>
      <c r="F42" s="10" t="inlineStr"/>
      <c r="G42" s="11">
        <f>IF($E42=6,$C42*$D42*$F42,"")</f>
        <v/>
      </c>
      <c r="H42" s="11">
        <f>IF($E42=8,$C42*$D42*$F42,"")</f>
        <v/>
      </c>
      <c r="I42" s="11">
        <f>IF($E42=10,$C42*$D42*$F42,"")</f>
        <v/>
      </c>
      <c r="J42" s="11">
        <f>IF($E42=12,$C42*$D42*$F42,"")</f>
        <v/>
      </c>
      <c r="K42" s="11">
        <f>IF($E42=14,$C42*$D42*$F42,"")</f>
        <v/>
      </c>
      <c r="L42" s="11">
        <f>IF($E42=16,$C42*$D42*$F42,"")</f>
        <v/>
      </c>
      <c r="M42" s="11">
        <f>IF($E42=20,$C42*$D42*$F42,"")</f>
        <v/>
      </c>
      <c r="N42" s="11">
        <f>IF($E42=25,$C42*$D42*$F42,"")</f>
        <v/>
      </c>
      <c r="O42" s="11">
        <f>IF($E42=32,$C42*$D42*$F42,"")</f>
        <v/>
      </c>
    </row>
    <row r="43">
      <c r="A43" s="8" t="inlineStr">
        <is>
          <t>Poutre N3</t>
        </is>
      </c>
      <c r="B43" s="8" t="inlineStr">
        <is>
          <t>Filants</t>
        </is>
      </c>
      <c r="C43" s="17" t="n">
        <v>1</v>
      </c>
      <c r="D43" s="17" t="n">
        <v>2</v>
      </c>
      <c r="E43" s="17" t="n">
        <v>10</v>
      </c>
      <c r="F43" s="10" t="inlineStr"/>
      <c r="G43" s="11">
        <f>IF($E43=6,$C43*$D43*$F43,"")</f>
        <v/>
      </c>
      <c r="H43" s="11">
        <f>IF($E43=8,$C43*$D43*$F43,"")</f>
        <v/>
      </c>
      <c r="I43" s="11">
        <f>IF($E43=10,$C43*$D43*$F43,"")</f>
        <v/>
      </c>
      <c r="J43" s="11">
        <f>IF($E43=12,$C43*$D43*$F43,"")</f>
        <v/>
      </c>
      <c r="K43" s="11">
        <f>IF($E43=14,$C43*$D43*$F43,"")</f>
        <v/>
      </c>
      <c r="L43" s="11">
        <f>IF($E43=16,$C43*$D43*$F43,"")</f>
        <v/>
      </c>
      <c r="M43" s="11">
        <f>IF($E43=20,$C43*$D43*$F43,"")</f>
        <v/>
      </c>
      <c r="N43" s="11">
        <f>IF($E43=25,$C43*$D43*$F43,"")</f>
        <v/>
      </c>
      <c r="O43" s="11">
        <f>IF($E43=32,$C43*$D43*$F43,"")</f>
        <v/>
      </c>
    </row>
    <row r="44">
      <c r="A44" s="8" t="inlineStr">
        <is>
          <t>Poutre N3</t>
        </is>
      </c>
      <c r="B44" s="8" t="inlineStr">
        <is>
          <t>Filants</t>
        </is>
      </c>
      <c r="C44" s="17" t="n">
        <v>1</v>
      </c>
      <c r="D44" s="17" t="n">
        <v>3</v>
      </c>
      <c r="E44" s="17" t="n">
        <v>14</v>
      </c>
      <c r="F44" s="10" t="inlineStr"/>
      <c r="G44" s="11">
        <f>IF($E44=6,$C44*$D44*$F44,"")</f>
        <v/>
      </c>
      <c r="H44" s="11">
        <f>IF($E44=8,$C44*$D44*$F44,"")</f>
        <v/>
      </c>
      <c r="I44" s="11">
        <f>IF($E44=10,$C44*$D44*$F44,"")</f>
        <v/>
      </c>
      <c r="J44" s="11">
        <f>IF($E44=12,$C44*$D44*$F44,"")</f>
        <v/>
      </c>
      <c r="K44" s="11">
        <f>IF($E44=14,$C44*$D44*$F44,"")</f>
        <v/>
      </c>
      <c r="L44" s="11">
        <f>IF($E44=16,$C44*$D44*$F44,"")</f>
        <v/>
      </c>
      <c r="M44" s="11">
        <f>IF($E44=20,$C44*$D44*$F44,"")</f>
        <v/>
      </c>
      <c r="N44" s="11">
        <f>IF($E44=25,$C44*$D44*$F44,"")</f>
        <v/>
      </c>
      <c r="O44" s="11">
        <f>IF($E44=32,$C44*$D44*$F44,"")</f>
        <v/>
      </c>
    </row>
    <row r="45">
      <c r="A45" s="8" t="inlineStr">
        <is>
          <t>Poutre N3</t>
        </is>
      </c>
      <c r="B45" s="8" t="inlineStr">
        <is>
          <t>Filants</t>
        </is>
      </c>
      <c r="C45" s="17" t="n">
        <v>1</v>
      </c>
      <c r="D45" s="17" t="n">
        <v>4</v>
      </c>
      <c r="E45" s="17" t="n">
        <v>12</v>
      </c>
      <c r="F45" s="10" t="inlineStr"/>
      <c r="G45" s="11">
        <f>IF($E45=6,$C45*$D45*$F45,"")</f>
        <v/>
      </c>
      <c r="H45" s="11">
        <f>IF($E45=8,$C45*$D45*$F45,"")</f>
        <v/>
      </c>
      <c r="I45" s="11">
        <f>IF($E45=10,$C45*$D45*$F45,"")</f>
        <v/>
      </c>
      <c r="J45" s="11">
        <f>IF($E45=12,$C45*$D45*$F45,"")</f>
        <v/>
      </c>
      <c r="K45" s="11">
        <f>IF($E45=14,$C45*$D45*$F45,"")</f>
        <v/>
      </c>
      <c r="L45" s="11">
        <f>IF($E45=16,$C45*$D45*$F45,"")</f>
        <v/>
      </c>
      <c r="M45" s="11">
        <f>IF($E45=20,$C45*$D45*$F45,"")</f>
        <v/>
      </c>
      <c r="N45" s="11">
        <f>IF($E45=25,$C45*$D45*$F45,"")</f>
        <v/>
      </c>
      <c r="O45" s="11">
        <f>IF($E45=32,$C45*$D45*$F45,"")</f>
        <v/>
      </c>
    </row>
    <row r="46">
      <c r="A46" s="8" t="inlineStr">
        <is>
          <t>Poutre N4</t>
        </is>
      </c>
      <c r="B46" s="8" t="inlineStr">
        <is>
          <t>Filants</t>
        </is>
      </c>
      <c r="C46" s="17" t="n">
        <v>1</v>
      </c>
      <c r="D46" s="17" t="n">
        <v>2</v>
      </c>
      <c r="E46" s="17" t="n">
        <v>10</v>
      </c>
      <c r="F46" s="10" t="inlineStr"/>
      <c r="G46" s="11">
        <f>IF($E46=6,$C46*$D46*$F46,"")</f>
        <v/>
      </c>
      <c r="H46" s="11">
        <f>IF($E46=8,$C46*$D46*$F46,"")</f>
        <v/>
      </c>
      <c r="I46" s="11">
        <f>IF($E46=10,$C46*$D46*$F46,"")</f>
        <v/>
      </c>
      <c r="J46" s="11">
        <f>IF($E46=12,$C46*$D46*$F46,"")</f>
        <v/>
      </c>
      <c r="K46" s="11">
        <f>IF($E46=14,$C46*$D46*$F46,"")</f>
        <v/>
      </c>
      <c r="L46" s="11">
        <f>IF($E46=16,$C46*$D46*$F46,"")</f>
        <v/>
      </c>
      <c r="M46" s="11">
        <f>IF($E46=20,$C46*$D46*$F46,"")</f>
        <v/>
      </c>
      <c r="N46" s="11">
        <f>IF($E46=25,$C46*$D46*$F46,"")</f>
        <v/>
      </c>
      <c r="O46" s="11">
        <f>IF($E46=32,$C46*$D46*$F46,"")</f>
        <v/>
      </c>
    </row>
    <row r="47">
      <c r="A47" s="8" t="inlineStr">
        <is>
          <t>Poutre N4</t>
        </is>
      </c>
      <c r="B47" s="8" t="inlineStr">
        <is>
          <t>Filants</t>
        </is>
      </c>
      <c r="C47" s="17" t="n">
        <v>1</v>
      </c>
      <c r="D47" s="17" t="n">
        <v>3</v>
      </c>
      <c r="E47" s="17" t="n">
        <v>14</v>
      </c>
      <c r="F47" s="10" t="inlineStr"/>
      <c r="G47" s="11">
        <f>IF($E47=6,$C47*$D47*$F47,"")</f>
        <v/>
      </c>
      <c r="H47" s="11">
        <f>IF($E47=8,$C47*$D47*$F47,"")</f>
        <v/>
      </c>
      <c r="I47" s="11">
        <f>IF($E47=10,$C47*$D47*$F47,"")</f>
        <v/>
      </c>
      <c r="J47" s="11">
        <f>IF($E47=12,$C47*$D47*$F47,"")</f>
        <v/>
      </c>
      <c r="K47" s="11">
        <f>IF($E47=14,$C47*$D47*$F47,"")</f>
        <v/>
      </c>
      <c r="L47" s="11">
        <f>IF($E47=16,$C47*$D47*$F47,"")</f>
        <v/>
      </c>
      <c r="M47" s="11">
        <f>IF($E47=20,$C47*$D47*$F47,"")</f>
        <v/>
      </c>
      <c r="N47" s="11">
        <f>IF($E47=25,$C47*$D47*$F47,"")</f>
        <v/>
      </c>
      <c r="O47" s="11">
        <f>IF($E47=32,$C47*$D47*$F47,"")</f>
        <v/>
      </c>
    </row>
    <row r="48">
      <c r="A48" s="8" t="inlineStr">
        <is>
          <t>Poutre N4</t>
        </is>
      </c>
      <c r="B48" s="8" t="inlineStr">
        <is>
          <t>Filants</t>
        </is>
      </c>
      <c r="C48" s="17" t="n">
        <v>1</v>
      </c>
      <c r="D48" s="17" t="n">
        <v>2</v>
      </c>
      <c r="E48" s="17" t="n">
        <v>10</v>
      </c>
      <c r="F48" s="10" t="inlineStr"/>
      <c r="G48" s="11">
        <f>IF($E48=6,$C48*$D48*$F48,"")</f>
        <v/>
      </c>
      <c r="H48" s="11">
        <f>IF($E48=8,$C48*$D48*$F48,"")</f>
        <v/>
      </c>
      <c r="I48" s="11">
        <f>IF($E48=10,$C48*$D48*$F48,"")</f>
        <v/>
      </c>
      <c r="J48" s="11">
        <f>IF($E48=12,$C48*$D48*$F48,"")</f>
        <v/>
      </c>
      <c r="K48" s="11">
        <f>IF($E48=14,$C48*$D48*$F48,"")</f>
        <v/>
      </c>
      <c r="L48" s="11">
        <f>IF($E48=16,$C48*$D48*$F48,"")</f>
        <v/>
      </c>
      <c r="M48" s="11">
        <f>IF($E48=20,$C48*$D48*$F48,"")</f>
        <v/>
      </c>
      <c r="N48" s="11">
        <f>IF($E48=25,$C48*$D48*$F48,"")</f>
        <v/>
      </c>
      <c r="O48" s="11">
        <f>IF($E48=32,$C48*$D48*$F48,"")</f>
        <v/>
      </c>
    </row>
    <row r="49">
      <c r="A49" s="8" t="inlineStr">
        <is>
          <t>Poutre N4</t>
        </is>
      </c>
      <c r="B49" s="8" t="inlineStr">
        <is>
          <t>Filants</t>
        </is>
      </c>
      <c r="C49" s="17" t="n">
        <v>1</v>
      </c>
      <c r="D49" s="17" t="n">
        <v>4</v>
      </c>
      <c r="E49" s="17" t="n">
        <v>12</v>
      </c>
      <c r="F49" s="10" t="inlineStr"/>
      <c r="G49" s="11">
        <f>IF($E49=6,$C49*$D49*$F49,"")</f>
        <v/>
      </c>
      <c r="H49" s="11">
        <f>IF($E49=8,$C49*$D49*$F49,"")</f>
        <v/>
      </c>
      <c r="I49" s="11">
        <f>IF($E49=10,$C49*$D49*$F49,"")</f>
        <v/>
      </c>
      <c r="J49" s="11">
        <f>IF($E49=12,$C49*$D49*$F49,"")</f>
        <v/>
      </c>
      <c r="K49" s="11">
        <f>IF($E49=14,$C49*$D49*$F49,"")</f>
        <v/>
      </c>
      <c r="L49" s="11">
        <f>IF($E49=16,$C49*$D49*$F49,"")</f>
        <v/>
      </c>
      <c r="M49" s="11">
        <f>IF($E49=20,$C49*$D49*$F49,"")</f>
        <v/>
      </c>
      <c r="N49" s="11">
        <f>IF($E49=25,$C49*$D49*$F49,"")</f>
        <v/>
      </c>
      <c r="O49" s="11">
        <f>IF($E49=32,$C49*$D49*$F49,"")</f>
        <v/>
      </c>
    </row>
    <row r="50">
      <c r="A50" s="8" t="inlineStr">
        <is>
          <t>Poutre N5</t>
        </is>
      </c>
      <c r="B50" s="8" t="inlineStr">
        <is>
          <t>Filants</t>
        </is>
      </c>
      <c r="C50" s="17" t="n">
        <v>1</v>
      </c>
      <c r="D50" s="17" t="n">
        <v>2</v>
      </c>
      <c r="E50" s="17" t="n">
        <v>10</v>
      </c>
      <c r="F50" s="10" t="inlineStr"/>
      <c r="G50" s="11">
        <f>IF($E50=6,$C50*$D50*$F50,"")</f>
        <v/>
      </c>
      <c r="H50" s="11">
        <f>IF($E50=8,$C50*$D50*$F50,"")</f>
        <v/>
      </c>
      <c r="I50" s="11">
        <f>IF($E50=10,$C50*$D50*$F50,"")</f>
        <v/>
      </c>
      <c r="J50" s="11">
        <f>IF($E50=12,$C50*$D50*$F50,"")</f>
        <v/>
      </c>
      <c r="K50" s="11">
        <f>IF($E50=14,$C50*$D50*$F50,"")</f>
        <v/>
      </c>
      <c r="L50" s="11">
        <f>IF($E50=16,$C50*$D50*$F50,"")</f>
        <v/>
      </c>
      <c r="M50" s="11">
        <f>IF($E50=20,$C50*$D50*$F50,"")</f>
        <v/>
      </c>
      <c r="N50" s="11">
        <f>IF($E50=25,$C50*$D50*$F50,"")</f>
        <v/>
      </c>
      <c r="O50" s="11">
        <f>IF($E50=32,$C50*$D50*$F50,"")</f>
        <v/>
      </c>
    </row>
    <row r="51">
      <c r="A51" s="8" t="inlineStr">
        <is>
          <t>Poutre N5</t>
        </is>
      </c>
      <c r="B51" s="8" t="inlineStr">
        <is>
          <t>Filants</t>
        </is>
      </c>
      <c r="C51" s="17" t="n">
        <v>1</v>
      </c>
      <c r="D51" s="17" t="n">
        <v>3</v>
      </c>
      <c r="E51" s="17" t="n">
        <v>14</v>
      </c>
      <c r="F51" s="10" t="inlineStr"/>
      <c r="G51" s="11">
        <f>IF($E51=6,$C51*$D51*$F51,"")</f>
        <v/>
      </c>
      <c r="H51" s="11">
        <f>IF($E51=8,$C51*$D51*$F51,"")</f>
        <v/>
      </c>
      <c r="I51" s="11">
        <f>IF($E51=10,$C51*$D51*$F51,"")</f>
        <v/>
      </c>
      <c r="J51" s="11">
        <f>IF($E51=12,$C51*$D51*$F51,"")</f>
        <v/>
      </c>
      <c r="K51" s="11">
        <f>IF($E51=14,$C51*$D51*$F51,"")</f>
        <v/>
      </c>
      <c r="L51" s="11">
        <f>IF($E51=16,$C51*$D51*$F51,"")</f>
        <v/>
      </c>
      <c r="M51" s="11">
        <f>IF($E51=20,$C51*$D51*$F51,"")</f>
        <v/>
      </c>
      <c r="N51" s="11">
        <f>IF($E51=25,$C51*$D51*$F51,"")</f>
        <v/>
      </c>
      <c r="O51" s="11">
        <f>IF($E51=32,$C51*$D51*$F51,"")</f>
        <v/>
      </c>
    </row>
    <row r="52">
      <c r="A52" s="8" t="inlineStr">
        <is>
          <t>Poutre N5</t>
        </is>
      </c>
      <c r="B52" s="8" t="inlineStr">
        <is>
          <t>Filants</t>
        </is>
      </c>
      <c r="C52" s="17" t="n">
        <v>1</v>
      </c>
      <c r="D52" s="17" t="n">
        <v>2</v>
      </c>
      <c r="E52" s="17" t="n">
        <v>10</v>
      </c>
      <c r="F52" s="10" t="inlineStr"/>
      <c r="G52" s="11">
        <f>IF($E52=6,$C52*$D52*$F52,"")</f>
        <v/>
      </c>
      <c r="H52" s="11">
        <f>IF($E52=8,$C52*$D52*$F52,"")</f>
        <v/>
      </c>
      <c r="I52" s="11">
        <f>IF($E52=10,$C52*$D52*$F52,"")</f>
        <v/>
      </c>
      <c r="J52" s="11">
        <f>IF($E52=12,$C52*$D52*$F52,"")</f>
        <v/>
      </c>
      <c r="K52" s="11">
        <f>IF($E52=14,$C52*$D52*$F52,"")</f>
        <v/>
      </c>
      <c r="L52" s="11">
        <f>IF($E52=16,$C52*$D52*$F52,"")</f>
        <v/>
      </c>
      <c r="M52" s="11">
        <f>IF($E52=20,$C52*$D52*$F52,"")</f>
        <v/>
      </c>
      <c r="N52" s="11">
        <f>IF($E52=25,$C52*$D52*$F52,"")</f>
        <v/>
      </c>
      <c r="O52" s="11">
        <f>IF($E52=32,$C52*$D52*$F52,"")</f>
        <v/>
      </c>
    </row>
    <row r="53">
      <c r="A53" s="8" t="inlineStr">
        <is>
          <t>Poutre N5</t>
        </is>
      </c>
      <c r="B53" s="8" t="inlineStr">
        <is>
          <t>Filants</t>
        </is>
      </c>
      <c r="C53" s="17" t="n">
        <v>1</v>
      </c>
      <c r="D53" s="17" t="n">
        <v>4</v>
      </c>
      <c r="E53" s="17" t="n">
        <v>12</v>
      </c>
      <c r="F53" s="10" t="inlineStr"/>
      <c r="G53" s="11">
        <f>IF($E53=6,$C53*$D53*$F53,"")</f>
        <v/>
      </c>
      <c r="H53" s="11">
        <f>IF($E53=8,$C53*$D53*$F53,"")</f>
        <v/>
      </c>
      <c r="I53" s="11">
        <f>IF($E53=10,$C53*$D53*$F53,"")</f>
        <v/>
      </c>
      <c r="J53" s="11">
        <f>IF($E53=12,$C53*$D53*$F53,"")</f>
        <v/>
      </c>
      <c r="K53" s="11">
        <f>IF($E53=14,$C53*$D53*$F53,"")</f>
        <v/>
      </c>
      <c r="L53" s="11">
        <f>IF($E53=16,$C53*$D53*$F53,"")</f>
        <v/>
      </c>
      <c r="M53" s="11">
        <f>IF($E53=20,$C53*$D53*$F53,"")</f>
        <v/>
      </c>
      <c r="N53" s="11">
        <f>IF($E53=25,$C53*$D53*$F53,"")</f>
        <v/>
      </c>
      <c r="O53" s="11">
        <f>IF($E53=32,$C53*$D53*$F53,"")</f>
        <v/>
      </c>
    </row>
    <row r="54">
      <c r="A54" s="8" t="inlineStr">
        <is>
          <t>Poutre N6</t>
        </is>
      </c>
      <c r="B54" s="8" t="inlineStr">
        <is>
          <t>Filants</t>
        </is>
      </c>
      <c r="C54" s="17" t="n">
        <v>1</v>
      </c>
      <c r="D54" s="17" t="n">
        <v>4</v>
      </c>
      <c r="E54" s="17" t="n">
        <v>16</v>
      </c>
      <c r="F54" s="10" t="inlineStr"/>
      <c r="G54" s="11">
        <f>IF($E54=6,$C54*$D54*$F54,"")</f>
        <v/>
      </c>
      <c r="H54" s="11">
        <f>IF($E54=8,$C54*$D54*$F54,"")</f>
        <v/>
      </c>
      <c r="I54" s="11">
        <f>IF($E54=10,$C54*$D54*$F54,"")</f>
        <v/>
      </c>
      <c r="J54" s="11">
        <f>IF($E54=12,$C54*$D54*$F54,"")</f>
        <v/>
      </c>
      <c r="K54" s="11">
        <f>IF($E54=14,$C54*$D54*$F54,"")</f>
        <v/>
      </c>
      <c r="L54" s="11">
        <f>IF($E54=16,$C54*$D54*$F54,"")</f>
        <v/>
      </c>
      <c r="M54" s="11">
        <f>IF($E54=20,$C54*$D54*$F54,"")</f>
        <v/>
      </c>
      <c r="N54" s="11">
        <f>IF($E54=25,$C54*$D54*$F54,"")</f>
        <v/>
      </c>
      <c r="O54" s="11">
        <f>IF($E54=32,$C54*$D54*$F54,"")</f>
        <v/>
      </c>
    </row>
    <row r="55">
      <c r="A55" s="8" t="inlineStr">
        <is>
          <t>Poutre N6</t>
        </is>
      </c>
      <c r="B55" s="8" t="inlineStr">
        <is>
          <t>Filants</t>
        </is>
      </c>
      <c r="C55" s="17" t="n">
        <v>1</v>
      </c>
      <c r="D55" s="17" t="n">
        <v>2</v>
      </c>
      <c r="E55" s="17" t="n">
        <v>16</v>
      </c>
      <c r="F55" s="10" t="inlineStr"/>
      <c r="G55" s="11">
        <f>IF($E55=6,$C55*$D55*$F55,"")</f>
        <v/>
      </c>
      <c r="H55" s="11">
        <f>IF($E55=8,$C55*$D55*$F55,"")</f>
        <v/>
      </c>
      <c r="I55" s="11">
        <f>IF($E55=10,$C55*$D55*$F55,"")</f>
        <v/>
      </c>
      <c r="J55" s="11">
        <f>IF($E55=12,$C55*$D55*$F55,"")</f>
        <v/>
      </c>
      <c r="K55" s="11">
        <f>IF($E55=14,$C55*$D55*$F55,"")</f>
        <v/>
      </c>
      <c r="L55" s="11">
        <f>IF($E55=16,$C55*$D55*$F55,"")</f>
        <v/>
      </c>
      <c r="M55" s="11">
        <f>IF($E55=20,$C55*$D55*$F55,"")</f>
        <v/>
      </c>
      <c r="N55" s="11">
        <f>IF($E55=25,$C55*$D55*$F55,"")</f>
        <v/>
      </c>
      <c r="O55" s="11">
        <f>IF($E55=32,$C55*$D55*$F55,"")</f>
        <v/>
      </c>
    </row>
    <row r="56">
      <c r="A56" s="8" t="inlineStr">
        <is>
          <t>Poutre N6</t>
        </is>
      </c>
      <c r="B56" s="8" t="inlineStr">
        <is>
          <t>Filants</t>
        </is>
      </c>
      <c r="C56" s="17" t="n">
        <v>1</v>
      </c>
      <c r="D56" s="17" t="n">
        <v>2</v>
      </c>
      <c r="E56" s="17" t="n">
        <v>12</v>
      </c>
      <c r="F56" s="10" t="inlineStr"/>
      <c r="G56" s="11">
        <f>IF($E56=6,$C56*$D56*$F56,"")</f>
        <v/>
      </c>
      <c r="H56" s="11">
        <f>IF($E56=8,$C56*$D56*$F56,"")</f>
        <v/>
      </c>
      <c r="I56" s="11">
        <f>IF($E56=10,$C56*$D56*$F56,"")</f>
        <v/>
      </c>
      <c r="J56" s="11">
        <f>IF($E56=12,$C56*$D56*$F56,"")</f>
        <v/>
      </c>
      <c r="K56" s="11">
        <f>IF($E56=14,$C56*$D56*$F56,"")</f>
        <v/>
      </c>
      <c r="L56" s="11">
        <f>IF($E56=16,$C56*$D56*$F56,"")</f>
        <v/>
      </c>
      <c r="M56" s="11">
        <f>IF($E56=20,$C56*$D56*$F56,"")</f>
        <v/>
      </c>
      <c r="N56" s="11">
        <f>IF($E56=25,$C56*$D56*$F56,"")</f>
        <v/>
      </c>
      <c r="O56" s="11">
        <f>IF($E56=32,$C56*$D56*$F56,"")</f>
        <v/>
      </c>
    </row>
    <row r="57">
      <c r="A57" s="8" t="inlineStr">
        <is>
          <t>Poutre N7</t>
        </is>
      </c>
      <c r="B57" s="8" t="inlineStr">
        <is>
          <t>Filants</t>
        </is>
      </c>
      <c r="C57" s="17" t="n">
        <v>1</v>
      </c>
      <c r="D57" s="17" t="n">
        <v>2</v>
      </c>
      <c r="E57" s="17" t="n">
        <v>12</v>
      </c>
      <c r="F57" s="10" t="inlineStr"/>
      <c r="G57" s="11">
        <f>IF($E57=6,$C57*$D57*$F57,"")</f>
        <v/>
      </c>
      <c r="H57" s="11">
        <f>IF($E57=8,$C57*$D57*$F57,"")</f>
        <v/>
      </c>
      <c r="I57" s="11">
        <f>IF($E57=10,$C57*$D57*$F57,"")</f>
        <v/>
      </c>
      <c r="J57" s="11">
        <f>IF($E57=12,$C57*$D57*$F57,"")</f>
        <v/>
      </c>
      <c r="K57" s="11">
        <f>IF($E57=14,$C57*$D57*$F57,"")</f>
        <v/>
      </c>
      <c r="L57" s="11">
        <f>IF($E57=16,$C57*$D57*$F57,"")</f>
        <v/>
      </c>
      <c r="M57" s="11">
        <f>IF($E57=20,$C57*$D57*$F57,"")</f>
        <v/>
      </c>
      <c r="N57" s="11">
        <f>IF($E57=25,$C57*$D57*$F57,"")</f>
        <v/>
      </c>
      <c r="O57" s="11">
        <f>IF($E57=32,$C57*$D57*$F57,"")</f>
        <v/>
      </c>
    </row>
    <row r="58">
      <c r="A58" s="8" t="inlineStr">
        <is>
          <t>Poutre N7</t>
        </is>
      </c>
      <c r="B58" s="8" t="inlineStr">
        <is>
          <t>Filants</t>
        </is>
      </c>
      <c r="C58" s="17" t="n">
        <v>1</v>
      </c>
      <c r="D58" s="17" t="n">
        <v>4</v>
      </c>
      <c r="E58" s="17" t="n">
        <v>12</v>
      </c>
      <c r="F58" s="10" t="inlineStr"/>
      <c r="G58" s="11">
        <f>IF($E58=6,$C58*$D58*$F58,"")</f>
        <v/>
      </c>
      <c r="H58" s="11">
        <f>IF($E58=8,$C58*$D58*$F58,"")</f>
        <v/>
      </c>
      <c r="I58" s="11">
        <f>IF($E58=10,$C58*$D58*$F58,"")</f>
        <v/>
      </c>
      <c r="J58" s="11">
        <f>IF($E58=12,$C58*$D58*$F58,"")</f>
        <v/>
      </c>
      <c r="K58" s="11">
        <f>IF($E58=14,$C58*$D58*$F58,"")</f>
        <v/>
      </c>
      <c r="L58" s="11">
        <f>IF($E58=16,$C58*$D58*$F58,"")</f>
        <v/>
      </c>
      <c r="M58" s="11">
        <f>IF($E58=20,$C58*$D58*$F58,"")</f>
        <v/>
      </c>
      <c r="N58" s="11">
        <f>IF($E58=25,$C58*$D58*$F58,"")</f>
        <v/>
      </c>
      <c r="O58" s="11">
        <f>IF($E58=32,$C58*$D58*$F58,"")</f>
        <v/>
      </c>
    </row>
    <row r="59">
      <c r="A59" s="8" t="inlineStr">
        <is>
          <t>Poutre N7</t>
        </is>
      </c>
      <c r="B59" s="8" t="inlineStr">
        <is>
          <t>Filants</t>
        </is>
      </c>
      <c r="C59" s="17" t="n">
        <v>1</v>
      </c>
      <c r="D59" s="17" t="n">
        <v>4</v>
      </c>
      <c r="E59" s="17" t="n">
        <v>14</v>
      </c>
      <c r="F59" s="10" t="inlineStr"/>
      <c r="G59" s="11">
        <f>IF($E59=6,$C59*$D59*$F59,"")</f>
        <v/>
      </c>
      <c r="H59" s="11">
        <f>IF($E59=8,$C59*$D59*$F59,"")</f>
        <v/>
      </c>
      <c r="I59" s="11">
        <f>IF($E59=10,$C59*$D59*$F59,"")</f>
        <v/>
      </c>
      <c r="J59" s="11">
        <f>IF($E59=12,$C59*$D59*$F59,"")</f>
        <v/>
      </c>
      <c r="K59" s="11">
        <f>IF($E59=14,$C59*$D59*$F59,"")</f>
        <v/>
      </c>
      <c r="L59" s="11">
        <f>IF($E59=16,$C59*$D59*$F59,"")</f>
        <v/>
      </c>
      <c r="M59" s="11">
        <f>IF($E59=20,$C59*$D59*$F59,"")</f>
        <v/>
      </c>
      <c r="N59" s="11">
        <f>IF($E59=25,$C59*$D59*$F59,"")</f>
        <v/>
      </c>
      <c r="O59" s="11">
        <f>IF($E59=32,$C59*$D59*$F59,"")</f>
        <v/>
      </c>
    </row>
    <row r="60">
      <c r="A60" s="8" t="inlineStr">
        <is>
          <t>LONGUEUR TOTALE (ml)</t>
        </is>
      </c>
      <c r="B60" s="8" t="n"/>
      <c r="C60" s="17" t="n"/>
      <c r="D60" s="17" t="n"/>
      <c r="E60" s="17" t="n"/>
      <c r="F60" s="10" t="n"/>
      <c r="G60" s="11">
        <f>SUM(G4:G59)</f>
        <v/>
      </c>
      <c r="H60" s="11">
        <f>SUM(H4:H59)</f>
        <v/>
      </c>
      <c r="I60" s="11">
        <f>SUM(I4:I59)</f>
        <v/>
      </c>
      <c r="J60" s="11">
        <f>SUM(J4:J59)</f>
        <v/>
      </c>
      <c r="K60" s="11">
        <f>SUM(K4:K59)</f>
        <v/>
      </c>
      <c r="L60" s="11">
        <f>SUM(L4:L59)</f>
        <v/>
      </c>
      <c r="M60" s="11">
        <f>SUM(M4:M59)</f>
        <v/>
      </c>
      <c r="N60" s="11">
        <f>SUM(N4:N59)</f>
        <v/>
      </c>
      <c r="O60" s="11">
        <f>SUM(O4:O59)</f>
        <v/>
      </c>
    </row>
    <row r="61">
      <c r="A61" s="8" t="inlineStr">
        <is>
          <t>POIDS TOTAL SYNTHÈSE (kg)</t>
        </is>
      </c>
      <c r="B61" s="8" t="n"/>
      <c r="C61" s="17" t="n"/>
      <c r="D61" s="17" t="n"/>
      <c r="E61" s="17" t="n"/>
      <c r="F61" s="10" t="n"/>
      <c r="G61" s="11">
        <f>G60*0.222+H60*0.395+I60*0.617+J60*0.888+K60*1.208+L60*1.578+M60*2.466+N60*3.853+O60*6.313</f>
        <v/>
      </c>
      <c r="H61" s="11" t="n"/>
      <c r="I61" s="11" t="n"/>
      <c r="J61" s="11" t="n"/>
      <c r="K61" s="11" t="n"/>
      <c r="L61" s="11" t="n"/>
      <c r="M61" s="11" t="n"/>
      <c r="N61" s="11" t="n"/>
      <c r="O61" s="11" t="n"/>
    </row>
  </sheetData>
  <mergeCells count="4">
    <mergeCell ref="A1:O1"/>
    <mergeCell ref="G2:I2"/>
    <mergeCell ref="B2:E2"/>
    <mergeCell ref="K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ATTACHEMENT — GROS ŒUVRES &amp; DÉCOMPTE DES QUANTITÉS</t>
        </is>
      </c>
    </row>
    <row r="2">
      <c r="A2" s="2" t="inlineStr">
        <is>
          <t>N° Marché :</t>
        </is>
      </c>
      <c r="B2" s="3" t="n"/>
      <c r="C2" s="2" t="inlineStr">
        <is>
          <t>Situation n° :</t>
        </is>
      </c>
      <c r="D2" s="3" t="n"/>
      <c r="E2" s="2" t="inlineStr">
        <is>
          <t>Période :</t>
        </is>
      </c>
      <c r="F2" s="3" t="n"/>
      <c r="G2" s="34" t="n"/>
    </row>
    <row r="3">
      <c r="A3" s="4" t="inlineStr">
        <is>
          <t>N° Prix</t>
        </is>
      </c>
      <c r="B3" s="4" t="inlineStr">
        <is>
          <t>Désignation des Travaux</t>
        </is>
      </c>
      <c r="C3" s="4" t="inlineStr">
        <is>
          <t>Unité</t>
        </is>
      </c>
      <c r="D3" s="4" t="inlineStr">
        <is>
          <t>Qté Marché</t>
        </is>
      </c>
      <c r="E3" s="4" t="inlineStr">
        <is>
          <t>Qté Réalisée</t>
        </is>
      </c>
      <c r="F3" s="4" t="inlineStr">
        <is>
          <t>Reste</t>
        </is>
      </c>
      <c r="G3" s="4" t="inlineStr">
        <is>
          <t>% Avancement</t>
        </is>
      </c>
    </row>
    <row r="4">
      <c r="A4" s="27" t="inlineStr">
        <is>
          <t>1</t>
        </is>
      </c>
      <c r="B4" s="28" t="inlineStr">
        <is>
          <t>Terrassement en fouilles</t>
        </is>
      </c>
      <c r="C4" s="27" t="inlineStr">
        <is>
          <t>M3</t>
        </is>
      </c>
      <c r="D4" s="29" t="n"/>
      <c r="E4" s="30">
        <f>'01_Detail_Quantitatif'!K32</f>
        <v/>
      </c>
      <c r="F4" s="31">
        <f>D4-E4</f>
        <v/>
      </c>
      <c r="G4" s="36">
        <f>IF(D4&gt;0,E4/D4,0)</f>
        <v/>
      </c>
    </row>
    <row r="5">
      <c r="A5" s="27" t="inlineStr">
        <is>
          <t>2</t>
        </is>
      </c>
      <c r="B5" s="28" t="inlineStr">
        <is>
          <t>Béton de propreté dosé à 150 kg/m³</t>
        </is>
      </c>
      <c r="C5" s="27" t="inlineStr">
        <is>
          <t>M3</t>
        </is>
      </c>
      <c r="D5" s="29" t="n"/>
      <c r="E5" s="30">
        <f>'01_Detail_Quantitatif'!K58</f>
        <v/>
      </c>
      <c r="F5" s="31">
        <f>D5-E5</f>
        <v/>
      </c>
      <c r="G5" s="36">
        <f>IF(D5&gt;0,E5/D5,0)</f>
        <v/>
      </c>
    </row>
    <row r="6">
      <c r="A6" s="27" t="inlineStr">
        <is>
          <t>3</t>
        </is>
      </c>
      <c r="B6" s="28" t="inlineStr">
        <is>
          <t>Béton armé en fondation et élévation dosé à 350 kg/m³</t>
        </is>
      </c>
      <c r="C6" s="27" t="inlineStr">
        <is>
          <t>M3</t>
        </is>
      </c>
      <c r="D6" s="29" t="n"/>
      <c r="E6" s="30">
        <f>'01_Detail_Quantitatif'!K84</f>
        <v/>
      </c>
      <c r="F6" s="31">
        <f>D6-E6</f>
        <v/>
      </c>
      <c r="G6" s="36">
        <f>IF(D6&gt;0,E6/D6,0)</f>
        <v/>
      </c>
    </row>
    <row r="7">
      <c r="A7" s="27" t="inlineStr">
        <is>
          <t>4</t>
        </is>
      </c>
      <c r="B7" s="28" t="inlineStr">
        <is>
          <t>Aciers Haute Adhérence FeE500</t>
        </is>
      </c>
      <c r="C7" s="27" t="inlineStr">
        <is>
          <t>KG</t>
        </is>
      </c>
      <c r="D7" s="29" t="n"/>
      <c r="E7" s="33">
        <f>'02_Armatures'!K126</f>
        <v/>
      </c>
      <c r="F7" s="31">
        <f>D7-E7</f>
        <v/>
      </c>
      <c r="G7" s="36">
        <f>IF(D7&gt;0,E7/D7,0)</f>
        <v/>
      </c>
    </row>
    <row r="8">
      <c r="A8" t="inlineStr">
        <is>
          <t>5</t>
        </is>
      </c>
      <c r="B8" t="inlineStr">
        <is>
          <t>Béton pour fûts de poteaux en fondation</t>
        </is>
      </c>
      <c r="C8" t="inlineStr">
        <is>
          <t>M3</t>
        </is>
      </c>
      <c r="E8">
        <f>'01_Detail_Quantitatif'!K91</f>
        <v/>
      </c>
      <c r="F8">
        <f>D8-E8</f>
        <v/>
      </c>
      <c r="G8">
        <f>IF(D8&gt;0,E8/D8,0)</f>
        <v/>
      </c>
    </row>
  </sheetData>
  <mergeCells count="4">
    <mergeCell ref="D2"/>
    <mergeCell ref="B2"/>
    <mergeCell ref="A1:G1"/>
    <mergeCell ref="F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  <col width="26" customWidth="1" min="10" max="10"/>
    <col width="30" customWidth="1" min="11" max="11"/>
  </cols>
  <sheetData>
    <row r="1">
      <c r="A1" s="37" t="inlineStr">
        <is>
          <t>RÉFÉRENTIEL TECHNIQUE — CATALOGUE DES ARMATURES STANDARDISÉES (FIMUREX / EUROCODE 2)</t>
        </is>
      </c>
    </row>
    <row r="2">
      <c r="A2" s="38" t="inlineStr">
        <is>
          <t>Abaques de dimensionnement, sections d'acier, charges admissibles et nomenclatures de chantier</t>
        </is>
      </c>
    </row>
    <row r="4">
      <c r="A4" s="39" t="inlineStr">
        <is>
          <t>1. POTEAUX PRÉFABRIQUÉS STANDARD (FIMUREX PN - 4 ET 6 FILANTS, H &lt;= 2.80 m)</t>
        </is>
      </c>
    </row>
    <row r="5">
      <c r="A5" s="40" t="inlineStr">
        <is>
          <t>Réf. Armature</t>
        </is>
      </c>
      <c r="B5" s="40" t="inlineStr">
        <is>
          <t>Type</t>
        </is>
      </c>
      <c r="C5" s="40" t="inlineStr">
        <is>
          <t>Section Béton (cm)</t>
        </is>
      </c>
      <c r="D5" s="40" t="inlineStr">
        <is>
          <t>Aciers Filants</t>
        </is>
      </c>
      <c r="E5" s="40" t="inlineStr">
        <is>
          <t>Cadres / Espac.</t>
        </is>
      </c>
      <c r="F5" s="40" t="inlineStr">
        <is>
          <t>Pser Intérieur (daN)</t>
        </is>
      </c>
      <c r="G5" s="40" t="inlineStr">
        <is>
          <t>Pser Extérieur (daN)</t>
        </is>
      </c>
      <c r="H5" s="40" t="inlineStr">
        <is>
          <t>Pser Int. (kN)</t>
        </is>
      </c>
      <c r="I5" s="40" t="inlineStr">
        <is>
          <t>Pser Ext. (kN)</t>
        </is>
      </c>
      <c r="J5" s="40" t="inlineStr">
        <is>
          <t>Attente PA</t>
        </is>
      </c>
      <c r="K5" s="40" t="inlineStr">
        <is>
          <t>Domaine / Norme</t>
        </is>
      </c>
    </row>
    <row r="6">
      <c r="A6" s="41" t="inlineStr">
        <is>
          <t>PN4108X8</t>
        </is>
      </c>
      <c r="B6" s="41" t="inlineStr">
        <is>
          <t>Type I</t>
        </is>
      </c>
      <c r="C6" s="41" t="inlineStr">
        <is>
          <t>15 x 15</t>
        </is>
      </c>
      <c r="D6" s="41" t="inlineStr">
        <is>
          <t>4 HA 10</t>
        </is>
      </c>
      <c r="E6" s="41" t="inlineStr">
        <is>
          <t>HA 5 e=15</t>
        </is>
      </c>
      <c r="F6" s="42" t="n">
        <v>11780</v>
      </c>
      <c r="G6" s="42" t="n">
        <v>19500</v>
      </c>
      <c r="H6" s="42" t="n">
        <v>117.8</v>
      </c>
      <c r="I6" s="42" t="n">
        <v>195</v>
      </c>
      <c r="J6" s="41" t="inlineStr">
        <is>
          <t>PA4108X8</t>
        </is>
      </c>
      <c r="K6" s="43" t="inlineStr">
        <is>
          <t>Eurocode 2 / Non sismique</t>
        </is>
      </c>
    </row>
    <row r="7">
      <c r="A7" s="41" t="inlineStr">
        <is>
          <t>PN41010X10</t>
        </is>
      </c>
      <c r="B7" s="41" t="inlineStr">
        <is>
          <t>Type I</t>
        </is>
      </c>
      <c r="C7" s="41" t="inlineStr">
        <is>
          <t>15 x 15</t>
        </is>
      </c>
      <c r="D7" s="41" t="inlineStr">
        <is>
          <t>4 HA 10</t>
        </is>
      </c>
      <c r="E7" s="41" t="inlineStr">
        <is>
          <t>HA 5 e=15</t>
        </is>
      </c>
      <c r="F7" s="42" t="n">
        <v>11840</v>
      </c>
      <c r="G7" s="42" t="n">
        <v>25650</v>
      </c>
      <c r="H7" s="42" t="n">
        <v>118.4</v>
      </c>
      <c r="I7" s="42" t="n">
        <v>256.5</v>
      </c>
      <c r="J7" s="41" t="inlineStr">
        <is>
          <t>PA41010X10</t>
        </is>
      </c>
      <c r="K7" s="43" t="inlineStr">
        <is>
          <t>Eurocode 2 / Non sismique</t>
        </is>
      </c>
    </row>
    <row r="8">
      <c r="A8" s="41" t="inlineStr">
        <is>
          <t>PN41015X15</t>
        </is>
      </c>
      <c r="B8" s="41" t="inlineStr">
        <is>
          <t>Type I</t>
        </is>
      </c>
      <c r="C8" s="41" t="inlineStr">
        <is>
          <t>20 x 20</t>
        </is>
      </c>
      <c r="D8" s="41" t="inlineStr">
        <is>
          <t>4 HA 10</t>
        </is>
      </c>
      <c r="E8" s="41" t="inlineStr">
        <is>
          <t>HA 5 e=15</t>
        </is>
      </c>
      <c r="F8" s="42" t="n">
        <v>25810</v>
      </c>
      <c r="G8" s="42" t="n">
        <v>45180</v>
      </c>
      <c r="H8" s="42" t="n">
        <v>258.1</v>
      </c>
      <c r="I8" s="42" t="n">
        <v>451.8</v>
      </c>
      <c r="J8" s="41" t="inlineStr">
        <is>
          <t>PA1015X15</t>
        </is>
      </c>
      <c r="K8" s="43" t="inlineStr">
        <is>
          <t>Eurocode 2 / Non sismique</t>
        </is>
      </c>
    </row>
    <row r="9">
      <c r="A9" s="41" t="inlineStr">
        <is>
          <t>PN41020X20</t>
        </is>
      </c>
      <c r="B9" s="41" t="inlineStr">
        <is>
          <t>Type I</t>
        </is>
      </c>
      <c r="C9" s="41" t="inlineStr">
        <is>
          <t>25 x 25</t>
        </is>
      </c>
      <c r="D9" s="41" t="inlineStr">
        <is>
          <t>4 HA 10</t>
        </is>
      </c>
      <c r="E9" s="41" t="inlineStr">
        <is>
          <t>HA 5 e=15</t>
        </is>
      </c>
      <c r="F9" s="42" t="n">
        <v>45320</v>
      </c>
      <c r="G9" s="42" t="n">
        <v>70840</v>
      </c>
      <c r="H9" s="42" t="n">
        <v>453.2</v>
      </c>
      <c r="I9" s="42" t="n">
        <v>708.4</v>
      </c>
      <c r="J9" s="41" t="inlineStr">
        <is>
          <t>PA1015X15</t>
        </is>
      </c>
      <c r="K9" s="43" t="inlineStr">
        <is>
          <t>Eurocode 2 / Non sismique</t>
        </is>
      </c>
    </row>
    <row r="10">
      <c r="A10" s="41" t="inlineStr">
        <is>
          <t>P6N41025X25</t>
        </is>
      </c>
      <c r="B10" s="41" t="inlineStr">
        <is>
          <t>Type I</t>
        </is>
      </c>
      <c r="C10" s="41" t="inlineStr">
        <is>
          <t>30 x 30</t>
        </is>
      </c>
      <c r="D10" s="41" t="inlineStr">
        <is>
          <t>4 HA 10</t>
        </is>
      </c>
      <c r="E10" s="41" t="inlineStr">
        <is>
          <t>HA 5 e=15</t>
        </is>
      </c>
      <c r="F10" s="42" t="n">
        <v>70960</v>
      </c>
      <c r="G10" s="42" t="n">
        <v>97560</v>
      </c>
      <c r="H10" s="42" t="n">
        <v>709.6</v>
      </c>
      <c r="I10" s="42" t="n">
        <v>975.6</v>
      </c>
      <c r="J10" s="41" t="inlineStr">
        <is>
          <t>Sur mesure</t>
        </is>
      </c>
      <c r="K10" s="43" t="inlineStr">
        <is>
          <t>Eurocode 2 / Non sismique</t>
        </is>
      </c>
    </row>
    <row r="11">
      <c r="A11" s="41" t="inlineStr">
        <is>
          <t>PN41010X20</t>
        </is>
      </c>
      <c r="B11" s="41" t="inlineStr">
        <is>
          <t>Type I</t>
        </is>
      </c>
      <c r="C11" s="41" t="inlineStr">
        <is>
          <t>15 x 25</t>
        </is>
      </c>
      <c r="D11" s="41" t="inlineStr">
        <is>
          <t>4 HA 10</t>
        </is>
      </c>
      <c r="E11" s="41" t="inlineStr">
        <is>
          <t>HA 5 e=15</t>
        </is>
      </c>
      <c r="F11" s="42" t="n">
        <v>17770</v>
      </c>
      <c r="G11" s="42" t="n">
        <v>36470</v>
      </c>
      <c r="H11" s="42" t="n">
        <v>177.7</v>
      </c>
      <c r="I11" s="42" t="n">
        <v>364.7</v>
      </c>
      <c r="J11" s="41" t="inlineStr">
        <is>
          <t>PA41010X10</t>
        </is>
      </c>
      <c r="K11" s="43" t="inlineStr">
        <is>
          <t>Eurocode 2 / Section rect.</t>
        </is>
      </c>
    </row>
    <row r="12">
      <c r="A12" s="41" t="inlineStr">
        <is>
          <t>PN41015X20</t>
        </is>
      </c>
      <c r="B12" s="41" t="inlineStr">
        <is>
          <t>Type I</t>
        </is>
      </c>
      <c r="C12" s="41" t="inlineStr">
        <is>
          <t>20 x 25</t>
        </is>
      </c>
      <c r="D12" s="41" t="inlineStr">
        <is>
          <t>4 HA 10</t>
        </is>
      </c>
      <c r="E12" s="41" t="inlineStr">
        <is>
          <t>HA 5 e=15</t>
        </is>
      </c>
      <c r="F12" s="42" t="n">
        <v>31210</v>
      </c>
      <c r="G12" s="42" t="n">
        <v>53230</v>
      </c>
      <c r="H12" s="42" t="n">
        <v>312.1</v>
      </c>
      <c r="I12" s="42" t="n">
        <v>532.3</v>
      </c>
      <c r="J12" s="41" t="inlineStr">
        <is>
          <t>PA1015X15</t>
        </is>
      </c>
      <c r="K12" s="43" t="inlineStr">
        <is>
          <t>Eurocode 2 / Section rect.</t>
        </is>
      </c>
    </row>
    <row r="13">
      <c r="A13" s="41" t="inlineStr">
        <is>
          <t>P6N61015X30</t>
        </is>
      </c>
      <c r="B13" s="41" t="inlineStr">
        <is>
          <t>Type III</t>
        </is>
      </c>
      <c r="C13" s="41" t="inlineStr">
        <is>
          <t>20 x 35</t>
        </is>
      </c>
      <c r="D13" s="41" t="inlineStr">
        <is>
          <t>6 HA 10</t>
        </is>
      </c>
      <c r="E13" s="41" t="inlineStr">
        <is>
          <t>HA 5 e=15</t>
        </is>
      </c>
      <c r="F13" s="42" t="n">
        <v>42010</v>
      </c>
      <c r="G13" s="42" t="n">
        <v>69330</v>
      </c>
      <c r="H13" s="42" t="n">
        <v>420.1</v>
      </c>
      <c r="I13" s="42" t="n">
        <v>693.3</v>
      </c>
      <c r="J13" s="41" t="inlineStr">
        <is>
          <t>PA661010X25</t>
        </is>
      </c>
      <c r="K13" s="43" t="inlineStr">
        <is>
          <t>Eurocode 2 / 6 filants</t>
        </is>
      </c>
    </row>
    <row r="14">
      <c r="A14" s="41" t="inlineStr">
        <is>
          <t>P6N61015X40</t>
        </is>
      </c>
      <c r="B14" s="41" t="inlineStr">
        <is>
          <t>Type III</t>
        </is>
      </c>
      <c r="C14" s="41" t="inlineStr">
        <is>
          <t>20 x 45</t>
        </is>
      </c>
      <c r="D14" s="41" t="inlineStr">
        <is>
          <t>6 HA 10</t>
        </is>
      </c>
      <c r="E14" s="41" t="inlineStr">
        <is>
          <t>HA 5 e=15</t>
        </is>
      </c>
      <c r="F14" s="42" t="n">
        <v>52820</v>
      </c>
      <c r="G14" s="42" t="n">
        <v>85430</v>
      </c>
      <c r="H14" s="42" t="n">
        <v>528.2</v>
      </c>
      <c r="I14" s="42" t="n">
        <v>854.3</v>
      </c>
      <c r="J14" s="41" t="inlineStr">
        <is>
          <t>PA661010X35</t>
        </is>
      </c>
      <c r="K14" s="43" t="inlineStr">
        <is>
          <t>Eurocode 2 / 6 filants</t>
        </is>
      </c>
    </row>
    <row r="16">
      <c r="A16" s="39" t="inlineStr">
        <is>
          <t>2. SEMELLES ISOLÉES SOUS POTEAUX (FIMUREX SIC CARRÉES)</t>
        </is>
      </c>
    </row>
    <row r="17">
      <c r="A17" s="40" t="inlineStr">
        <is>
          <t>Réf. Armature</t>
        </is>
      </c>
      <c r="B17" s="40" t="inlineStr">
        <is>
          <t>Section AxAxH (cm)</t>
        </is>
      </c>
      <c r="C17" s="40" t="inlineStr">
        <is>
          <t>Pser à 1.0 bar (daN)</t>
        </is>
      </c>
      <c r="D17" s="40" t="inlineStr">
        <is>
          <t>Pser à 1.5 bar (daN)</t>
        </is>
      </c>
      <c r="E17" s="40" t="inlineStr">
        <is>
          <t>Pser à 2.0 bars (daN)</t>
        </is>
      </c>
      <c r="F17" s="40" t="inlineStr">
        <is>
          <t>Pser 1.5b (kN)</t>
        </is>
      </c>
      <c r="G17" s="40" t="inlineStr">
        <is>
          <t>Nappes Inf. X</t>
        </is>
      </c>
      <c r="H17" s="40" t="inlineStr">
        <is>
          <t>Nappes Inf. Y</t>
        </is>
      </c>
      <c r="I17" s="40" t="inlineStr">
        <is>
          <t>Crochets (e cm)</t>
        </is>
      </c>
      <c r="J17" s="40" t="inlineStr">
        <is>
          <t>Abouts (cm)</t>
        </is>
      </c>
      <c r="K17" s="40" t="inlineStr">
        <is>
          <t>Enrobage (cm)</t>
        </is>
      </c>
    </row>
    <row r="18">
      <c r="A18" s="41" t="inlineStr">
        <is>
          <t>SIC4655 / 4855</t>
        </is>
      </c>
      <c r="B18" s="41" t="inlineStr">
        <is>
          <t>65 x 65 x 20</t>
        </is>
      </c>
      <c r="C18" s="42" t="n">
        <v>4230</v>
      </c>
      <c r="D18" s="42" t="n">
        <v>6340</v>
      </c>
      <c r="E18" s="42" t="n">
        <v>8450</v>
      </c>
      <c r="F18" s="44" t="n">
        <v>63.4</v>
      </c>
      <c r="G18" s="41" t="inlineStr">
        <is>
          <t>4 HA 8</t>
        </is>
      </c>
      <c r="H18" s="41" t="inlineStr">
        <is>
          <t>4 HA 8</t>
        </is>
      </c>
      <c r="I18" s="41" t="inlineStr">
        <is>
          <t>e = 15</t>
        </is>
      </c>
      <c r="J18" s="45" t="n">
        <v>5</v>
      </c>
      <c r="K18" s="45" t="n">
        <v>5</v>
      </c>
    </row>
    <row r="19">
      <c r="A19" s="41" t="inlineStr">
        <is>
          <t>SIC5775</t>
        </is>
      </c>
      <c r="B19" s="41" t="inlineStr">
        <is>
          <t>85 x 85 x 25</t>
        </is>
      </c>
      <c r="C19" s="42" t="n">
        <v>7230</v>
      </c>
      <c r="D19" s="42" t="n">
        <v>10840</v>
      </c>
      <c r="E19" s="42" t="n">
        <v>14450</v>
      </c>
      <c r="F19" s="42" t="n">
        <v>108.4</v>
      </c>
      <c r="G19" s="41" t="inlineStr">
        <is>
          <t>5 HA 8</t>
        </is>
      </c>
      <c r="H19" s="41" t="inlineStr">
        <is>
          <t>5 HA 8</t>
        </is>
      </c>
      <c r="I19" s="41" t="inlineStr">
        <is>
          <t>e = 15</t>
        </is>
      </c>
      <c r="J19" s="45" t="n">
        <v>5</v>
      </c>
      <c r="K19" s="45" t="n">
        <v>5</v>
      </c>
    </row>
    <row r="20">
      <c r="A20" s="41" t="inlineStr">
        <is>
          <t>SIC6895</t>
        </is>
      </c>
      <c r="B20" s="41" t="inlineStr">
        <is>
          <t>105 x 105 x 30</t>
        </is>
      </c>
      <c r="C20" s="42" t="n">
        <v>11030</v>
      </c>
      <c r="D20" s="42" t="n">
        <v>16540</v>
      </c>
      <c r="E20" s="42" t="n">
        <v>22050</v>
      </c>
      <c r="F20" s="42" t="n">
        <v>165.4</v>
      </c>
      <c r="G20" s="41" t="inlineStr">
        <is>
          <t>6 HA 8</t>
        </is>
      </c>
      <c r="H20" s="41" t="inlineStr">
        <is>
          <t>6 HA 8</t>
        </is>
      </c>
      <c r="I20" s="41" t="inlineStr">
        <is>
          <t>e = 15</t>
        </is>
      </c>
      <c r="J20" s="45" t="n">
        <v>5</v>
      </c>
      <c r="K20" s="45" t="n">
        <v>5</v>
      </c>
    </row>
    <row r="21">
      <c r="A21" s="41" t="inlineStr">
        <is>
          <t>SIC610115</t>
        </is>
      </c>
      <c r="B21" s="41" t="inlineStr">
        <is>
          <t>125 x 125 x 35</t>
        </is>
      </c>
      <c r="C21" s="42" t="n">
        <v>15630</v>
      </c>
      <c r="D21" s="42" t="n">
        <v>23440</v>
      </c>
      <c r="E21" s="42" t="n">
        <v>31250</v>
      </c>
      <c r="F21" s="42" t="n">
        <v>234.4</v>
      </c>
      <c r="G21" s="41" t="inlineStr">
        <is>
          <t>6 HA 10</t>
        </is>
      </c>
      <c r="H21" s="41" t="inlineStr">
        <is>
          <t>6 HA 10</t>
        </is>
      </c>
      <c r="I21" s="41" t="inlineStr">
        <is>
          <t>e = 15</t>
        </is>
      </c>
      <c r="J21" s="45" t="n">
        <v>5</v>
      </c>
      <c r="K21" s="45" t="n">
        <v>5</v>
      </c>
    </row>
    <row r="22">
      <c r="A22" s="41" t="inlineStr">
        <is>
          <t>SIC710135</t>
        </is>
      </c>
      <c r="B22" s="41" t="inlineStr">
        <is>
          <t>145 x 145 x 40</t>
        </is>
      </c>
      <c r="C22" s="42" t="n">
        <v>21030</v>
      </c>
      <c r="D22" s="42" t="n">
        <v>31540</v>
      </c>
      <c r="E22" s="42" t="n">
        <v>38090</v>
      </c>
      <c r="F22" s="42" t="n">
        <v>315.4</v>
      </c>
      <c r="G22" s="41" t="inlineStr">
        <is>
          <t>7 HA 10</t>
        </is>
      </c>
      <c r="H22" s="41" t="inlineStr">
        <is>
          <t>7 HA 10</t>
        </is>
      </c>
      <c r="I22" s="41" t="inlineStr">
        <is>
          <t>e = 15</t>
        </is>
      </c>
      <c r="J22" s="45" t="n">
        <v>5</v>
      </c>
      <c r="K22" s="45" t="n">
        <v>5</v>
      </c>
    </row>
    <row r="24">
      <c r="A24" s="39" t="inlineStr">
        <is>
          <t>3. SEMELLES FILANTES PLATES &amp; RENFORCÉES (FIMUREX S / F / FM - Lg = 6.00 m)</t>
        </is>
      </c>
    </row>
    <row r="25">
      <c r="A25" s="40" t="inlineStr">
        <is>
          <t>Réf. Armature</t>
        </is>
      </c>
      <c r="B25" s="40" t="inlineStr">
        <is>
          <t>Type Ouvrage</t>
        </is>
      </c>
      <c r="C25" s="40" t="inlineStr">
        <is>
          <t>Largeur (cm)</t>
        </is>
      </c>
      <c r="D25" s="40" t="inlineStr">
        <is>
          <t>Hauteur (cm)</t>
        </is>
      </c>
      <c r="E25" s="40" t="inlineStr">
        <is>
          <t>Aciers Filants</t>
        </is>
      </c>
      <c r="F25" s="40" t="inlineStr">
        <is>
          <t>Armatures Transv.</t>
        </is>
      </c>
      <c r="G25" s="40" t="inlineStr">
        <is>
          <t>Espac. (cm)</t>
        </is>
      </c>
      <c r="H25" s="40" t="inlineStr">
        <is>
          <t>Nuance Acier</t>
        </is>
      </c>
      <c r="I25" s="40" t="inlineStr">
        <is>
          <t>Conditionnement</t>
        </is>
      </c>
      <c r="J25" s="40" t="inlineStr">
        <is>
          <t>Usage Sol Recommandé</t>
        </is>
      </c>
      <c r="K25" s="40" t="inlineStr">
        <is>
          <t>Conformité</t>
        </is>
      </c>
    </row>
    <row r="26">
      <c r="A26" s="41" t="inlineStr">
        <is>
          <t>S3835</t>
        </is>
      </c>
      <c r="B26" s="41" t="inlineStr">
        <is>
          <t>Semelle plate</t>
        </is>
      </c>
      <c r="C26" s="45" t="n">
        <v>35</v>
      </c>
      <c r="D26" s="45" t="n">
        <v>5</v>
      </c>
      <c r="E26" s="41" t="inlineStr">
        <is>
          <t>3 HA 8</t>
        </is>
      </c>
      <c r="F26" s="41" t="inlineStr">
        <is>
          <t>Crochets HA 5</t>
        </is>
      </c>
      <c r="G26" s="41" t="inlineStr">
        <is>
          <t>e = 30</t>
        </is>
      </c>
      <c r="H26" s="41" t="inlineStr">
        <is>
          <t>B500A / B500B</t>
        </is>
      </c>
      <c r="I26" s="41" t="inlineStr">
        <is>
          <t>48 unités</t>
        </is>
      </c>
      <c r="J26" s="43" t="inlineStr">
        <is>
          <t>Sol homogène sans tassement</t>
        </is>
      </c>
      <c r="K26" s="41" t="inlineStr">
        <is>
          <t>EC2 / FD P18-717</t>
        </is>
      </c>
    </row>
    <row r="27">
      <c r="A27" s="41" t="inlineStr">
        <is>
          <t>S31040</t>
        </is>
      </c>
      <c r="B27" s="41" t="inlineStr">
        <is>
          <t>Semelle plate</t>
        </is>
      </c>
      <c r="C27" s="45" t="n">
        <v>40</v>
      </c>
      <c r="D27" s="45" t="n">
        <v>5</v>
      </c>
      <c r="E27" s="41" t="inlineStr">
        <is>
          <t>3 HA 10</t>
        </is>
      </c>
      <c r="F27" s="41" t="inlineStr">
        <is>
          <t>Crochets HA 5</t>
        </is>
      </c>
      <c r="G27" s="41" t="inlineStr">
        <is>
          <t>e = 30</t>
        </is>
      </c>
      <c r="H27" s="41" t="inlineStr">
        <is>
          <t>B500A / B500B</t>
        </is>
      </c>
      <c r="I27" s="41" t="inlineStr">
        <is>
          <t>48 unités</t>
        </is>
      </c>
      <c r="J27" s="43" t="inlineStr">
        <is>
          <t>Sol homogène standard</t>
        </is>
      </c>
      <c r="K27" s="41" t="inlineStr">
        <is>
          <t>EC2 / FD P18-717</t>
        </is>
      </c>
    </row>
    <row r="28">
      <c r="A28" s="41" t="inlineStr">
        <is>
          <t>S41050</t>
        </is>
      </c>
      <c r="B28" s="41" t="inlineStr">
        <is>
          <t>Semelle plate</t>
        </is>
      </c>
      <c r="C28" s="45" t="n">
        <v>50</v>
      </c>
      <c r="D28" s="45" t="n">
        <v>5</v>
      </c>
      <c r="E28" s="41" t="inlineStr">
        <is>
          <t>4 HA 10</t>
        </is>
      </c>
      <c r="F28" s="41" t="inlineStr">
        <is>
          <t>Crochets HA 5</t>
        </is>
      </c>
      <c r="G28" s="41" t="inlineStr">
        <is>
          <t>e = 30</t>
        </is>
      </c>
      <c r="H28" s="41" t="inlineStr">
        <is>
          <t>B500A / B500B</t>
        </is>
      </c>
      <c r="I28" s="41" t="inlineStr">
        <is>
          <t>48 unités</t>
        </is>
      </c>
      <c r="J28" s="43" t="inlineStr">
        <is>
          <t>Murs porteurs lourds</t>
        </is>
      </c>
      <c r="K28" s="41" t="inlineStr">
        <is>
          <t>EC2 / FD P18-717</t>
        </is>
      </c>
    </row>
    <row r="29">
      <c r="A29" s="41" t="inlineStr">
        <is>
          <t>F6835X15</t>
        </is>
      </c>
      <c r="B29" s="41" t="inlineStr">
        <is>
          <t>Semelle renforcée</t>
        </is>
      </c>
      <c r="C29" s="45" t="n">
        <v>35</v>
      </c>
      <c r="D29" s="45" t="n">
        <v>15</v>
      </c>
      <c r="E29" s="41" t="inlineStr">
        <is>
          <t>6 HA 8 (2 nappes)</t>
        </is>
      </c>
      <c r="F29" s="41" t="inlineStr">
        <is>
          <t>Cadres HA 5</t>
        </is>
      </c>
      <c r="G29" s="41" t="inlineStr">
        <is>
          <t>e = 30</t>
        </is>
      </c>
      <c r="H29" s="41" t="inlineStr">
        <is>
          <t>B500B</t>
        </is>
      </c>
      <c r="I29" s="41" t="inlineStr">
        <is>
          <t>8 unités</t>
        </is>
      </c>
      <c r="J29" s="43" t="inlineStr">
        <is>
          <t>Faibles tassements diff.</t>
        </is>
      </c>
      <c r="K29" s="41" t="inlineStr">
        <is>
          <t>EC2 / FD P18-717</t>
        </is>
      </c>
    </row>
    <row r="30">
      <c r="A30" s="41" t="inlineStr">
        <is>
          <t>F6835X20</t>
        </is>
      </c>
      <c r="B30" s="41" t="inlineStr">
        <is>
          <t>Semelle renforcée</t>
        </is>
      </c>
      <c r="C30" s="45" t="n">
        <v>35</v>
      </c>
      <c r="D30" s="45" t="n">
        <v>20</v>
      </c>
      <c r="E30" s="41" t="inlineStr">
        <is>
          <t>6 HA 8 (2 nappes)</t>
        </is>
      </c>
      <c r="F30" s="41" t="inlineStr">
        <is>
          <t>Cadres HA 5</t>
        </is>
      </c>
      <c r="G30" s="41" t="inlineStr">
        <is>
          <t>e = 30</t>
        </is>
      </c>
      <c r="H30" s="41" t="inlineStr">
        <is>
          <t>B500B</t>
        </is>
      </c>
      <c r="I30" s="41" t="inlineStr">
        <is>
          <t>6 unités</t>
        </is>
      </c>
      <c r="J30" s="43" t="inlineStr">
        <is>
          <t>Faibles tassements diff.</t>
        </is>
      </c>
      <c r="K30" s="41" t="inlineStr">
        <is>
          <t>EC2 / FD P18-717</t>
        </is>
      </c>
    </row>
    <row r="31">
      <c r="A31" s="41" t="inlineStr">
        <is>
          <t>FM61035X20</t>
        </is>
      </c>
      <c r="B31" s="41" t="inlineStr">
        <is>
          <t>Semelle renforcée</t>
        </is>
      </c>
      <c r="C31" s="45" t="n">
        <v>35</v>
      </c>
      <c r="D31" s="45" t="n">
        <v>20</v>
      </c>
      <c r="E31" s="41" t="inlineStr">
        <is>
          <t>6 HA 10 (2 nappes)</t>
        </is>
      </c>
      <c r="F31" s="41" t="inlineStr">
        <is>
          <t>Cadres HA 5</t>
        </is>
      </c>
      <c r="G31" s="41" t="inlineStr">
        <is>
          <t>e = 25</t>
        </is>
      </c>
      <c r="H31" s="41" t="inlineStr">
        <is>
          <t>B500B</t>
        </is>
      </c>
      <c r="I31" s="41" t="inlineStr">
        <is>
          <t>6 unités</t>
        </is>
      </c>
      <c r="J31" s="43" t="inlineStr">
        <is>
          <t>Charges élevées</t>
        </is>
      </c>
      <c r="K31" s="41" t="inlineStr">
        <is>
          <t>EC2 / FD P18-717</t>
        </is>
      </c>
    </row>
    <row r="32">
      <c r="A32" s="41" t="inlineStr">
        <is>
          <t>FM612140X20</t>
        </is>
      </c>
      <c r="B32" s="41" t="inlineStr">
        <is>
          <t>Semelle renforcée</t>
        </is>
      </c>
      <c r="C32" s="45" t="n">
        <v>40</v>
      </c>
      <c r="D32" s="45" t="n">
        <v>20</v>
      </c>
      <c r="E32" s="41" t="inlineStr">
        <is>
          <t>4 HA 12 + 2 HA 10</t>
        </is>
      </c>
      <c r="F32" s="41" t="inlineStr">
        <is>
          <t>Cadres HA 5</t>
        </is>
      </c>
      <c r="G32" s="41" t="inlineStr">
        <is>
          <t>e = 25</t>
        </is>
      </c>
      <c r="H32" s="41" t="inlineStr">
        <is>
          <t>B500B</t>
        </is>
      </c>
      <c r="I32" s="41" t="inlineStr">
        <is>
          <t>6 unités</t>
        </is>
      </c>
      <c r="J32" s="43" t="inlineStr">
        <is>
          <t>Rigidité renforcée</t>
        </is>
      </c>
      <c r="K32" s="41" t="inlineStr">
        <is>
          <t>EC2 / FD P18-717</t>
        </is>
      </c>
    </row>
    <row r="34">
      <c r="A34" s="39" t="inlineStr">
        <is>
          <t>4. CHAÎNAGES HORIZONTAUX &amp; VERTICAUX (DTU 20.1 &amp; ZONE SISMIQUE Z1 À Z4)</t>
        </is>
      </c>
    </row>
    <row r="35">
      <c r="A35" s="40" t="inlineStr">
        <is>
          <t>Réf. Armature</t>
        </is>
      </c>
      <c r="B35" s="40" t="inlineStr">
        <is>
          <t>Zone Sismique</t>
        </is>
      </c>
      <c r="C35" s="40" t="inlineStr">
        <is>
          <t>Section Béton (cm)</t>
        </is>
      </c>
      <c r="D35" s="40" t="inlineStr">
        <is>
          <t>Aciers Filants</t>
        </is>
      </c>
      <c r="E35" s="40" t="inlineStr">
        <is>
          <t>Section An (cm²)</t>
        </is>
      </c>
      <c r="F35" s="40" t="inlineStr">
        <is>
          <t>Armat. Transversales</t>
        </is>
      </c>
      <c r="G35" s="40" t="inlineStr">
        <is>
          <t>Espac. (cm)</t>
        </is>
      </c>
      <c r="H35" s="40" t="inlineStr">
        <is>
          <t>Fermeture Cadres</t>
        </is>
      </c>
      <c r="I35" s="40" t="inlineStr">
        <is>
          <t>Positionnement Nœud</t>
        </is>
      </c>
      <c r="J35" s="40" t="inlineStr">
        <is>
          <t>Application</t>
        </is>
      </c>
      <c r="K35" s="40" t="inlineStr">
        <is>
          <t>Règle Normative</t>
        </is>
      </c>
    </row>
    <row r="36">
      <c r="A36" s="41" t="inlineStr">
        <is>
          <t>CH2104X10</t>
        </is>
      </c>
      <c r="B36" s="41" t="inlineStr">
        <is>
          <t>Z1 - Z2 (Très faible / Faible)</t>
        </is>
      </c>
      <c r="C36" s="41" t="inlineStr">
        <is>
          <t>15 x 20</t>
        </is>
      </c>
      <c r="D36" s="41" t="inlineStr">
        <is>
          <t>2 HA 10</t>
        </is>
      </c>
      <c r="E36" s="44" t="n">
        <v>1.57</v>
      </c>
      <c r="F36" s="41" t="inlineStr">
        <is>
          <t>Épingles Ø 4</t>
        </is>
      </c>
      <c r="G36" s="41" t="inlineStr">
        <is>
          <t>e = 30 à 50</t>
        </is>
      </c>
      <c r="H36" s="41" t="inlineStr">
        <is>
          <t>Libre</t>
        </is>
      </c>
      <c r="I36" s="41" t="inlineStr">
        <is>
          <t>-</t>
        </is>
      </c>
      <c r="J36" s="43" t="inlineStr">
        <is>
          <t>Chaînage horizontal / pignon</t>
        </is>
      </c>
      <c r="K36" s="43" t="inlineStr">
        <is>
          <t>DTU 20.1 (An &gt;= 1.50 cm²)</t>
        </is>
      </c>
    </row>
    <row r="37">
      <c r="A37" s="41" t="inlineStr">
        <is>
          <t>CH4710X10</t>
        </is>
      </c>
      <c r="B37" s="41" t="inlineStr">
        <is>
          <t>Z1 - Z2 (Très faible / Faible)</t>
        </is>
      </c>
      <c r="C37" s="41" t="inlineStr">
        <is>
          <t>15 x 15</t>
        </is>
      </c>
      <c r="D37" s="41" t="inlineStr">
        <is>
          <t>4 HA 7</t>
        </is>
      </c>
      <c r="E37" s="44" t="n">
        <v>1.54</v>
      </c>
      <c r="F37" s="41" t="inlineStr">
        <is>
          <t>Cadres Ø 4</t>
        </is>
      </c>
      <c r="G37" s="41" t="inlineStr">
        <is>
          <t>e = 30 à 40</t>
        </is>
      </c>
      <c r="H37" s="41" t="inlineStr">
        <is>
          <t>Libre</t>
        </is>
      </c>
      <c r="I37" s="41" t="inlineStr">
        <is>
          <t>-</t>
        </is>
      </c>
      <c r="J37" s="43" t="inlineStr">
        <is>
          <t>Chaînage horizontal / vertical</t>
        </is>
      </c>
      <c r="K37" s="43" t="inlineStr">
        <is>
          <t>DTU 20.1 (An &gt;= 1.50 cm²)</t>
        </is>
      </c>
    </row>
    <row r="38">
      <c r="A38" s="41" t="inlineStr">
        <is>
          <t>CH4815X15</t>
        </is>
      </c>
      <c r="B38" s="41" t="inlineStr">
        <is>
          <t>Z1 - Z2 (Très faible / Faible)</t>
        </is>
      </c>
      <c r="C38" s="41" t="inlineStr">
        <is>
          <t>20 x 20</t>
        </is>
      </c>
      <c r="D38" s="41" t="inlineStr">
        <is>
          <t>4 HA 8</t>
        </is>
      </c>
      <c r="E38" s="44" t="n">
        <v>2.01</v>
      </c>
      <c r="F38" s="41" t="inlineStr">
        <is>
          <t>Cadres Ø 4</t>
        </is>
      </c>
      <c r="G38" s="41" t="inlineStr">
        <is>
          <t>e = 30 à 40</t>
        </is>
      </c>
      <c r="H38" s="41" t="inlineStr">
        <is>
          <t>Libre</t>
        </is>
      </c>
      <c r="I38" s="41" t="inlineStr">
        <is>
          <t>-</t>
        </is>
      </c>
      <c r="J38" s="43" t="inlineStr">
        <is>
          <t>Chaînage niveaux courants</t>
        </is>
      </c>
      <c r="K38" s="43" t="inlineStr">
        <is>
          <t>DTU 20.1 (An &gt;= 1.50 cm²)</t>
        </is>
      </c>
    </row>
    <row r="39">
      <c r="A39" s="41" t="inlineStr">
        <is>
          <t>CHR41010X10</t>
        </is>
      </c>
      <c r="B39" s="41" t="inlineStr">
        <is>
          <t>Z1 - Z2 (Très faible / Faible)</t>
        </is>
      </c>
      <c r="C39" s="41" t="inlineStr">
        <is>
          <t>20 x 20</t>
        </is>
      </c>
      <c r="D39" s="41" t="inlineStr">
        <is>
          <t>4 HA 10</t>
        </is>
      </c>
      <c r="E39" s="44" t="n">
        <v>3.14</v>
      </c>
      <c r="F39" s="41" t="inlineStr">
        <is>
          <t>Cadres HA 5</t>
        </is>
      </c>
      <c r="G39" s="41" t="inlineStr">
        <is>
          <t>e = 20</t>
        </is>
      </c>
      <c r="H39" s="41" t="inlineStr">
        <is>
          <t>135° ou soudé</t>
        </is>
      </c>
      <c r="I39" s="41" t="inlineStr">
        <is>
          <t>-</t>
        </is>
      </c>
      <c r="J39" s="43" t="inlineStr">
        <is>
          <t>Planchers-terrasses</t>
        </is>
      </c>
      <c r="K39" s="43" t="inlineStr">
        <is>
          <t>DTU 20.1 (An &gt;= 3.08 cm²)</t>
        </is>
      </c>
    </row>
    <row r="40">
      <c r="A40" s="41" t="inlineStr">
        <is>
          <t>CS108X8</t>
        </is>
      </c>
      <c r="B40" s="41" t="inlineStr">
        <is>
          <t>Z3 - Z4 (Modérée / Moyenne)</t>
        </is>
      </c>
      <c r="C40" s="41" t="inlineStr">
        <is>
          <t>15 x 15 min</t>
        </is>
      </c>
      <c r="D40" s="41" t="inlineStr">
        <is>
          <t>4 HA 10</t>
        </is>
      </c>
      <c r="E40" s="44" t="n">
        <v>3.14</v>
      </c>
      <c r="F40" s="41" t="inlineStr">
        <is>
          <t>Cadres HA 5</t>
        </is>
      </c>
      <c r="G40" s="41" t="inlineStr">
        <is>
          <t>e = 15</t>
        </is>
      </c>
      <c r="H40" s="41" t="inlineStr">
        <is>
          <t>Crochets 135°</t>
        </is>
      </c>
      <c r="I40" s="41" t="inlineStr">
        <is>
          <t>1er cadre à &lt;= 7.5 cm</t>
        </is>
      </c>
      <c r="J40" s="43" t="inlineStr">
        <is>
          <t>Chaînage vert. / horiz. sismique</t>
        </is>
      </c>
      <c r="K40" s="43" t="inlineStr">
        <is>
          <t>CPMI EC8 / EC8-1</t>
        </is>
      </c>
    </row>
    <row r="41">
      <c r="A41" s="41" t="inlineStr">
        <is>
          <t>CS1210X10</t>
        </is>
      </c>
      <c r="B41" s="41" t="inlineStr">
        <is>
          <t>Z3 - Z4 (Modérée / Moyenne)</t>
        </is>
      </c>
      <c r="C41" s="41" t="inlineStr">
        <is>
          <t>20 x 20 min</t>
        </is>
      </c>
      <c r="D41" s="41" t="inlineStr">
        <is>
          <t>4 HA 12</t>
        </is>
      </c>
      <c r="E41" s="44" t="n">
        <v>4.52</v>
      </c>
      <c r="F41" s="41" t="inlineStr">
        <is>
          <t>Cadres HA 5</t>
        </is>
      </c>
      <c r="G41" s="41" t="inlineStr">
        <is>
          <t>e = 15</t>
        </is>
      </c>
      <c r="H41" s="41" t="inlineStr">
        <is>
          <t>Crochets 135°</t>
        </is>
      </c>
      <c r="I41" s="41" t="inlineStr">
        <is>
          <t>1er cadre à &lt;= 7.5 cm</t>
        </is>
      </c>
      <c r="J41" s="43" t="inlineStr">
        <is>
          <t>Chaînage vert. / horiz. sismique</t>
        </is>
      </c>
      <c r="K41" s="43" t="inlineStr">
        <is>
          <t>CPMI EC8 / EC8-1</t>
        </is>
      </c>
    </row>
    <row r="42">
      <c r="A42" s="41" t="inlineStr">
        <is>
          <t>ATCS108X8</t>
        </is>
      </c>
      <c r="B42" s="41" t="inlineStr">
        <is>
          <t>Z3 - Z4 (Modérée / Moyenne)</t>
        </is>
      </c>
      <c r="C42" s="41" t="inlineStr">
        <is>
          <t>15 x 15 min</t>
        </is>
      </c>
      <c r="D42" s="41" t="inlineStr">
        <is>
          <t>4 HA 10</t>
        </is>
      </c>
      <c r="E42" s="44" t="n">
        <v>3.14</v>
      </c>
      <c r="F42" s="41" t="inlineStr">
        <is>
          <t>Cadres HA 5</t>
        </is>
      </c>
      <c r="G42" s="41" t="inlineStr">
        <is>
          <t>25-4x15-85</t>
        </is>
      </c>
      <c r="H42" s="41" t="inlineStr">
        <is>
          <t>Crochets 135°</t>
        </is>
      </c>
      <c r="I42" s="41" t="inlineStr">
        <is>
          <t>Recouvrement &gt;= 60 cm</t>
        </is>
      </c>
      <c r="J42" s="43" t="inlineStr">
        <is>
          <t>Attente soubassement sismique</t>
        </is>
      </c>
      <c r="K42" s="43" t="inlineStr">
        <is>
          <t>CPMI EC8 (HA10 &gt;= 60 cm)</t>
        </is>
      </c>
    </row>
    <row r="43">
      <c r="A43" s="41" t="inlineStr">
        <is>
          <t>ATCS128X8</t>
        </is>
      </c>
      <c r="B43" s="41" t="inlineStr">
        <is>
          <t>Z3 - Z4 (Modérée / Moyenne)</t>
        </is>
      </c>
      <c r="C43" s="41" t="inlineStr">
        <is>
          <t>15 x 15 min</t>
        </is>
      </c>
      <c r="D43" s="41" t="inlineStr">
        <is>
          <t>4 HA 12</t>
        </is>
      </c>
      <c r="E43" s="44" t="n">
        <v>4.52</v>
      </c>
      <c r="F43" s="41" t="inlineStr">
        <is>
          <t>Cadres HA 5</t>
        </is>
      </c>
      <c r="G43" s="41" t="inlineStr">
        <is>
          <t>25-4x15-105</t>
        </is>
      </c>
      <c r="H43" s="41" t="inlineStr">
        <is>
          <t>Crochets 135°</t>
        </is>
      </c>
      <c r="I43" s="41" t="inlineStr">
        <is>
          <t>Recouvrement &gt;= 72 cm</t>
        </is>
      </c>
      <c r="J43" s="43" t="inlineStr">
        <is>
          <t>Attente soubassement sismique</t>
        </is>
      </c>
      <c r="K43" s="43" t="inlineStr">
        <is>
          <t>CPMI EC8 (HA12 &gt;= 72 cm)</t>
        </is>
      </c>
    </row>
    <row r="45">
      <c r="A45" s="39" t="inlineStr">
        <is>
          <t>5. POUTRES À HAUTE RÉSISTANCE MANUPORTABLES (FIMUREX VULCAIN &amp; DEMETER)</t>
        </is>
      </c>
    </row>
    <row r="46">
      <c r="A46" s="40" t="inlineStr">
        <is>
          <t>Réf. Poutre</t>
        </is>
      </c>
      <c r="B46" s="40" t="inlineStr">
        <is>
          <t>Famille</t>
        </is>
      </c>
      <c r="C46" s="40" t="inlineStr">
        <is>
          <t>Portée Franchie (cm)</t>
        </is>
      </c>
      <c r="D46" s="40" t="inlineStr">
        <is>
          <t>Portée Réf. (cm)</t>
        </is>
      </c>
      <c r="E46" s="40" t="inlineStr">
        <is>
          <t>Section Béton BxH</t>
        </is>
      </c>
      <c r="F46" s="40" t="inlineStr">
        <is>
          <t>Plancher Façade (m)</t>
        </is>
      </c>
      <c r="G46" s="40" t="inlineStr">
        <is>
          <t>Plancher Refend (m)</t>
        </is>
      </c>
      <c r="H46" s="40" t="inlineStr">
        <is>
          <t>Pser Admissible (daN/m)</t>
        </is>
      </c>
      <c r="I46" s="40" t="inlineStr">
        <is>
          <t>Pser Appuis (daN)</t>
        </is>
      </c>
      <c r="J46" s="40" t="inlineStr">
        <is>
          <t>Ancrage Mini</t>
        </is>
      </c>
      <c r="K46" s="40" t="inlineStr">
        <is>
          <t>Flèche Admissible</t>
        </is>
      </c>
    </row>
    <row r="47">
      <c r="A47" s="41" t="inlineStr">
        <is>
          <t>V25012X20</t>
        </is>
      </c>
      <c r="B47" s="41" t="inlineStr">
        <is>
          <t>Vulcain (Refend)</t>
        </is>
      </c>
      <c r="C47" s="41" t="inlineStr">
        <is>
          <t>160 à 210</t>
        </is>
      </c>
      <c r="D47" s="45" t="n">
        <v>200</v>
      </c>
      <c r="E47" s="41" t="inlineStr">
        <is>
          <t>20 x 25</t>
        </is>
      </c>
      <c r="F47" s="44" t="n">
        <v>2.5</v>
      </c>
      <c r="G47" s="44" t="n">
        <v>7.4</v>
      </c>
      <c r="H47" s="42" t="n">
        <v>2670</v>
      </c>
      <c r="I47" s="42" t="n">
        <v>2670</v>
      </c>
      <c r="J47" s="41" t="inlineStr">
        <is>
          <t>13 cm mini</t>
        </is>
      </c>
      <c r="K47" s="43" t="inlineStr">
        <is>
          <t>L/500 (FD P18-717)</t>
        </is>
      </c>
    </row>
    <row r="48">
      <c r="A48" s="41" t="inlineStr">
        <is>
          <t>V35012X25</t>
        </is>
      </c>
      <c r="B48" s="41" t="inlineStr">
        <is>
          <t>Vulcain (Refend)</t>
        </is>
      </c>
      <c r="C48" s="41" t="inlineStr">
        <is>
          <t>260 à 310</t>
        </is>
      </c>
      <c r="D48" s="45" t="n">
        <v>300</v>
      </c>
      <c r="E48" s="41" t="inlineStr">
        <is>
          <t>20 x 30</t>
        </is>
      </c>
      <c r="F48" s="44" t="n">
        <v>3.6</v>
      </c>
      <c r="G48" s="44" t="n">
        <v>7.3</v>
      </c>
      <c r="H48" s="42" t="n">
        <v>2650</v>
      </c>
      <c r="I48" s="42" t="n">
        <v>3980</v>
      </c>
      <c r="J48" s="41" t="inlineStr">
        <is>
          <t>13 cm mini</t>
        </is>
      </c>
      <c r="K48" s="43" t="inlineStr">
        <is>
          <t>L/500 (FD P18-717)</t>
        </is>
      </c>
    </row>
    <row r="49">
      <c r="A49" s="41" t="inlineStr">
        <is>
          <t>V45012X35</t>
        </is>
      </c>
      <c r="B49" s="41" t="inlineStr">
        <is>
          <t>Vulcain (Refend)</t>
        </is>
      </c>
      <c r="C49" s="41" t="inlineStr">
        <is>
          <t>360 à 410</t>
        </is>
      </c>
      <c r="D49" s="45" t="n">
        <v>400</v>
      </c>
      <c r="E49" s="41" t="inlineStr">
        <is>
          <t>20 x 40</t>
        </is>
      </c>
      <c r="F49" s="44" t="n">
        <v>4.1</v>
      </c>
      <c r="G49" s="44" t="n">
        <v>8.6</v>
      </c>
      <c r="H49" s="42" t="n">
        <v>3150</v>
      </c>
      <c r="I49" s="42" t="n">
        <v>6300</v>
      </c>
      <c r="J49" s="41" t="inlineStr">
        <is>
          <t>13 cm mini</t>
        </is>
      </c>
      <c r="K49" s="43" t="inlineStr">
        <is>
          <t>L/500 (FD P18-717)</t>
        </is>
      </c>
    </row>
    <row r="50">
      <c r="A50" s="41" t="inlineStr">
        <is>
          <t>V55012X40</t>
        </is>
      </c>
      <c r="B50" s="41" t="inlineStr">
        <is>
          <t>Vulcain (Refend)</t>
        </is>
      </c>
      <c r="C50" s="41" t="inlineStr">
        <is>
          <t>460 à 510</t>
        </is>
      </c>
      <c r="D50" s="45" t="n">
        <v>500</v>
      </c>
      <c r="E50" s="41" t="inlineStr">
        <is>
          <t>20 x 45</t>
        </is>
      </c>
      <c r="F50" s="44" t="n">
        <v>3.6</v>
      </c>
      <c r="G50" s="44" t="n">
        <v>8.199999999999999</v>
      </c>
      <c r="H50" s="42" t="n">
        <v>3040</v>
      </c>
      <c r="I50" s="42" t="n">
        <v>7600</v>
      </c>
      <c r="J50" s="41" t="inlineStr">
        <is>
          <t>13 cm mini</t>
        </is>
      </c>
      <c r="K50" s="43" t="inlineStr">
        <is>
          <t>L/500 (FD P18-717)</t>
        </is>
      </c>
    </row>
    <row r="51">
      <c r="A51" s="41" t="inlineStr">
        <is>
          <t>D35014X30</t>
        </is>
      </c>
      <c r="B51" s="41" t="inlineStr">
        <is>
          <t>Demeter (Fortes charges)</t>
        </is>
      </c>
      <c r="C51" s="41" t="inlineStr">
        <is>
          <t>260 à 310</t>
        </is>
      </c>
      <c r="D51" s="45" t="n">
        <v>300</v>
      </c>
      <c r="E51" s="41" t="inlineStr">
        <is>
          <t>20 x 35</t>
        </is>
      </c>
      <c r="F51" s="44" t="n">
        <v>11.2</v>
      </c>
      <c r="G51" s="44" t="n">
        <v>14.8</v>
      </c>
      <c r="H51" s="42" t="n">
        <v>5190</v>
      </c>
      <c r="I51" s="42" t="n">
        <v>7790</v>
      </c>
      <c r="J51" s="41" t="inlineStr">
        <is>
          <t>18 cm mini</t>
        </is>
      </c>
      <c r="K51" s="43" t="inlineStr">
        <is>
          <t>L/500 (FD P18-717)</t>
        </is>
      </c>
    </row>
    <row r="52">
      <c r="A52" s="41" t="inlineStr">
        <is>
          <t>D45014X35</t>
        </is>
      </c>
      <c r="B52" s="41" t="inlineStr">
        <is>
          <t>Demeter (Fortes charges)</t>
        </is>
      </c>
      <c r="C52" s="41" t="inlineStr">
        <is>
          <t>360 à 410</t>
        </is>
      </c>
      <c r="D52" s="45" t="n">
        <v>400</v>
      </c>
      <c r="E52" s="41" t="inlineStr">
        <is>
          <t>20 x 40</t>
        </is>
      </c>
      <c r="F52" s="44" t="n">
        <v>9</v>
      </c>
      <c r="G52" s="44" t="n">
        <v>12.9</v>
      </c>
      <c r="H52" s="42" t="n">
        <v>4570</v>
      </c>
      <c r="I52" s="42" t="n">
        <v>9140</v>
      </c>
      <c r="J52" s="41" t="inlineStr">
        <is>
          <t>18 cm mini</t>
        </is>
      </c>
      <c r="K52" s="43" t="inlineStr">
        <is>
          <t>L/500 (FD P18-717)</t>
        </is>
      </c>
    </row>
    <row r="53">
      <c r="A53" s="41" t="inlineStr">
        <is>
          <t>D55014X45</t>
        </is>
      </c>
      <c r="B53" s="41" t="inlineStr">
        <is>
          <t>Demeter (Fortes charges)</t>
        </is>
      </c>
      <c r="C53" s="41" t="inlineStr">
        <is>
          <t>460 à 510</t>
        </is>
      </c>
      <c r="D53" s="45" t="n">
        <v>500</v>
      </c>
      <c r="E53" s="41" t="inlineStr">
        <is>
          <t>20 x 50</t>
        </is>
      </c>
      <c r="F53" s="44" t="n">
        <v>8.6</v>
      </c>
      <c r="G53" s="44" t="n">
        <v>12.5</v>
      </c>
      <c r="H53" s="42" t="n">
        <v>4500</v>
      </c>
      <c r="I53" s="42" t="n">
        <v>11250</v>
      </c>
      <c r="J53" s="41" t="inlineStr">
        <is>
          <t>18 cm mini</t>
        </is>
      </c>
      <c r="K53" s="43" t="inlineStr">
        <is>
          <t>L/500 (FD P18-717)</t>
        </is>
      </c>
    </row>
    <row r="54">
      <c r="A54" s="41" t="inlineStr">
        <is>
          <t>D65014X50</t>
        </is>
      </c>
      <c r="B54" s="41" t="inlineStr">
        <is>
          <t>Demeter (Fortes charges)</t>
        </is>
      </c>
      <c r="C54" s="41" t="inlineStr">
        <is>
          <t>560 à 610</t>
        </is>
      </c>
      <c r="D54" s="45" t="n">
        <v>600</v>
      </c>
      <c r="E54" s="41" t="inlineStr">
        <is>
          <t>20 x 55</t>
        </is>
      </c>
      <c r="F54" s="44" t="n">
        <v>6.6</v>
      </c>
      <c r="G54" s="44" t="n">
        <v>10.8</v>
      </c>
      <c r="H54" s="42" t="n">
        <v>3940</v>
      </c>
      <c r="I54" s="42" t="n">
        <v>11820</v>
      </c>
      <c r="J54" s="41" t="inlineStr">
        <is>
          <t>18 cm mini</t>
        </is>
      </c>
      <c r="K54" s="43" t="inlineStr">
        <is>
          <t>L/500 (FD P18-717)</t>
        </is>
      </c>
    </row>
    <row r="56">
      <c r="A56" s="39" t="inlineStr">
        <is>
          <t>6. TREILLIS SOUDÉS ADETS &amp; ACCESSOIRES DE LIAISON / CONTINUITÉ</t>
        </is>
      </c>
    </row>
    <row r="57">
      <c r="A57" s="40" t="inlineStr">
        <is>
          <t>Réf. Composant</t>
        </is>
      </c>
      <c r="B57" s="40" t="inlineStr">
        <is>
          <t>Catégorie</t>
        </is>
      </c>
      <c r="C57" s="40" t="inlineStr">
        <is>
          <t>Dimensions / Format</t>
        </is>
      </c>
      <c r="D57" s="40" t="inlineStr">
        <is>
          <t>Aciers / Diamètre</t>
        </is>
      </c>
      <c r="E57" s="40" t="inlineStr">
        <is>
          <t>Maille (cm)</t>
        </is>
      </c>
      <c r="F57" s="40" t="inlineStr">
        <is>
          <t>Poids Unitaire</t>
        </is>
      </c>
      <c r="G57" s="40" t="inlineStr">
        <is>
          <t>Nuance Acier</t>
        </is>
      </c>
      <c r="H57" s="40" t="inlineStr">
        <is>
          <t>Norme / Certificat</t>
        </is>
      </c>
      <c r="I57" s="40" t="inlineStr">
        <is>
          <t>Rôle Structurel</t>
        </is>
      </c>
      <c r="J57" s="40" t="inlineStr">
        <is>
          <t>-</t>
        </is>
      </c>
      <c r="K57" s="40" t="inlineStr">
        <is>
          <t>-</t>
        </is>
      </c>
    </row>
    <row r="58">
      <c r="A58" s="41" t="inlineStr">
        <is>
          <t>ST15C</t>
        </is>
      </c>
      <c r="B58" s="41" t="inlineStr">
        <is>
          <t>Treillis ADETS</t>
        </is>
      </c>
      <c r="C58" s="41" t="inlineStr">
        <is>
          <t>Panneau 4.00 x 2.40 m</t>
        </is>
      </c>
      <c r="D58" s="41" t="inlineStr">
        <is>
          <t>Filants HA 6 + HA 6</t>
        </is>
      </c>
      <c r="E58" s="41" t="inlineStr">
        <is>
          <t>20 x 20</t>
        </is>
      </c>
      <c r="F58" s="41" t="inlineStr">
        <is>
          <t>2.22 kg/m²</t>
        </is>
      </c>
      <c r="G58" s="41" t="inlineStr">
        <is>
          <t>B500A / B500B</t>
        </is>
      </c>
      <c r="H58" s="41" t="inlineStr">
        <is>
          <t>NF AFCAB / ADETS</t>
        </is>
      </c>
      <c r="I58" s="43" t="inlineStr">
        <is>
          <t>Dallage &amp; compression</t>
        </is>
      </c>
      <c r="J58" s="41" t="inlineStr"/>
      <c r="K58" s="41" t="inlineStr"/>
    </row>
    <row r="59">
      <c r="A59" s="41" t="inlineStr">
        <is>
          <t>ST25C</t>
        </is>
      </c>
      <c r="B59" s="41" t="inlineStr">
        <is>
          <t>Treillis ADETS</t>
        </is>
      </c>
      <c r="C59" s="41" t="inlineStr">
        <is>
          <t>Panneau 6.00 x 2.40 m</t>
        </is>
      </c>
      <c r="D59" s="41" t="inlineStr">
        <is>
          <t>Filants HA 7 + HA 7</t>
        </is>
      </c>
      <c r="E59" s="41" t="inlineStr">
        <is>
          <t>15 x 15</t>
        </is>
      </c>
      <c r="F59" s="41" t="inlineStr">
        <is>
          <t>4.02 kg/m²</t>
        </is>
      </c>
      <c r="G59" s="41" t="inlineStr">
        <is>
          <t>B500B</t>
        </is>
      </c>
      <c r="H59" s="41" t="inlineStr">
        <is>
          <t>NF AFCAB / ADETS</t>
        </is>
      </c>
      <c r="I59" s="43" t="inlineStr">
        <is>
          <t>Structure dalle BA</t>
        </is>
      </c>
      <c r="J59" s="41" t="inlineStr"/>
      <c r="K59" s="41" t="inlineStr"/>
    </row>
    <row r="60">
      <c r="A60" s="41" t="inlineStr">
        <is>
          <t>ST50C</t>
        </is>
      </c>
      <c r="B60" s="41" t="inlineStr">
        <is>
          <t>Treillis ADETS</t>
        </is>
      </c>
      <c r="C60" s="41" t="inlineStr">
        <is>
          <t>Panneau 6.00 x 2.40 m</t>
        </is>
      </c>
      <c r="D60" s="41" t="inlineStr">
        <is>
          <t>Filants HA 8 + HA 8</t>
        </is>
      </c>
      <c r="E60" s="41" t="inlineStr">
        <is>
          <t>10 x 10</t>
        </is>
      </c>
      <c r="F60" s="41" t="inlineStr">
        <is>
          <t>7.90 kg/m²</t>
        </is>
      </c>
      <c r="G60" s="41" t="inlineStr">
        <is>
          <t>B500B</t>
        </is>
      </c>
      <c r="H60" s="41" t="inlineStr">
        <is>
          <t>NF AFCAB / ADETS</t>
        </is>
      </c>
      <c r="I60" s="43" t="inlineStr">
        <is>
          <t>Radiers et dalles fortes</t>
        </is>
      </c>
      <c r="J60" s="41" t="inlineStr"/>
      <c r="K60" s="41" t="inlineStr"/>
    </row>
    <row r="61">
      <c r="A61" s="41" t="inlineStr">
        <is>
          <t>EQ1060</t>
        </is>
      </c>
      <c r="B61" s="41" t="inlineStr">
        <is>
          <t>Équerre de liaison</t>
        </is>
      </c>
      <c r="C61" s="41" t="inlineStr">
        <is>
          <t>Branches 60 x 60 cm</t>
        </is>
      </c>
      <c r="D61" s="41" t="inlineStr">
        <is>
          <t>Barre HA 10</t>
        </is>
      </c>
      <c r="E61" s="41" t="inlineStr">
        <is>
          <t>-</t>
        </is>
      </c>
      <c r="F61" s="41" t="inlineStr">
        <is>
          <t>0.617 kg/ml</t>
        </is>
      </c>
      <c r="G61" s="41" t="inlineStr">
        <is>
          <t>B500B</t>
        </is>
      </c>
      <c r="H61" s="41" t="inlineStr">
        <is>
          <t>Eurocode 2</t>
        </is>
      </c>
      <c r="I61" s="43" t="inlineStr">
        <is>
          <t>Liaisons d'angles chaînages</t>
        </is>
      </c>
      <c r="J61" s="41" t="inlineStr"/>
      <c r="K61" s="41" t="inlineStr"/>
    </row>
    <row r="62">
      <c r="A62" s="41" t="inlineStr">
        <is>
          <t>EQ1270</t>
        </is>
      </c>
      <c r="B62" s="41" t="inlineStr">
        <is>
          <t>Équerre de liaison</t>
        </is>
      </c>
      <c r="C62" s="41" t="inlineStr">
        <is>
          <t>Branches 70 x 70 cm</t>
        </is>
      </c>
      <c r="D62" s="41" t="inlineStr">
        <is>
          <t>Barre HA 12</t>
        </is>
      </c>
      <c r="E62" s="41" t="inlineStr">
        <is>
          <t>-</t>
        </is>
      </c>
      <c r="F62" s="41" t="inlineStr">
        <is>
          <t>0.888 kg/ml</t>
        </is>
      </c>
      <c r="G62" s="41" t="inlineStr">
        <is>
          <t>B500B</t>
        </is>
      </c>
      <c r="H62" s="41" t="inlineStr">
        <is>
          <t>Eurocode 2</t>
        </is>
      </c>
      <c r="I62" s="43" t="inlineStr">
        <is>
          <t>Liaisons d'angles semelles</t>
        </is>
      </c>
      <c r="J62" s="41" t="inlineStr"/>
      <c r="K62" s="41" t="inlineStr"/>
    </row>
    <row r="63">
      <c r="A63" s="41" t="inlineStr">
        <is>
          <t>CD12200</t>
        </is>
      </c>
      <c r="B63" s="41" t="inlineStr">
        <is>
          <t>Chapeau de continuité</t>
        </is>
      </c>
      <c r="C63" s="41" t="inlineStr">
        <is>
          <t>Longueur 2.00 m</t>
        </is>
      </c>
      <c r="D63" s="41" t="inlineStr">
        <is>
          <t>Barre HA 12</t>
        </is>
      </c>
      <c r="E63" s="41" t="inlineStr">
        <is>
          <t>-</t>
        </is>
      </c>
      <c r="F63" s="41" t="inlineStr">
        <is>
          <t>0.888 kg/ml</t>
        </is>
      </c>
      <c r="G63" s="41" t="inlineStr">
        <is>
          <t>B500B</t>
        </is>
      </c>
      <c r="H63" s="41" t="inlineStr">
        <is>
          <t>Eurocode 2</t>
        </is>
      </c>
      <c r="I63" s="43" t="inlineStr">
        <is>
          <t>Continuité poutrelles plancher</t>
        </is>
      </c>
      <c r="J63" s="41" t="inlineStr"/>
      <c r="K63" s="41" t="inlineStr"/>
    </row>
    <row r="64">
      <c r="A64" s="41" t="inlineStr">
        <is>
          <t>NOVABOX N48CX50</t>
        </is>
      </c>
      <c r="B64" s="41" t="inlineStr">
        <is>
          <t>Boîte d'attente</t>
        </is>
      </c>
      <c r="C64" s="41" t="inlineStr">
        <is>
          <t>Profil 0.80 m (recouv. 50 cm)</t>
        </is>
      </c>
      <c r="D64" s="41" t="inlineStr">
        <is>
          <t>Barres HA 8 (e=200)</t>
        </is>
      </c>
      <c r="E64" s="41" t="inlineStr">
        <is>
          <t>-</t>
        </is>
      </c>
      <c r="F64" s="41" t="inlineStr">
        <is>
          <t>Standard</t>
        </is>
      </c>
      <c r="G64" s="41" t="inlineStr">
        <is>
          <t>B500B</t>
        </is>
      </c>
      <c r="H64" s="41" t="inlineStr">
        <is>
          <t>AFCAB R15/008</t>
        </is>
      </c>
      <c r="I64" s="43" t="inlineStr">
        <is>
          <t>Reprise de coulage voiles/dalles</t>
        </is>
      </c>
      <c r="J64" s="41" t="inlineStr"/>
      <c r="K64" s="41" t="inlineStr"/>
    </row>
  </sheetData>
  <mergeCells count="8">
    <mergeCell ref="A34:K34"/>
    <mergeCell ref="A4:K4"/>
    <mergeCell ref="A24:K24"/>
    <mergeCell ref="A2:K2"/>
    <mergeCell ref="A16:K16"/>
    <mergeCell ref="A45:K45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2026-09-05T23:03:09Z</dcterms:created>
  <dcterms:modified xsi:type="dcterms:W3CDTF">2026-09-06T03:09:08Z</dcterms:modified>
</cp:coreProperties>
</file>