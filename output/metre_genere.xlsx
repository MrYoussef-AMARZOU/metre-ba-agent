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 quontitafif fondation" sheetId="1" state="visible" r:id="rId1"/>
    <sheet name="Armatur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sz val="10"/>
    </font>
    <font>
      <name val="Calibri"/>
      <b val="1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i val="1"/>
      <color rgb="00555555"/>
      <sz val="10"/>
    </font>
    <font>
      <name val="Calibri"/>
      <i val="1"/>
      <color rgb="000000AA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BDD7EE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7" fillId="4" borderId="1" applyAlignment="1" pivotButton="0" quotePrefix="0" xfId="0">
      <alignment horizontal="right" vertical="center"/>
    </xf>
    <xf numFmtId="0" fontId="4" fillId="2" borderId="1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6" customWidth="1" min="3" max="3"/>
    <col width="6" customWidth="1" min="4" max="4"/>
    <col width="5" customWidth="1" min="5" max="5"/>
    <col width="5" customWidth="1" min="6" max="6"/>
    <col width="10" customWidth="1" min="7" max="7"/>
    <col width="10" customWidth="1" min="8" max="8"/>
    <col width="14" customWidth="1" min="9" max="9"/>
    <col width="12" customWidth="1" min="10" max="10"/>
    <col width="14" customWidth="1" min="11" max="11"/>
  </cols>
  <sheetData>
    <row r="1">
      <c r="A1" s="1" t="inlineStr">
        <is>
          <t xml:space="preserve"> AO N° : </t>
        </is>
      </c>
    </row>
    <row r="4">
      <c r="C4" s="2" t="inlineStr">
        <is>
          <t>Projet extrait</t>
        </is>
      </c>
    </row>
    <row r="5">
      <c r="E5" s="3" t="inlineStr">
        <is>
          <t>Détail Quantitatif Métré</t>
        </is>
      </c>
    </row>
    <row r="6">
      <c r="A6" s="4" t="inlineStr">
        <is>
          <t>N°</t>
        </is>
      </c>
      <c r="B6" s="4" t="inlineStr">
        <is>
          <t>Désignation, détail de calcul, croquis, principe et justificatif</t>
        </is>
      </c>
      <c r="C6" s="4" t="inlineStr">
        <is>
          <t>Axe</t>
        </is>
      </c>
      <c r="D6" s="4" t="inlineStr">
        <is>
          <t>File</t>
        </is>
      </c>
      <c r="E6" s="4" t="inlineStr">
        <is>
          <t>U</t>
        </is>
      </c>
      <c r="F6" s="4" t="inlineStr">
        <is>
          <t>N</t>
        </is>
      </c>
      <c r="G6" s="4" t="inlineStr">
        <is>
          <t>Longueur</t>
        </is>
      </c>
      <c r="H6" s="4" t="inlineStr">
        <is>
          <t>Largeur</t>
        </is>
      </c>
      <c r="I6" s="4" t="inlineStr">
        <is>
          <t>Hauteur / épaisseur</t>
        </is>
      </c>
      <c r="J6" s="4" t="inlineStr">
        <is>
          <t>Qté partielle</t>
        </is>
      </c>
      <c r="K6" s="4" t="inlineStr">
        <is>
          <t>Qté Total des Métrés</t>
        </is>
      </c>
    </row>
    <row r="8">
      <c r="A8" s="5" t="inlineStr">
        <is>
          <t>B-   GROS ŒUVRES et maconnerie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5" t="n"/>
    </row>
    <row r="9">
      <c r="A9" s="3" t="n">
        <v>3</v>
      </c>
      <c r="B9" s="1" t="inlineStr">
        <is>
          <t>Terrassement en fouilles, en tranchées ou en plein masse y compris décapage de la terre végétale</t>
        </is>
      </c>
    </row>
    <row r="10">
      <c r="B10" s="7" t="inlineStr">
        <is>
          <t>axe</t>
        </is>
      </c>
      <c r="C10" s="7" t="inlineStr">
        <is>
          <t>fill</t>
        </is>
      </c>
    </row>
    <row r="11">
      <c r="A11" s="8" t="n"/>
      <c r="B11" s="8" t="inlineStr">
        <is>
          <t>C</t>
        </is>
      </c>
      <c r="C11" s="8" t="inlineStr">
        <is>
          <t>7</t>
        </is>
      </c>
      <c r="D11" s="9" t="n"/>
      <c r="E11" s="9" t="inlineStr">
        <is>
          <t>M3</t>
        </is>
      </c>
      <c r="F11" s="9" t="n">
        <v>1</v>
      </c>
      <c r="G11" s="9" t="n">
        <v>1.3</v>
      </c>
      <c r="H11" s="9" t="n">
        <v>1.3</v>
      </c>
      <c r="I11" s="9" t="n">
        <v>1.5</v>
      </c>
      <c r="J11" s="9">
        <f>F11*G11*H11*I11</f>
        <v/>
      </c>
      <c r="K11" s="9" t="n"/>
    </row>
    <row r="12">
      <c r="A12" s="8" t="n"/>
      <c r="B12" s="8" t="inlineStr">
        <is>
          <t>S</t>
        </is>
      </c>
      <c r="C12" s="8" t="inlineStr">
        <is>
          <t>7</t>
        </is>
      </c>
      <c r="D12" s="9" t="n"/>
      <c r="E12" s="9" t="inlineStr">
        <is>
          <t>M3</t>
        </is>
      </c>
      <c r="F12" s="9" t="n">
        <v>1</v>
      </c>
      <c r="G12" s="9" t="n">
        <v>1.3</v>
      </c>
      <c r="H12" s="9" t="n">
        <v>1.3</v>
      </c>
      <c r="I12" s="9" t="n">
        <v>1.5</v>
      </c>
      <c r="J12" s="9">
        <f>F12*G12*H12*I12</f>
        <v/>
      </c>
      <c r="K12" s="9" t="n"/>
    </row>
    <row r="13">
      <c r="A13" s="8" t="n"/>
      <c r="B13" s="8" t="inlineStr">
        <is>
          <t>F</t>
        </is>
      </c>
      <c r="C13" s="8" t="inlineStr">
        <is>
          <t>7</t>
        </is>
      </c>
      <c r="D13" s="9" t="n"/>
      <c r="E13" s="9" t="inlineStr">
        <is>
          <t>M3</t>
        </is>
      </c>
      <c r="F13" s="9" t="n">
        <v>1</v>
      </c>
      <c r="G13" s="9" t="n">
        <v>1.3</v>
      </c>
      <c r="H13" s="9" t="n">
        <v>1.3</v>
      </c>
      <c r="I13" s="9" t="n">
        <v>1.5</v>
      </c>
      <c r="J13" s="9">
        <f>F13*G13*H13*I13</f>
        <v/>
      </c>
      <c r="K13" s="9" t="n"/>
    </row>
    <row r="14">
      <c r="A14" s="8" t="n"/>
      <c r="B14" s="8" t="inlineStr">
        <is>
          <t>H</t>
        </is>
      </c>
      <c r="C14" s="8" t="inlineStr">
        <is>
          <t>7</t>
        </is>
      </c>
      <c r="D14" s="9" t="n"/>
      <c r="E14" s="9" t="inlineStr">
        <is>
          <t>M3</t>
        </is>
      </c>
      <c r="F14" s="9" t="n">
        <v>1</v>
      </c>
      <c r="G14" s="9" t="n">
        <v>1.3</v>
      </c>
      <c r="H14" s="9" t="n">
        <v>1.3</v>
      </c>
      <c r="I14" s="9" t="n">
        <v>1.5</v>
      </c>
      <c r="J14" s="9">
        <f>F14*G14*H14*I14</f>
        <v/>
      </c>
      <c r="K14" s="9" t="n"/>
    </row>
    <row r="15">
      <c r="A15" s="8" t="n"/>
      <c r="B15" s="8" t="inlineStr">
        <is>
          <t>H</t>
        </is>
      </c>
      <c r="C15" s="8" t="inlineStr">
        <is>
          <t>6</t>
        </is>
      </c>
      <c r="D15" s="9" t="n"/>
      <c r="E15" s="9" t="inlineStr">
        <is>
          <t>M3</t>
        </is>
      </c>
      <c r="F15" s="9" t="n">
        <v>1</v>
      </c>
      <c r="G15" s="9" t="n">
        <v>1.3</v>
      </c>
      <c r="H15" s="9" t="n">
        <v>1.3</v>
      </c>
      <c r="I15" s="9" t="n">
        <v>1.5</v>
      </c>
      <c r="J15" s="9">
        <f>F15*G15*H15*I15</f>
        <v/>
      </c>
      <c r="K15" s="9" t="n"/>
    </row>
    <row r="16">
      <c r="A16" s="8" t="n"/>
      <c r="B16" s="8" t="inlineStr">
        <is>
          <t>F</t>
        </is>
      </c>
      <c r="C16" s="8" t="inlineStr">
        <is>
          <t>6</t>
        </is>
      </c>
      <c r="D16" s="9" t="n"/>
      <c r="E16" s="9" t="inlineStr">
        <is>
          <t>M3</t>
        </is>
      </c>
      <c r="F16" s="9" t="n">
        <v>1</v>
      </c>
      <c r="G16" s="9" t="n">
        <v>1.3</v>
      </c>
      <c r="H16" s="9" t="n">
        <v>1.3</v>
      </c>
      <c r="I16" s="9" t="n">
        <v>1.5</v>
      </c>
      <c r="J16" s="9">
        <f>F16*G16*H16*I16</f>
        <v/>
      </c>
      <c r="K16" s="9" t="n"/>
    </row>
    <row r="17">
      <c r="A17" s="8" t="n"/>
      <c r="B17" s="8" t="inlineStr">
        <is>
          <t>D</t>
        </is>
      </c>
      <c r="C17" s="8" t="inlineStr">
        <is>
          <t>6</t>
        </is>
      </c>
      <c r="D17" s="9" t="n"/>
      <c r="E17" s="9" t="inlineStr">
        <is>
          <t>M3</t>
        </is>
      </c>
      <c r="F17" s="9" t="n">
        <v>1</v>
      </c>
      <c r="G17" s="9" t="n">
        <v>1.3</v>
      </c>
      <c r="H17" s="9" t="n">
        <v>1.3</v>
      </c>
      <c r="I17" s="9" t="n">
        <v>1.5</v>
      </c>
      <c r="J17" s="9">
        <f>F17*G17*H17*I17</f>
        <v/>
      </c>
      <c r="K17" s="9" t="n"/>
    </row>
    <row r="18">
      <c r="A18" s="8" t="n"/>
      <c r="B18" s="8" t="inlineStr">
        <is>
          <t>C</t>
        </is>
      </c>
      <c r="C18" s="8" t="inlineStr">
        <is>
          <t>6</t>
        </is>
      </c>
      <c r="D18" s="9" t="n"/>
      <c r="E18" s="9" t="inlineStr">
        <is>
          <t>M3</t>
        </is>
      </c>
      <c r="F18" s="9" t="n">
        <v>1</v>
      </c>
      <c r="G18" s="9" t="n">
        <v>1.3</v>
      </c>
      <c r="H18" s="9" t="n">
        <v>1.3</v>
      </c>
      <c r="I18" s="9" t="n">
        <v>1.5</v>
      </c>
      <c r="J18" s="9">
        <f>F18*G18*H18*I18</f>
        <v/>
      </c>
      <c r="K18" s="9" t="n"/>
    </row>
    <row r="19">
      <c r="A19" s="8" t="n"/>
      <c r="B19" s="8" t="inlineStr">
        <is>
          <t>D</t>
        </is>
      </c>
      <c r="C19" s="8" t="inlineStr">
        <is>
          <t>4</t>
        </is>
      </c>
      <c r="D19" s="9" t="n"/>
      <c r="E19" s="9" t="inlineStr">
        <is>
          <t>M3</t>
        </is>
      </c>
      <c r="F19" s="9" t="n">
        <v>1</v>
      </c>
      <c r="G19" s="9" t="n">
        <v>1.3</v>
      </c>
      <c r="H19" s="9" t="n">
        <v>2.3</v>
      </c>
      <c r="I19" s="9" t="n">
        <v>1.5</v>
      </c>
      <c r="J19" s="9">
        <f>F19*G19*H19*I19</f>
        <v/>
      </c>
      <c r="K19" s="9" t="n"/>
    </row>
    <row r="20">
      <c r="A20" s="8" t="n"/>
      <c r="B20" s="8" t="inlineStr">
        <is>
          <t>C</t>
        </is>
      </c>
      <c r="C20" s="8" t="inlineStr">
        <is>
          <t>5</t>
        </is>
      </c>
      <c r="D20" s="9" t="n"/>
      <c r="E20" s="9" t="inlineStr">
        <is>
          <t>M3</t>
        </is>
      </c>
      <c r="F20" s="9" t="n">
        <v>1</v>
      </c>
      <c r="G20" s="9" t="n">
        <v>1.3</v>
      </c>
      <c r="H20" s="9" t="n">
        <v>1.3</v>
      </c>
      <c r="I20" s="9" t="n">
        <v>1.5</v>
      </c>
      <c r="J20" s="9">
        <f>F20*G20*H20*I20</f>
        <v/>
      </c>
      <c r="K20" s="9" t="n"/>
    </row>
    <row r="21">
      <c r="A21" s="8" t="n"/>
      <c r="B21" s="8" t="inlineStr">
        <is>
          <t>B</t>
        </is>
      </c>
      <c r="C21" s="8" t="inlineStr">
        <is>
          <t>5</t>
        </is>
      </c>
      <c r="D21" s="9" t="n"/>
      <c r="E21" s="9" t="inlineStr">
        <is>
          <t>M3</t>
        </is>
      </c>
      <c r="F21" s="9" t="n">
        <v>1</v>
      </c>
      <c r="G21" s="9" t="n">
        <v>1.3</v>
      </c>
      <c r="H21" s="9" t="n">
        <v>1.3</v>
      </c>
      <c r="I21" s="9" t="n">
        <v>1.5</v>
      </c>
      <c r="J21" s="9">
        <f>F21*G21*H21*I21</f>
        <v/>
      </c>
      <c r="K21" s="9" t="n"/>
    </row>
    <row r="22">
      <c r="A22" s="8" t="n"/>
      <c r="B22" s="8" t="inlineStr">
        <is>
          <t>F</t>
        </is>
      </c>
      <c r="C22" s="8" t="inlineStr">
        <is>
          <t>4</t>
        </is>
      </c>
      <c r="D22" s="9" t="n"/>
      <c r="E22" s="9" t="inlineStr">
        <is>
          <t>M3</t>
        </is>
      </c>
      <c r="F22" s="9" t="n">
        <v>1</v>
      </c>
      <c r="G22" s="9" t="n">
        <v>1.3</v>
      </c>
      <c r="H22" s="9" t="n">
        <v>1.3</v>
      </c>
      <c r="I22" s="9" t="n">
        <v>1.5</v>
      </c>
      <c r="J22" s="9">
        <f>F22*G22*H22*I22</f>
        <v/>
      </c>
      <c r="K22" s="9" t="n"/>
    </row>
    <row r="23">
      <c r="A23" s="8" t="n"/>
      <c r="B23" s="8" t="inlineStr">
        <is>
          <t>L</t>
        </is>
      </c>
      <c r="C23" s="8" t="inlineStr">
        <is>
          <t>8</t>
        </is>
      </c>
      <c r="D23" s="9" t="n"/>
      <c r="E23" s="9" t="inlineStr">
        <is>
          <t>M3</t>
        </is>
      </c>
      <c r="F23" s="9" t="n">
        <v>1</v>
      </c>
      <c r="G23" s="9" t="n">
        <v>1.3</v>
      </c>
      <c r="H23" s="9" t="n">
        <v>1.3</v>
      </c>
      <c r="I23" s="9" t="n">
        <v>1.5</v>
      </c>
      <c r="J23" s="9">
        <f>F23*G23*H23*I23</f>
        <v/>
      </c>
      <c r="K23" s="9" t="n"/>
    </row>
    <row r="24">
      <c r="A24" s="8" t="n"/>
      <c r="B24" s="8" t="inlineStr">
        <is>
          <t>S</t>
        </is>
      </c>
      <c r="C24" s="8" t="inlineStr">
        <is>
          <t>8</t>
        </is>
      </c>
      <c r="D24" s="9" t="n"/>
      <c r="E24" s="9" t="inlineStr">
        <is>
          <t>M3</t>
        </is>
      </c>
      <c r="F24" s="9" t="n">
        <v>1</v>
      </c>
      <c r="G24" s="9" t="n">
        <v>1.3</v>
      </c>
      <c r="H24" s="9" t="n">
        <v>1.3</v>
      </c>
      <c r="I24" s="9" t="n">
        <v>1.5</v>
      </c>
      <c r="J24" s="9">
        <f>F24*G24*H24*I24</f>
        <v/>
      </c>
      <c r="K24" s="9" t="n"/>
    </row>
    <row r="25">
      <c r="A25" s="8" t="n"/>
      <c r="B25" s="8" t="inlineStr">
        <is>
          <t>F</t>
        </is>
      </c>
      <c r="C25" s="8" t="inlineStr">
        <is>
          <t>17</t>
        </is>
      </c>
      <c r="D25" s="9" t="n"/>
      <c r="E25" s="9" t="inlineStr">
        <is>
          <t>M3</t>
        </is>
      </c>
      <c r="F25" s="9" t="n">
        <v>1</v>
      </c>
      <c r="G25" s="9" t="n">
        <v>1.3</v>
      </c>
      <c r="H25" s="9" t="n">
        <v>1.3</v>
      </c>
      <c r="I25" s="9" t="n">
        <v>1.5</v>
      </c>
      <c r="J25" s="9">
        <f>F25*G25*H25*I25</f>
        <v/>
      </c>
      <c r="K25" s="9" t="n"/>
    </row>
    <row r="26">
      <c r="A26" s="8" t="n"/>
      <c r="B26" s="8" t="inlineStr">
        <is>
          <t>S</t>
        </is>
      </c>
      <c r="C26" s="8" t="inlineStr">
        <is>
          <t>14</t>
        </is>
      </c>
      <c r="D26" s="9" t="n"/>
      <c r="E26" s="9" t="inlineStr">
        <is>
          <t>M3</t>
        </is>
      </c>
      <c r="F26" s="9" t="n">
        <v>1</v>
      </c>
      <c r="G26" s="9" t="n">
        <v>1.3</v>
      </c>
      <c r="H26" s="9" t="n">
        <v>1.3</v>
      </c>
      <c r="I26" s="9" t="n">
        <v>1.5</v>
      </c>
      <c r="J26" s="9">
        <f>F26*G26*H26*I26</f>
        <v/>
      </c>
      <c r="K26" s="9" t="n"/>
    </row>
    <row r="27">
      <c r="A27" s="8" t="n"/>
      <c r="B27" s="8" t="inlineStr">
        <is>
          <t>F</t>
        </is>
      </c>
      <c r="C27" s="8" t="inlineStr">
        <is>
          <t>8</t>
        </is>
      </c>
      <c r="D27" s="9" t="n"/>
      <c r="E27" s="9" t="inlineStr">
        <is>
          <t>M3</t>
        </is>
      </c>
      <c r="F27" s="9" t="n">
        <v>1</v>
      </c>
      <c r="G27" s="9" t="n">
        <v>1.3</v>
      </c>
      <c r="H27" s="9" t="n">
        <v>1.3</v>
      </c>
      <c r="I27" s="9" t="n">
        <v>1.5</v>
      </c>
      <c r="J27" s="9">
        <f>F27*G27*H27*I27</f>
        <v/>
      </c>
      <c r="K27" s="9" t="n"/>
    </row>
    <row r="28">
      <c r="A28" s="8" t="n"/>
      <c r="B28" s="8" t="inlineStr">
        <is>
          <t>F</t>
        </is>
      </c>
      <c r="C28" s="8" t="inlineStr">
        <is>
          <t>14</t>
        </is>
      </c>
      <c r="D28" s="9" t="n"/>
      <c r="E28" s="9" t="inlineStr">
        <is>
          <t>M3</t>
        </is>
      </c>
      <c r="F28" s="9" t="n">
        <v>1</v>
      </c>
      <c r="G28" s="9" t="n">
        <v>1.3</v>
      </c>
      <c r="H28" s="9" t="n">
        <v>2.3</v>
      </c>
      <c r="I28" s="9" t="n">
        <v>1.5</v>
      </c>
      <c r="J28" s="9">
        <f>F28*G28*H28*I28</f>
        <v/>
      </c>
      <c r="K28" s="9" t="n"/>
    </row>
    <row r="29">
      <c r="A29" s="8" t="n"/>
      <c r="B29" s="8" t="inlineStr">
        <is>
          <t>F</t>
        </is>
      </c>
      <c r="C29" s="8" t="inlineStr">
        <is>
          <t>14</t>
        </is>
      </c>
      <c r="D29" s="9" t="n"/>
      <c r="E29" s="9" t="inlineStr">
        <is>
          <t>M3</t>
        </is>
      </c>
      <c r="F29" s="9" t="n">
        <v>1</v>
      </c>
      <c r="G29" s="9" t="n">
        <v>1.3</v>
      </c>
      <c r="H29" s="9" t="n">
        <v>1.3</v>
      </c>
      <c r="I29" s="9" t="n">
        <v>1.5</v>
      </c>
      <c r="J29" s="9">
        <f>F29*G29*H29*I29</f>
        <v/>
      </c>
      <c r="K29" s="9" t="n"/>
    </row>
    <row r="30">
      <c r="A30" s="8" t="n"/>
      <c r="B30" s="8" t="inlineStr">
        <is>
          <t>F</t>
        </is>
      </c>
      <c r="C30" s="8" t="inlineStr">
        <is>
          <t>11</t>
        </is>
      </c>
      <c r="D30" s="9" t="n"/>
      <c r="E30" s="9" t="inlineStr">
        <is>
          <t>M3</t>
        </is>
      </c>
      <c r="F30" s="9" t="n">
        <v>1</v>
      </c>
      <c r="G30" s="9" t="n">
        <v>1.3</v>
      </c>
      <c r="H30" s="9" t="n">
        <v>1.3</v>
      </c>
      <c r="I30" s="9" t="n">
        <v>1.5</v>
      </c>
      <c r="J30" s="9">
        <f>F30*G30*H30*I30</f>
        <v/>
      </c>
      <c r="K30" s="9" t="n"/>
    </row>
    <row r="31">
      <c r="A31" s="8" t="n"/>
      <c r="B31" s="8" t="inlineStr">
        <is>
          <t>F</t>
        </is>
      </c>
      <c r="C31" s="8" t="inlineStr">
        <is>
          <t>10</t>
        </is>
      </c>
      <c r="D31" s="9" t="n"/>
      <c r="E31" s="9" t="inlineStr">
        <is>
          <t>M3</t>
        </is>
      </c>
      <c r="F31" s="9" t="n">
        <v>1</v>
      </c>
      <c r="G31" s="9" t="n">
        <v>1.3</v>
      </c>
      <c r="H31" s="9" t="n">
        <v>1.3</v>
      </c>
      <c r="I31" s="9" t="n">
        <v>1.5</v>
      </c>
      <c r="J31" s="9">
        <f>F31*G31*H31*I31</f>
        <v/>
      </c>
      <c r="K31" s="9" t="n"/>
    </row>
    <row r="32">
      <c r="A32" s="8" t="n"/>
      <c r="B32" s="8" t="inlineStr">
        <is>
          <t>F</t>
        </is>
      </c>
      <c r="C32" s="8" t="inlineStr">
        <is>
          <t>9</t>
        </is>
      </c>
      <c r="D32" s="9" t="n"/>
      <c r="E32" s="9" t="inlineStr">
        <is>
          <t>M3</t>
        </is>
      </c>
      <c r="F32" s="9" t="n">
        <v>1</v>
      </c>
      <c r="G32" s="9" t="n">
        <v>1.3</v>
      </c>
      <c r="H32" s="9" t="n">
        <v>1.3</v>
      </c>
      <c r="I32" s="9" t="n">
        <v>1.5</v>
      </c>
      <c r="J32" s="9">
        <f>F32*G32*H32*I32</f>
        <v/>
      </c>
      <c r="K32" s="9" t="n"/>
    </row>
    <row r="33">
      <c r="A33" s="8" t="n"/>
      <c r="B33" s="8" t="inlineStr">
        <is>
          <t>L</t>
        </is>
      </c>
      <c r="C33" s="8" t="inlineStr">
        <is>
          <t>7</t>
        </is>
      </c>
      <c r="D33" s="9" t="n"/>
      <c r="E33" s="9" t="inlineStr">
        <is>
          <t>M3</t>
        </is>
      </c>
      <c r="F33" s="9" t="n">
        <v>1</v>
      </c>
      <c r="G33" s="9" t="n">
        <v>1.3</v>
      </c>
      <c r="H33" s="9" t="n">
        <v>1.3</v>
      </c>
      <c r="I33" s="9" t="n">
        <v>1.5</v>
      </c>
      <c r="J33" s="9">
        <f>F33*G33*H33*I33</f>
        <v/>
      </c>
      <c r="K33" s="9" t="n"/>
    </row>
    <row r="34">
      <c r="A34" s="8" t="n"/>
      <c r="B34" s="8" t="inlineStr">
        <is>
          <t>T</t>
        </is>
      </c>
      <c r="C34" s="8" t="inlineStr">
        <is>
          <t>7</t>
        </is>
      </c>
      <c r="D34" s="9" t="n"/>
      <c r="E34" s="9" t="inlineStr">
        <is>
          <t>M3</t>
        </is>
      </c>
      <c r="F34" s="9" t="n">
        <v>1</v>
      </c>
      <c r="G34" s="9" t="n">
        <v>1.3</v>
      </c>
      <c r="H34" s="9" t="n">
        <v>1.3</v>
      </c>
      <c r="I34" s="9" t="n">
        <v>1.5</v>
      </c>
      <c r="J34" s="9">
        <f>F34*G34*H34*I34</f>
        <v/>
      </c>
      <c r="K34" s="9" t="n"/>
    </row>
    <row r="35">
      <c r="A35" s="8" t="n"/>
      <c r="B35" s="8" t="inlineStr">
        <is>
          <t>P</t>
        </is>
      </c>
      <c r="C35" s="8" t="inlineStr">
        <is>
          <t>8</t>
        </is>
      </c>
      <c r="D35" s="9" t="n"/>
      <c r="E35" s="9" t="inlineStr">
        <is>
          <t>M3</t>
        </is>
      </c>
      <c r="F35" s="9" t="n">
        <v>1</v>
      </c>
      <c r="G35" s="9" t="n">
        <v>1.3</v>
      </c>
      <c r="H35" s="9" t="n">
        <v>1.3</v>
      </c>
      <c r="I35" s="9" t="n">
        <v>1.5</v>
      </c>
      <c r="J35" s="9">
        <f>F35*G35*H35*I35</f>
        <v/>
      </c>
      <c r="K35" s="9" t="n"/>
    </row>
    <row r="36">
      <c r="A36" s="8" t="n"/>
      <c r="B36" s="8" t="inlineStr">
        <is>
          <t>B</t>
        </is>
      </c>
      <c r="C36" s="8" t="inlineStr">
        <is>
          <t>16</t>
        </is>
      </c>
      <c r="D36" s="9" t="n"/>
      <c r="E36" s="9" t="inlineStr">
        <is>
          <t>M3</t>
        </is>
      </c>
      <c r="F36" s="9" t="n">
        <v>1</v>
      </c>
      <c r="G36" s="9" t="n">
        <v>1.3</v>
      </c>
      <c r="H36" s="9" t="n">
        <v>1.3</v>
      </c>
      <c r="I36" s="9" t="n">
        <v>1.5</v>
      </c>
      <c r="J36" s="9">
        <f>F36*G36*H36*I36</f>
        <v/>
      </c>
      <c r="K36" s="9" t="n"/>
    </row>
    <row r="37">
      <c r="A37" s="8" t="n"/>
      <c r="B37" s="8" t="inlineStr">
        <is>
          <t>B</t>
        </is>
      </c>
      <c r="C37" s="8" t="inlineStr">
        <is>
          <t>18</t>
        </is>
      </c>
      <c r="D37" s="9" t="n"/>
      <c r="E37" s="9" t="inlineStr">
        <is>
          <t>M3</t>
        </is>
      </c>
      <c r="F37" s="9" t="n">
        <v>1</v>
      </c>
      <c r="G37" s="9" t="n">
        <v>1.3</v>
      </c>
      <c r="H37" s="9" t="n">
        <v>1.3</v>
      </c>
      <c r="I37" s="9" t="n">
        <v>1.5</v>
      </c>
      <c r="J37" s="9">
        <f>F37*G37*H37*I37</f>
        <v/>
      </c>
      <c r="K37" s="9" t="n"/>
    </row>
    <row r="38">
      <c r="A38" s="8" t="n"/>
      <c r="B38" s="8" t="inlineStr">
        <is>
          <t>S</t>
        </is>
      </c>
      <c r="C38" s="8" t="inlineStr">
        <is>
          <t>4</t>
        </is>
      </c>
      <c r="D38" s="9" t="n"/>
      <c r="E38" s="9" t="inlineStr">
        <is>
          <t>M3</t>
        </is>
      </c>
      <c r="F38" s="9" t="n">
        <v>1</v>
      </c>
      <c r="G38" s="9" t="n">
        <v>1.3</v>
      </c>
      <c r="H38" s="9" t="n">
        <v>1.3</v>
      </c>
      <c r="I38" s="9" t="n">
        <v>1.5</v>
      </c>
      <c r="J38" s="9">
        <f>F38*G38*H38*I38</f>
        <v/>
      </c>
      <c r="K38" s="9" t="n"/>
    </row>
    <row r="39">
      <c r="A39" s="8" t="n"/>
      <c r="B39" s="8" t="inlineStr">
        <is>
          <t>D</t>
        </is>
      </c>
      <c r="C39" s="8" t="inlineStr">
        <is>
          <t>4</t>
        </is>
      </c>
      <c r="D39" s="9" t="n"/>
      <c r="E39" s="9" t="inlineStr">
        <is>
          <t>M3</t>
        </is>
      </c>
      <c r="F39" s="9" t="n">
        <v>1</v>
      </c>
      <c r="G39" s="9" t="n">
        <v>1.4</v>
      </c>
      <c r="H39" s="9" t="n">
        <v>1.4</v>
      </c>
      <c r="I39" s="9" t="n">
        <v>1.5</v>
      </c>
      <c r="J39" s="9">
        <f>F39*G39*H39*I39</f>
        <v/>
      </c>
      <c r="K39" s="9" t="n"/>
    </row>
    <row r="40">
      <c r="A40" s="8" t="n"/>
      <c r="B40" s="8" t="inlineStr">
        <is>
          <t>D</t>
        </is>
      </c>
      <c r="C40" s="8" t="inlineStr">
        <is>
          <t>3</t>
        </is>
      </c>
      <c r="D40" s="9" t="n"/>
      <c r="E40" s="9" t="inlineStr">
        <is>
          <t>M3</t>
        </is>
      </c>
      <c r="F40" s="9" t="n">
        <v>1</v>
      </c>
      <c r="G40" s="9" t="n">
        <v>1.3</v>
      </c>
      <c r="H40" s="9" t="n">
        <v>1.3</v>
      </c>
      <c r="I40" s="9" t="n">
        <v>1.5</v>
      </c>
      <c r="J40" s="9">
        <f>F40*G40*H40*I40</f>
        <v/>
      </c>
      <c r="K40" s="9" t="n"/>
    </row>
    <row r="41">
      <c r="A41" s="8" t="n"/>
      <c r="B41" s="8" t="inlineStr">
        <is>
          <t>G</t>
        </is>
      </c>
      <c r="C41" s="8" t="inlineStr">
        <is>
          <t>3</t>
        </is>
      </c>
      <c r="D41" s="9" t="n"/>
      <c r="E41" s="9" t="inlineStr">
        <is>
          <t>M3</t>
        </is>
      </c>
      <c r="F41" s="9" t="n">
        <v>1</v>
      </c>
      <c r="G41" s="9" t="n">
        <v>1.3</v>
      </c>
      <c r="H41" s="9" t="n">
        <v>1.3</v>
      </c>
      <c r="I41" s="9" t="n">
        <v>1.5</v>
      </c>
      <c r="J41" s="9">
        <f>F41*G41*H41*I41</f>
        <v/>
      </c>
      <c r="K41" s="9" t="n"/>
    </row>
    <row r="42">
      <c r="A42" s="8" t="n"/>
      <c r="B42" s="8" t="inlineStr">
        <is>
          <t>G</t>
        </is>
      </c>
      <c r="C42" s="8" t="inlineStr">
        <is>
          <t>2</t>
        </is>
      </c>
      <c r="D42" s="9" t="n"/>
      <c r="E42" s="9" t="inlineStr">
        <is>
          <t>M3</t>
        </is>
      </c>
      <c r="F42" s="9" t="n">
        <v>1</v>
      </c>
      <c r="G42" s="9" t="n">
        <v>1.3</v>
      </c>
      <c r="H42" s="9" t="n">
        <v>2.3</v>
      </c>
      <c r="I42" s="9" t="n">
        <v>1.5</v>
      </c>
      <c r="J42" s="9">
        <f>F42*G42*H42*I42</f>
        <v/>
      </c>
      <c r="K42" s="9" t="n"/>
    </row>
    <row r="43">
      <c r="A43" s="8" t="n"/>
      <c r="B43" s="8" t="inlineStr">
        <is>
          <t>G</t>
        </is>
      </c>
      <c r="C43" s="8" t="inlineStr">
        <is>
          <t>4</t>
        </is>
      </c>
      <c r="D43" s="9" t="n"/>
      <c r="E43" s="9" t="inlineStr">
        <is>
          <t>M3</t>
        </is>
      </c>
      <c r="F43" s="9" t="n">
        <v>1</v>
      </c>
      <c r="G43" s="9" t="n">
        <v>1.4</v>
      </c>
      <c r="H43" s="9" t="n">
        <v>1.4</v>
      </c>
      <c r="I43" s="9" t="n">
        <v>1.5</v>
      </c>
      <c r="J43" s="9">
        <f>F43*G43*H43*I43</f>
        <v/>
      </c>
      <c r="K43" s="9" t="n"/>
    </row>
    <row r="44">
      <c r="A44" s="8" t="n"/>
      <c r="B44" s="8" t="inlineStr">
        <is>
          <t>C</t>
        </is>
      </c>
      <c r="C44" s="8" t="inlineStr">
        <is>
          <t>4</t>
        </is>
      </c>
      <c r="D44" s="9" t="n"/>
      <c r="E44" s="9" t="inlineStr">
        <is>
          <t>M3</t>
        </is>
      </c>
      <c r="F44" s="9" t="n">
        <v>1</v>
      </c>
      <c r="G44" s="9" t="n">
        <v>1.3</v>
      </c>
      <c r="H44" s="9" t="n">
        <v>1.3</v>
      </c>
      <c r="I44" s="9" t="n">
        <v>1.5</v>
      </c>
      <c r="J44" s="9">
        <f>F44*G44*H44*I44</f>
        <v/>
      </c>
      <c r="K44" s="9" t="n"/>
    </row>
    <row r="45">
      <c r="A45" s="8" t="n"/>
      <c r="B45" s="8" t="inlineStr">
        <is>
          <t>E</t>
        </is>
      </c>
      <c r="C45" s="8" t="inlineStr">
        <is>
          <t>4</t>
        </is>
      </c>
      <c r="D45" s="9" t="n"/>
      <c r="E45" s="9" t="inlineStr">
        <is>
          <t>M3</t>
        </is>
      </c>
      <c r="F45" s="9" t="n">
        <v>1</v>
      </c>
      <c r="G45" s="9" t="n">
        <v>1.3</v>
      </c>
      <c r="H45" s="9" t="n">
        <v>1.3</v>
      </c>
      <c r="I45" s="9" t="n">
        <v>1.5</v>
      </c>
      <c r="J45" s="9">
        <f>F45*G45*H45*I45</f>
        <v/>
      </c>
      <c r="K45" s="9" t="n"/>
    </row>
    <row r="46">
      <c r="A46" s="8" t="n"/>
      <c r="B46" s="8" t="inlineStr">
        <is>
          <t>F</t>
        </is>
      </c>
      <c r="C46" s="8" t="inlineStr">
        <is>
          <t>4</t>
        </is>
      </c>
      <c r="D46" s="9" t="n"/>
      <c r="E46" s="9" t="inlineStr">
        <is>
          <t>M3</t>
        </is>
      </c>
      <c r="F46" s="9" t="n">
        <v>1</v>
      </c>
      <c r="G46" s="9" t="n">
        <v>1.3</v>
      </c>
      <c r="H46" s="9" t="n">
        <v>1.3</v>
      </c>
      <c r="I46" s="9" t="n">
        <v>1.5</v>
      </c>
      <c r="J46" s="9">
        <f>F46*G46*H46*I46</f>
        <v/>
      </c>
      <c r="K46" s="9" t="n"/>
    </row>
    <row r="47">
      <c r="A47" s="8" t="n"/>
      <c r="B47" s="8" t="inlineStr">
        <is>
          <t>H</t>
        </is>
      </c>
      <c r="C47" s="8" t="inlineStr">
        <is>
          <t>4</t>
        </is>
      </c>
      <c r="D47" s="9" t="n"/>
      <c r="E47" s="9" t="inlineStr">
        <is>
          <t>M3</t>
        </is>
      </c>
      <c r="F47" s="9" t="n">
        <v>1</v>
      </c>
      <c r="G47" s="9" t="n">
        <v>1.3</v>
      </c>
      <c r="H47" s="9" t="n">
        <v>1.3</v>
      </c>
      <c r="I47" s="9" t="n">
        <v>1.5</v>
      </c>
      <c r="J47" s="9">
        <f>F47*G47*H47*I47</f>
        <v/>
      </c>
      <c r="K47" s="9" t="n"/>
    </row>
    <row r="48">
      <c r="A48" s="8" t="n"/>
      <c r="B48" s="8" t="inlineStr">
        <is>
          <t>I</t>
        </is>
      </c>
      <c r="C48" s="8" t="inlineStr">
        <is>
          <t>4</t>
        </is>
      </c>
      <c r="D48" s="9" t="n"/>
      <c r="E48" s="9" t="inlineStr">
        <is>
          <t>M3</t>
        </is>
      </c>
      <c r="F48" s="9" t="n">
        <v>1</v>
      </c>
      <c r="G48" s="9" t="n">
        <v>1.3</v>
      </c>
      <c r="H48" s="9" t="n">
        <v>1.3</v>
      </c>
      <c r="I48" s="9" t="n">
        <v>1.5</v>
      </c>
      <c r="J48" s="9">
        <f>F48*G48*H48*I48</f>
        <v/>
      </c>
      <c r="K48" s="9" t="n"/>
    </row>
    <row r="49">
      <c r="A49" s="8" t="n"/>
      <c r="B49" s="8" t="inlineStr">
        <is>
          <t>D</t>
        </is>
      </c>
      <c r="C49" s="8" t="inlineStr">
        <is>
          <t>2</t>
        </is>
      </c>
      <c r="D49" s="9" t="n"/>
      <c r="E49" s="9" t="inlineStr">
        <is>
          <t>M3</t>
        </is>
      </c>
      <c r="F49" s="9" t="n">
        <v>1</v>
      </c>
      <c r="G49" s="9" t="n">
        <v>1.3</v>
      </c>
      <c r="H49" s="9" t="n">
        <v>2.3</v>
      </c>
      <c r="I49" s="9" t="n">
        <v>1.5</v>
      </c>
      <c r="J49" s="9">
        <f>F49*G49*H49*I49</f>
        <v/>
      </c>
      <c r="K49" s="9" t="n"/>
    </row>
    <row r="50">
      <c r="A50" s="8" t="n"/>
      <c r="B50" s="8" t="inlineStr">
        <is>
          <t>E</t>
        </is>
      </c>
      <c r="C50" s="8" t="inlineStr">
        <is>
          <t>6</t>
        </is>
      </c>
      <c r="D50" s="9" t="n"/>
      <c r="E50" s="9" t="inlineStr">
        <is>
          <t>M3</t>
        </is>
      </c>
      <c r="F50" s="9" t="n">
        <v>1</v>
      </c>
      <c r="G50" s="9" t="n">
        <v>1.3</v>
      </c>
      <c r="H50" s="9" t="n">
        <v>1.3</v>
      </c>
      <c r="I50" s="9" t="n">
        <v>1.5</v>
      </c>
      <c r="J50" s="9">
        <f>F50*G50*H50*I50</f>
        <v/>
      </c>
      <c r="K50" s="9" t="n"/>
    </row>
    <row r="51">
      <c r="A51" s="8" t="n"/>
      <c r="B51" s="8" t="inlineStr">
        <is>
          <t>F</t>
        </is>
      </c>
      <c r="C51" s="8" t="inlineStr">
        <is>
          <t>7</t>
        </is>
      </c>
      <c r="D51" s="9" t="n"/>
      <c r="E51" s="9" t="inlineStr">
        <is>
          <t>M3</t>
        </is>
      </c>
      <c r="F51" s="9" t="n">
        <v>1</v>
      </c>
      <c r="G51" s="9" t="n">
        <v>1.4</v>
      </c>
      <c r="H51" s="9" t="n">
        <v>1.4</v>
      </c>
      <c r="I51" s="9" t="n">
        <v>1.5</v>
      </c>
      <c r="J51" s="9">
        <f>F51*G51*H51*I51</f>
        <v/>
      </c>
      <c r="K51" s="9" t="n"/>
    </row>
    <row r="52">
      <c r="A52" s="8" t="n"/>
      <c r="B52" s="8" t="inlineStr">
        <is>
          <t>E</t>
        </is>
      </c>
      <c r="C52" s="8" t="inlineStr">
        <is>
          <t>4</t>
        </is>
      </c>
      <c r="D52" s="9" t="n"/>
      <c r="E52" s="9" t="inlineStr">
        <is>
          <t>M3</t>
        </is>
      </c>
      <c r="F52" s="9" t="n">
        <v>1</v>
      </c>
      <c r="G52" s="9" t="n">
        <v>1.3</v>
      </c>
      <c r="H52" s="9" t="n">
        <v>1.3</v>
      </c>
      <c r="I52" s="9" t="n">
        <v>1.5</v>
      </c>
      <c r="J52" s="9">
        <f>F52*G52*H52*I52</f>
        <v/>
      </c>
      <c r="K52" s="9" t="n"/>
    </row>
    <row r="53">
      <c r="A53" s="8" t="n"/>
      <c r="B53" s="8" t="inlineStr">
        <is>
          <t>F</t>
        </is>
      </c>
      <c r="C53" s="8" t="inlineStr">
        <is>
          <t>4</t>
        </is>
      </c>
      <c r="D53" s="9" t="n"/>
      <c r="E53" s="9" t="inlineStr">
        <is>
          <t>M3</t>
        </is>
      </c>
      <c r="F53" s="9" t="n">
        <v>1</v>
      </c>
      <c r="G53" s="9" t="n">
        <v>1.3</v>
      </c>
      <c r="H53" s="9" t="n">
        <v>1.3</v>
      </c>
      <c r="I53" s="9" t="n">
        <v>1.5</v>
      </c>
      <c r="J53" s="9">
        <f>F53*G53*H53*I53</f>
        <v/>
      </c>
      <c r="K53" s="9" t="n"/>
    </row>
    <row r="54">
      <c r="A54" s="8" t="n"/>
      <c r="B54" s="8" t="inlineStr">
        <is>
          <t>I</t>
        </is>
      </c>
      <c r="C54" s="8" t="inlineStr">
        <is>
          <t>6</t>
        </is>
      </c>
      <c r="D54" s="9" t="n"/>
      <c r="E54" s="9" t="inlineStr">
        <is>
          <t>M3</t>
        </is>
      </c>
      <c r="F54" s="9" t="n">
        <v>1</v>
      </c>
      <c r="G54" s="9" t="n">
        <v>1.3</v>
      </c>
      <c r="H54" s="9" t="n">
        <v>1.3</v>
      </c>
      <c r="I54" s="9" t="n">
        <v>1.5</v>
      </c>
      <c r="J54" s="9">
        <f>F54*G54*H54*I54</f>
        <v/>
      </c>
      <c r="K54" s="9" t="n"/>
    </row>
    <row r="55">
      <c r="A55" s="8" t="n"/>
      <c r="B55" s="8" t="inlineStr">
        <is>
          <t>H</t>
        </is>
      </c>
      <c r="C55" s="8" t="inlineStr">
        <is>
          <t>3</t>
        </is>
      </c>
      <c r="D55" s="9" t="n"/>
      <c r="E55" s="9" t="inlineStr">
        <is>
          <t>M3</t>
        </is>
      </c>
      <c r="F55" s="9" t="n">
        <v>1</v>
      </c>
      <c r="G55" s="9" t="n">
        <v>1.3</v>
      </c>
      <c r="H55" s="9" t="n">
        <v>2.3</v>
      </c>
      <c r="I55" s="9" t="n">
        <v>1.5</v>
      </c>
      <c r="J55" s="9">
        <f>F55*G55*H55*I55</f>
        <v/>
      </c>
      <c r="K55" s="9" t="n"/>
    </row>
    <row r="56">
      <c r="A56" s="8" t="n"/>
      <c r="B56" s="8" t="inlineStr">
        <is>
          <t>E</t>
        </is>
      </c>
      <c r="C56" s="8" t="inlineStr">
        <is>
          <t>3</t>
        </is>
      </c>
      <c r="D56" s="9" t="n"/>
      <c r="E56" s="9" t="inlineStr">
        <is>
          <t>M3</t>
        </is>
      </c>
      <c r="F56" s="9" t="n">
        <v>1</v>
      </c>
      <c r="G56" s="9" t="n">
        <v>1.3</v>
      </c>
      <c r="H56" s="9" t="n">
        <v>1.3</v>
      </c>
      <c r="I56" s="9" t="n">
        <v>1.5</v>
      </c>
      <c r="J56" s="9">
        <f>F56*G56*H56*I56</f>
        <v/>
      </c>
      <c r="K56" s="9" t="n"/>
    </row>
    <row r="57">
      <c r="A57" s="8" t="n"/>
      <c r="B57" s="8" t="inlineStr">
        <is>
          <t>I</t>
        </is>
      </c>
      <c r="C57" s="8" t="inlineStr">
        <is>
          <t>3</t>
        </is>
      </c>
      <c r="D57" s="9" t="n"/>
      <c r="E57" s="9" t="inlineStr">
        <is>
          <t>M3</t>
        </is>
      </c>
      <c r="F57" s="9" t="n">
        <v>1</v>
      </c>
      <c r="G57" s="9" t="n">
        <v>1.3</v>
      </c>
      <c r="H57" s="9" t="n">
        <v>1.3</v>
      </c>
      <c r="I57" s="9" t="n">
        <v>1.5</v>
      </c>
      <c r="J57" s="9">
        <f>F57*G57*H57*I57</f>
        <v/>
      </c>
      <c r="K57" s="9" t="n"/>
    </row>
    <row r="58">
      <c r="A58" s="8" t="n"/>
      <c r="B58" s="8" t="inlineStr">
        <is>
          <t>A</t>
        </is>
      </c>
      <c r="C58" s="8" t="inlineStr">
        <is>
          <t>17</t>
        </is>
      </c>
      <c r="D58" s="9" t="n"/>
      <c r="E58" s="9" t="inlineStr">
        <is>
          <t>M3</t>
        </is>
      </c>
      <c r="F58" s="9" t="n">
        <v>1</v>
      </c>
      <c r="G58" s="9" t="n">
        <v>1.3</v>
      </c>
      <c r="H58" s="9" t="n">
        <v>2.3</v>
      </c>
      <c r="I58" s="9" t="n">
        <v>1.5</v>
      </c>
      <c r="J58" s="9">
        <f>F58*G58*H58*I58</f>
        <v/>
      </c>
      <c r="K58" s="9" t="n"/>
    </row>
    <row r="59">
      <c r="A59" s="8" t="n"/>
      <c r="B59" s="8" t="inlineStr">
        <is>
          <t>A</t>
        </is>
      </c>
      <c r="C59" s="8" t="inlineStr">
        <is>
          <t>17</t>
        </is>
      </c>
      <c r="D59" s="9" t="n"/>
      <c r="E59" s="9" t="inlineStr">
        <is>
          <t>M3</t>
        </is>
      </c>
      <c r="F59" s="9" t="n">
        <v>1</v>
      </c>
      <c r="G59" s="9" t="n">
        <v>1.3</v>
      </c>
      <c r="H59" s="9" t="n">
        <v>1.3</v>
      </c>
      <c r="I59" s="9" t="n">
        <v>1.5</v>
      </c>
      <c r="J59" s="9">
        <f>F59*G59*H59*I59</f>
        <v/>
      </c>
      <c r="K59" s="9" t="n"/>
    </row>
    <row r="60">
      <c r="A60" s="8" t="n"/>
      <c r="B60" s="8" t="inlineStr">
        <is>
          <t>A</t>
        </is>
      </c>
      <c r="C60" s="8" t="inlineStr">
        <is>
          <t>17</t>
        </is>
      </c>
      <c r="D60" s="9" t="n"/>
      <c r="E60" s="9" t="inlineStr">
        <is>
          <t>M3</t>
        </is>
      </c>
      <c r="F60" s="9" t="n">
        <v>1</v>
      </c>
      <c r="G60" s="9" t="n">
        <v>1.3</v>
      </c>
      <c r="H60" s="9" t="n">
        <v>1.3</v>
      </c>
      <c r="I60" s="9" t="n">
        <v>1.5</v>
      </c>
      <c r="J60" s="9">
        <f>F60*G60*H60*I60</f>
        <v/>
      </c>
      <c r="K60" s="9" t="n"/>
    </row>
    <row r="61">
      <c r="A61" s="8" t="n"/>
      <c r="B61" s="8" t="inlineStr">
        <is>
          <t>A</t>
        </is>
      </c>
      <c r="C61" s="8" t="inlineStr">
        <is>
          <t>17</t>
        </is>
      </c>
      <c r="D61" s="9" t="n"/>
      <c r="E61" s="9" t="inlineStr">
        <is>
          <t>M3</t>
        </is>
      </c>
      <c r="F61" s="9" t="n">
        <v>1</v>
      </c>
      <c r="G61" s="9" t="n">
        <v>1.3</v>
      </c>
      <c r="H61" s="9" t="n">
        <v>1.3</v>
      </c>
      <c r="I61" s="9" t="n">
        <v>1.5</v>
      </c>
      <c r="J61" s="9">
        <f>F61*G61*H61*I61</f>
        <v/>
      </c>
      <c r="K61" s="9" t="n"/>
    </row>
    <row r="62">
      <c r="A62" s="8" t="n"/>
      <c r="B62" s="8" t="inlineStr">
        <is>
          <t>A</t>
        </is>
      </c>
      <c r="C62" s="8" t="inlineStr">
        <is>
          <t>17</t>
        </is>
      </c>
      <c r="D62" s="9" t="n"/>
      <c r="E62" s="9" t="inlineStr">
        <is>
          <t>M3</t>
        </is>
      </c>
      <c r="F62" s="9" t="n">
        <v>1</v>
      </c>
      <c r="G62" s="9" t="n">
        <v>1.3</v>
      </c>
      <c r="H62" s="9" t="n">
        <v>1.3</v>
      </c>
      <c r="I62" s="9" t="n">
        <v>1.5</v>
      </c>
      <c r="J62" s="9">
        <f>F62*G62*H62*I62</f>
        <v/>
      </c>
      <c r="K62" s="9" t="n"/>
    </row>
    <row r="63">
      <c r="A63" s="8" t="n"/>
      <c r="B63" s="8" t="inlineStr">
        <is>
          <t>A</t>
        </is>
      </c>
      <c r="C63" s="8" t="inlineStr">
        <is>
          <t>17</t>
        </is>
      </c>
      <c r="D63" s="9" t="n"/>
      <c r="E63" s="9" t="inlineStr">
        <is>
          <t>M3</t>
        </is>
      </c>
      <c r="F63" s="9" t="n">
        <v>1</v>
      </c>
      <c r="G63" s="9" t="n">
        <v>1.3</v>
      </c>
      <c r="H63" s="9" t="n">
        <v>1.3</v>
      </c>
      <c r="I63" s="9" t="n">
        <v>1.5</v>
      </c>
      <c r="J63" s="9">
        <f>F63*G63*H63*I63</f>
        <v/>
      </c>
      <c r="K63" s="9" t="n"/>
    </row>
    <row r="64">
      <c r="A64" s="8" t="n"/>
      <c r="B64" s="8" t="inlineStr">
        <is>
          <t>A</t>
        </is>
      </c>
      <c r="C64" s="8" t="inlineStr">
        <is>
          <t>17</t>
        </is>
      </c>
      <c r="D64" s="9" t="n"/>
      <c r="E64" s="9" t="inlineStr">
        <is>
          <t>M3</t>
        </is>
      </c>
      <c r="F64" s="9" t="n">
        <v>1</v>
      </c>
      <c r="G64" s="9" t="n">
        <v>1.3</v>
      </c>
      <c r="H64" s="9" t="n">
        <v>1.3</v>
      </c>
      <c r="I64" s="9" t="n">
        <v>1.5</v>
      </c>
      <c r="J64" s="9">
        <f>F64*G64*H64*I64</f>
        <v/>
      </c>
      <c r="K64" s="9" t="n"/>
    </row>
    <row r="65">
      <c r="A65" s="8" t="n"/>
      <c r="B65" s="8" t="inlineStr">
        <is>
          <t>A</t>
        </is>
      </c>
      <c r="C65" s="8" t="inlineStr">
        <is>
          <t>17</t>
        </is>
      </c>
      <c r="D65" s="9" t="n"/>
      <c r="E65" s="9" t="inlineStr">
        <is>
          <t>M3</t>
        </is>
      </c>
      <c r="F65" s="9" t="n">
        <v>1</v>
      </c>
      <c r="G65" s="9" t="n">
        <v>1.3</v>
      </c>
      <c r="H65" s="9" t="n">
        <v>1.3</v>
      </c>
      <c r="I65" s="9" t="n">
        <v>1.5</v>
      </c>
      <c r="J65" s="9">
        <f>F65*G65*H65*I65</f>
        <v/>
      </c>
      <c r="K65" s="9" t="n"/>
    </row>
    <row r="66">
      <c r="A66" s="8" t="n"/>
      <c r="B66" s="8" t="inlineStr">
        <is>
          <t>A</t>
        </is>
      </c>
      <c r="C66" s="8" t="inlineStr">
        <is>
          <t>17</t>
        </is>
      </c>
      <c r="D66" s="9" t="n"/>
      <c r="E66" s="9" t="inlineStr">
        <is>
          <t>M3</t>
        </is>
      </c>
      <c r="F66" s="9" t="n">
        <v>1</v>
      </c>
      <c r="G66" s="9" t="n">
        <v>1.3</v>
      </c>
      <c r="H66" s="9" t="n">
        <v>1.3</v>
      </c>
      <c r="I66" s="9" t="n">
        <v>1.5</v>
      </c>
      <c r="J66" s="9">
        <f>F66*G66*H66*I66</f>
        <v/>
      </c>
      <c r="K66" s="9" t="n"/>
    </row>
    <row r="67">
      <c r="A67" s="8" t="n"/>
      <c r="B67" s="8" t="inlineStr">
        <is>
          <t>A</t>
        </is>
      </c>
      <c r="C67" s="8" t="inlineStr">
        <is>
          <t>17</t>
        </is>
      </c>
      <c r="D67" s="9" t="n"/>
      <c r="E67" s="9" t="inlineStr">
        <is>
          <t>M3</t>
        </is>
      </c>
      <c r="F67" s="9" t="n">
        <v>1</v>
      </c>
      <c r="G67" s="9" t="n">
        <v>1.4</v>
      </c>
      <c r="H67" s="9" t="n">
        <v>1.4</v>
      </c>
      <c r="I67" s="9" t="n">
        <v>1.5</v>
      </c>
      <c r="J67" s="9">
        <f>F67*G67*H67*I67</f>
        <v/>
      </c>
      <c r="K67" s="9" t="n"/>
    </row>
    <row r="68">
      <c r="A68" s="8" t="n"/>
      <c r="B68" s="8" t="inlineStr">
        <is>
          <t>A</t>
        </is>
      </c>
      <c r="C68" s="8" t="inlineStr">
        <is>
          <t>17</t>
        </is>
      </c>
      <c r="D68" s="9" t="n"/>
      <c r="E68" s="9" t="inlineStr">
        <is>
          <t>M3</t>
        </is>
      </c>
      <c r="F68" s="9" t="n">
        <v>1</v>
      </c>
      <c r="G68" s="9" t="n">
        <v>1.3</v>
      </c>
      <c r="H68" s="9" t="n">
        <v>2.3</v>
      </c>
      <c r="I68" s="9" t="n">
        <v>1.5</v>
      </c>
      <c r="J68" s="9">
        <f>F68*G68*H68*I68</f>
        <v/>
      </c>
      <c r="K68" s="9" t="n"/>
    </row>
    <row r="69">
      <c r="A69" s="8" t="n"/>
      <c r="B69" s="8" t="inlineStr">
        <is>
          <t>A</t>
        </is>
      </c>
      <c r="C69" s="8" t="inlineStr">
        <is>
          <t>17</t>
        </is>
      </c>
      <c r="D69" s="9" t="n"/>
      <c r="E69" s="9" t="inlineStr">
        <is>
          <t>M3</t>
        </is>
      </c>
      <c r="F69" s="9" t="n">
        <v>1</v>
      </c>
      <c r="G69" s="9" t="n">
        <v>1.3</v>
      </c>
      <c r="H69" s="9" t="n">
        <v>1.3</v>
      </c>
      <c r="I69" s="9" t="n">
        <v>1.5</v>
      </c>
      <c r="J69" s="9">
        <f>F69*G69*H69*I69</f>
        <v/>
      </c>
      <c r="K69" s="9" t="n"/>
    </row>
    <row r="70">
      <c r="A70" s="8" t="n"/>
      <c r="B70" s="8" t="inlineStr">
        <is>
          <t>A</t>
        </is>
      </c>
      <c r="C70" s="8" t="inlineStr">
        <is>
          <t>17</t>
        </is>
      </c>
      <c r="D70" s="9" t="n"/>
      <c r="E70" s="9" t="inlineStr">
        <is>
          <t>M3</t>
        </is>
      </c>
      <c r="F70" s="9" t="n">
        <v>1</v>
      </c>
      <c r="G70" s="9" t="n">
        <v>1.3</v>
      </c>
      <c r="H70" s="9" t="n">
        <v>1.3</v>
      </c>
      <c r="I70" s="9" t="n">
        <v>1.5</v>
      </c>
      <c r="J70" s="9">
        <f>F70*G70*H70*I70</f>
        <v/>
      </c>
      <c r="K70" s="9" t="n"/>
    </row>
    <row r="71">
      <c r="A71" s="8" t="n"/>
      <c r="B71" s="8" t="inlineStr">
        <is>
          <t>A</t>
        </is>
      </c>
      <c r="C71" s="8" t="inlineStr">
        <is>
          <t>17</t>
        </is>
      </c>
      <c r="D71" s="9" t="n"/>
      <c r="E71" s="9" t="inlineStr">
        <is>
          <t>M3</t>
        </is>
      </c>
      <c r="F71" s="9" t="n">
        <v>1</v>
      </c>
      <c r="G71" s="9" t="n">
        <v>1.3</v>
      </c>
      <c r="H71" s="9" t="n">
        <v>1.3</v>
      </c>
      <c r="I71" s="9" t="n">
        <v>1.5</v>
      </c>
      <c r="J71" s="9">
        <f>F71*G71*H71*I71</f>
        <v/>
      </c>
      <c r="K71" s="9" t="n"/>
    </row>
    <row r="72">
      <c r="A72" s="8" t="n"/>
      <c r="B72" s="8" t="inlineStr">
        <is>
          <t>A</t>
        </is>
      </c>
      <c r="C72" s="8" t="inlineStr">
        <is>
          <t>17</t>
        </is>
      </c>
      <c r="D72" s="9" t="n"/>
      <c r="E72" s="9" t="inlineStr">
        <is>
          <t>M3</t>
        </is>
      </c>
      <c r="F72" s="9" t="n">
        <v>1</v>
      </c>
      <c r="G72" s="9" t="n">
        <v>1.3</v>
      </c>
      <c r="H72" s="9" t="n">
        <v>1.3</v>
      </c>
      <c r="I72" s="9" t="n">
        <v>1.5</v>
      </c>
      <c r="J72" s="9">
        <f>F72*G72*H72*I72</f>
        <v/>
      </c>
      <c r="K72" s="9" t="n"/>
    </row>
    <row r="73">
      <c r="A73" s="8" t="n"/>
      <c r="B73" s="8" t="inlineStr">
        <is>
          <t>A</t>
        </is>
      </c>
      <c r="C73" s="8" t="inlineStr">
        <is>
          <t>17</t>
        </is>
      </c>
      <c r="D73" s="9" t="n"/>
      <c r="E73" s="9" t="inlineStr">
        <is>
          <t>M3</t>
        </is>
      </c>
      <c r="F73" s="9" t="n">
        <v>1</v>
      </c>
      <c r="G73" s="9" t="n">
        <v>1.3</v>
      </c>
      <c r="H73" s="9" t="n">
        <v>1.3</v>
      </c>
      <c r="I73" s="9" t="n">
        <v>1.5</v>
      </c>
      <c r="J73" s="9">
        <f>F73*G73*H73*I73</f>
        <v/>
      </c>
      <c r="K73" s="9" t="n"/>
    </row>
    <row r="74">
      <c r="A74" s="8" t="n"/>
      <c r="B74" s="8" t="inlineStr">
        <is>
          <t>A</t>
        </is>
      </c>
      <c r="C74" s="8" t="inlineStr">
        <is>
          <t>17</t>
        </is>
      </c>
      <c r="D74" s="9" t="n"/>
      <c r="E74" s="9" t="inlineStr">
        <is>
          <t>M3</t>
        </is>
      </c>
      <c r="F74" s="9" t="n">
        <v>1</v>
      </c>
      <c r="G74" s="9" t="n">
        <v>1.3</v>
      </c>
      <c r="H74" s="9" t="n">
        <v>1.3</v>
      </c>
      <c r="I74" s="9" t="n">
        <v>1.5</v>
      </c>
      <c r="J74" s="9">
        <f>F74*G74*H74*I74</f>
        <v/>
      </c>
      <c r="K74" s="9" t="n"/>
    </row>
    <row r="75">
      <c r="A75" s="8" t="n"/>
      <c r="B75" s="8" t="inlineStr">
        <is>
          <t>A</t>
        </is>
      </c>
      <c r="C75" s="8" t="inlineStr">
        <is>
          <t>17</t>
        </is>
      </c>
      <c r="D75" s="9" t="n"/>
      <c r="E75" s="9" t="inlineStr">
        <is>
          <t>M3</t>
        </is>
      </c>
      <c r="F75" s="9" t="n">
        <v>1</v>
      </c>
      <c r="G75" s="9" t="n">
        <v>1.3</v>
      </c>
      <c r="H75" s="9" t="n">
        <v>1.3</v>
      </c>
      <c r="I75" s="9" t="n">
        <v>1.5</v>
      </c>
      <c r="J75" s="9">
        <f>F75*G75*H75*I75</f>
        <v/>
      </c>
      <c r="K75" s="9" t="n"/>
    </row>
    <row r="76">
      <c r="A76" s="8" t="n"/>
      <c r="B76" s="8" t="inlineStr">
        <is>
          <t>A</t>
        </is>
      </c>
      <c r="C76" s="8" t="inlineStr">
        <is>
          <t>17</t>
        </is>
      </c>
      <c r="D76" s="9" t="n"/>
      <c r="E76" s="9" t="inlineStr">
        <is>
          <t>M3</t>
        </is>
      </c>
      <c r="F76" s="9" t="n">
        <v>1</v>
      </c>
      <c r="G76" s="9" t="n">
        <v>1.3</v>
      </c>
      <c r="H76" s="9" t="n">
        <v>1.3</v>
      </c>
      <c r="I76" s="9" t="n">
        <v>1.5</v>
      </c>
      <c r="J76" s="9">
        <f>F76*G76*H76*I76</f>
        <v/>
      </c>
      <c r="K76" s="9" t="n"/>
    </row>
    <row r="77">
      <c r="A77" s="8" t="n"/>
      <c r="B77" s="8" t="inlineStr">
        <is>
          <t>A</t>
        </is>
      </c>
      <c r="C77" s="8" t="inlineStr">
        <is>
          <t>17</t>
        </is>
      </c>
      <c r="D77" s="9" t="n"/>
      <c r="E77" s="9" t="inlineStr">
        <is>
          <t>M3</t>
        </is>
      </c>
      <c r="F77" s="9" t="n">
        <v>1</v>
      </c>
      <c r="G77" s="9" t="n">
        <v>1.4</v>
      </c>
      <c r="H77" s="9" t="n">
        <v>1.4</v>
      </c>
      <c r="I77" s="9" t="n">
        <v>1.5</v>
      </c>
      <c r="J77" s="9">
        <f>F77*G77*H77*I77</f>
        <v/>
      </c>
      <c r="K77" s="9" t="n"/>
    </row>
    <row r="78">
      <c r="A78" s="10" t="inlineStr">
        <is>
          <t>total</t>
        </is>
      </c>
      <c r="B78" s="10" t="n"/>
      <c r="C78" s="10" t="n"/>
      <c r="D78" s="11" t="n"/>
      <c r="E78" s="11" t="n"/>
      <c r="F78" s="11" t="n"/>
      <c r="G78" s="11" t="n"/>
      <c r="H78" s="11" t="n"/>
      <c r="I78" s="11" t="n"/>
      <c r="J78" s="11">
        <f>SUM(J11:J77)</f>
        <v/>
      </c>
      <c r="K78" s="11">
        <f>SUM(K11:K77)</f>
        <v/>
      </c>
    </row>
    <row r="80">
      <c r="A80" s="3" t="n">
        <v>15</v>
      </c>
      <c r="B80" s="3" t="inlineStr">
        <is>
          <t xml:space="preserve"> Béton de propreté </t>
        </is>
      </c>
    </row>
    <row r="81">
      <c r="B81" s="1" t="inlineStr">
        <is>
          <t>pour semelle isolee</t>
        </is>
      </c>
    </row>
    <row r="82">
      <c r="B82" s="7" t="inlineStr">
        <is>
          <t>axe</t>
        </is>
      </c>
      <c r="C82" s="7" t="inlineStr">
        <is>
          <t>fill</t>
        </is>
      </c>
    </row>
    <row r="83">
      <c r="A83" s="8" t="n"/>
      <c r="B83" s="8" t="inlineStr">
        <is>
          <t>C</t>
        </is>
      </c>
      <c r="C83" s="8" t="inlineStr">
        <is>
          <t>7</t>
        </is>
      </c>
      <c r="D83" s="9" t="n"/>
      <c r="E83" s="9" t="inlineStr">
        <is>
          <t>M3</t>
        </is>
      </c>
      <c r="F83" s="9" t="n">
        <v>1</v>
      </c>
      <c r="G83" s="9" t="n">
        <v>1.1</v>
      </c>
      <c r="H83" s="9" t="n">
        <v>1.1</v>
      </c>
      <c r="I83" s="9" t="n">
        <v>0.1</v>
      </c>
      <c r="J83" s="9">
        <f>F83*G83*H83*I83</f>
        <v/>
      </c>
      <c r="K83" s="9" t="n"/>
    </row>
    <row r="84">
      <c r="A84" s="8" t="n"/>
      <c r="B84" s="8" t="inlineStr">
        <is>
          <t>S</t>
        </is>
      </c>
      <c r="C84" s="8" t="inlineStr">
        <is>
          <t>7</t>
        </is>
      </c>
      <c r="D84" s="9" t="n"/>
      <c r="E84" s="9" t="inlineStr">
        <is>
          <t>M3</t>
        </is>
      </c>
      <c r="F84" s="9" t="n">
        <v>1</v>
      </c>
      <c r="G84" s="9" t="n">
        <v>1.1</v>
      </c>
      <c r="H84" s="9" t="n">
        <v>1.1</v>
      </c>
      <c r="I84" s="9" t="n">
        <v>0.1</v>
      </c>
      <c r="J84" s="9">
        <f>F84*G84*H84*I84</f>
        <v/>
      </c>
      <c r="K84" s="9" t="n"/>
    </row>
    <row r="85">
      <c r="A85" s="8" t="n"/>
      <c r="B85" s="8" t="inlineStr">
        <is>
          <t>F</t>
        </is>
      </c>
      <c r="C85" s="8" t="inlineStr">
        <is>
          <t>7</t>
        </is>
      </c>
      <c r="D85" s="9" t="n"/>
      <c r="E85" s="9" t="inlineStr">
        <is>
          <t>M3</t>
        </is>
      </c>
      <c r="F85" s="9" t="n">
        <v>1</v>
      </c>
      <c r="G85" s="9" t="n">
        <v>1.1</v>
      </c>
      <c r="H85" s="9" t="n">
        <v>1.1</v>
      </c>
      <c r="I85" s="9" t="n">
        <v>0.1</v>
      </c>
      <c r="J85" s="9">
        <f>F85*G85*H85*I85</f>
        <v/>
      </c>
      <c r="K85" s="9" t="n"/>
    </row>
    <row r="86">
      <c r="A86" s="8" t="n"/>
      <c r="B86" s="8" t="inlineStr">
        <is>
          <t>H</t>
        </is>
      </c>
      <c r="C86" s="8" t="inlineStr">
        <is>
          <t>7</t>
        </is>
      </c>
      <c r="D86" s="9" t="n"/>
      <c r="E86" s="9" t="inlineStr">
        <is>
          <t>M3</t>
        </is>
      </c>
      <c r="F86" s="9" t="n">
        <v>1</v>
      </c>
      <c r="G86" s="9" t="n">
        <v>1.1</v>
      </c>
      <c r="H86" s="9" t="n">
        <v>1.1</v>
      </c>
      <c r="I86" s="9" t="n">
        <v>0.1</v>
      </c>
      <c r="J86" s="9">
        <f>F86*G86*H86*I86</f>
        <v/>
      </c>
      <c r="K86" s="9" t="n"/>
    </row>
    <row r="87">
      <c r="A87" s="8" t="n"/>
      <c r="B87" s="8" t="inlineStr">
        <is>
          <t>H</t>
        </is>
      </c>
      <c r="C87" s="8" t="inlineStr">
        <is>
          <t>6</t>
        </is>
      </c>
      <c r="D87" s="9" t="n"/>
      <c r="E87" s="9" t="inlineStr">
        <is>
          <t>M3</t>
        </is>
      </c>
      <c r="F87" s="9" t="n">
        <v>1</v>
      </c>
      <c r="G87" s="9" t="n">
        <v>1.1</v>
      </c>
      <c r="H87" s="9" t="n">
        <v>1.1</v>
      </c>
      <c r="I87" s="9" t="n">
        <v>0.1</v>
      </c>
      <c r="J87" s="9">
        <f>F87*G87*H87*I87</f>
        <v/>
      </c>
      <c r="K87" s="9" t="n"/>
    </row>
    <row r="88">
      <c r="A88" s="8" t="n"/>
      <c r="B88" s="8" t="inlineStr">
        <is>
          <t>F</t>
        </is>
      </c>
      <c r="C88" s="8" t="inlineStr">
        <is>
          <t>6</t>
        </is>
      </c>
      <c r="D88" s="9" t="n"/>
      <c r="E88" s="9" t="inlineStr">
        <is>
          <t>M3</t>
        </is>
      </c>
      <c r="F88" s="9" t="n">
        <v>1</v>
      </c>
      <c r="G88" s="9" t="n">
        <v>1.1</v>
      </c>
      <c r="H88" s="9" t="n">
        <v>1.1</v>
      </c>
      <c r="I88" s="9" t="n">
        <v>0.1</v>
      </c>
      <c r="J88" s="9">
        <f>F88*G88*H88*I88</f>
        <v/>
      </c>
      <c r="K88" s="9" t="n"/>
    </row>
    <row r="89">
      <c r="A89" s="8" t="n"/>
      <c r="B89" s="8" t="inlineStr">
        <is>
          <t>D</t>
        </is>
      </c>
      <c r="C89" s="8" t="inlineStr">
        <is>
          <t>6</t>
        </is>
      </c>
      <c r="D89" s="9" t="n"/>
      <c r="E89" s="9" t="inlineStr">
        <is>
          <t>M3</t>
        </is>
      </c>
      <c r="F89" s="9" t="n">
        <v>1</v>
      </c>
      <c r="G89" s="9" t="n">
        <v>1.1</v>
      </c>
      <c r="H89" s="9" t="n">
        <v>1.1</v>
      </c>
      <c r="I89" s="9" t="n">
        <v>0.1</v>
      </c>
      <c r="J89" s="9">
        <f>F89*G89*H89*I89</f>
        <v/>
      </c>
      <c r="K89" s="9" t="n"/>
    </row>
    <row r="90">
      <c r="A90" s="8" t="n"/>
      <c r="B90" s="8" t="inlineStr">
        <is>
          <t>C</t>
        </is>
      </c>
      <c r="C90" s="8" t="inlineStr">
        <is>
          <t>6</t>
        </is>
      </c>
      <c r="D90" s="9" t="n"/>
      <c r="E90" s="9" t="inlineStr">
        <is>
          <t>M3</t>
        </is>
      </c>
      <c r="F90" s="9" t="n">
        <v>1</v>
      </c>
      <c r="G90" s="9" t="n">
        <v>1.1</v>
      </c>
      <c r="H90" s="9" t="n">
        <v>1.1</v>
      </c>
      <c r="I90" s="9" t="n">
        <v>0.1</v>
      </c>
      <c r="J90" s="9">
        <f>F90*G90*H90*I90</f>
        <v/>
      </c>
      <c r="K90" s="9" t="n"/>
    </row>
    <row r="91">
      <c r="A91" s="8" t="n"/>
      <c r="B91" s="8" t="inlineStr">
        <is>
          <t>D</t>
        </is>
      </c>
      <c r="C91" s="8" t="inlineStr">
        <is>
          <t>4</t>
        </is>
      </c>
      <c r="D91" s="9" t="n"/>
      <c r="E91" s="9" t="inlineStr">
        <is>
          <t>M3</t>
        </is>
      </c>
      <c r="F91" s="9" t="n">
        <v>1</v>
      </c>
      <c r="G91" s="9" t="n">
        <v>1.1</v>
      </c>
      <c r="H91" s="9" t="n">
        <v>2.1</v>
      </c>
      <c r="I91" s="9" t="n">
        <v>0.1</v>
      </c>
      <c r="J91" s="9">
        <f>F91*G91*H91*I91</f>
        <v/>
      </c>
      <c r="K91" s="9" t="n"/>
    </row>
    <row r="92">
      <c r="A92" s="8" t="n"/>
      <c r="B92" s="8" t="inlineStr">
        <is>
          <t>C</t>
        </is>
      </c>
      <c r="C92" s="8" t="inlineStr">
        <is>
          <t>5</t>
        </is>
      </c>
      <c r="D92" s="9" t="n"/>
      <c r="E92" s="9" t="inlineStr">
        <is>
          <t>M3</t>
        </is>
      </c>
      <c r="F92" s="9" t="n">
        <v>1</v>
      </c>
      <c r="G92" s="9" t="n">
        <v>1.1</v>
      </c>
      <c r="H92" s="9" t="n">
        <v>1.1</v>
      </c>
      <c r="I92" s="9" t="n">
        <v>0.1</v>
      </c>
      <c r="J92" s="9">
        <f>F92*G92*H92*I92</f>
        <v/>
      </c>
      <c r="K92" s="9" t="n"/>
    </row>
    <row r="93">
      <c r="A93" s="8" t="n"/>
      <c r="B93" s="8" t="inlineStr">
        <is>
          <t>B</t>
        </is>
      </c>
      <c r="C93" s="8" t="inlineStr">
        <is>
          <t>5</t>
        </is>
      </c>
      <c r="D93" s="9" t="n"/>
      <c r="E93" s="9" t="inlineStr">
        <is>
          <t>M3</t>
        </is>
      </c>
      <c r="F93" s="9" t="n">
        <v>1</v>
      </c>
      <c r="G93" s="9" t="n">
        <v>1.1</v>
      </c>
      <c r="H93" s="9" t="n">
        <v>1.1</v>
      </c>
      <c r="I93" s="9" t="n">
        <v>0.1</v>
      </c>
      <c r="J93" s="9">
        <f>F93*G93*H93*I93</f>
        <v/>
      </c>
      <c r="K93" s="9" t="n"/>
    </row>
    <row r="94">
      <c r="A94" s="8" t="n"/>
      <c r="B94" s="8" t="inlineStr">
        <is>
          <t>F</t>
        </is>
      </c>
      <c r="C94" s="8" t="inlineStr">
        <is>
          <t>4</t>
        </is>
      </c>
      <c r="D94" s="9" t="n"/>
      <c r="E94" s="9" t="inlineStr">
        <is>
          <t>M3</t>
        </is>
      </c>
      <c r="F94" s="9" t="n">
        <v>1</v>
      </c>
      <c r="G94" s="9" t="n">
        <v>1.1</v>
      </c>
      <c r="H94" s="9" t="n">
        <v>1.1</v>
      </c>
      <c r="I94" s="9" t="n">
        <v>0.1</v>
      </c>
      <c r="J94" s="9">
        <f>F94*G94*H94*I94</f>
        <v/>
      </c>
      <c r="K94" s="9" t="n"/>
    </row>
    <row r="95">
      <c r="A95" s="8" t="n"/>
      <c r="B95" s="8" t="inlineStr">
        <is>
          <t>L</t>
        </is>
      </c>
      <c r="C95" s="8" t="inlineStr">
        <is>
          <t>8</t>
        </is>
      </c>
      <c r="D95" s="9" t="n"/>
      <c r="E95" s="9" t="inlineStr">
        <is>
          <t>M3</t>
        </is>
      </c>
      <c r="F95" s="9" t="n">
        <v>1</v>
      </c>
      <c r="G95" s="9" t="n">
        <v>1.1</v>
      </c>
      <c r="H95" s="9" t="n">
        <v>1.1</v>
      </c>
      <c r="I95" s="9" t="n">
        <v>0.1</v>
      </c>
      <c r="J95" s="9">
        <f>F95*G95*H95*I95</f>
        <v/>
      </c>
      <c r="K95" s="9" t="n"/>
    </row>
    <row r="96">
      <c r="A96" s="8" t="n"/>
      <c r="B96" s="8" t="inlineStr">
        <is>
          <t>S</t>
        </is>
      </c>
      <c r="C96" s="8" t="inlineStr">
        <is>
          <t>8</t>
        </is>
      </c>
      <c r="D96" s="9" t="n"/>
      <c r="E96" s="9" t="inlineStr">
        <is>
          <t>M3</t>
        </is>
      </c>
      <c r="F96" s="9" t="n">
        <v>1</v>
      </c>
      <c r="G96" s="9" t="n">
        <v>1.1</v>
      </c>
      <c r="H96" s="9" t="n">
        <v>1.1</v>
      </c>
      <c r="I96" s="9" t="n">
        <v>0.1</v>
      </c>
      <c r="J96" s="9">
        <f>F96*G96*H96*I96</f>
        <v/>
      </c>
      <c r="K96" s="9" t="n"/>
    </row>
    <row r="97">
      <c r="A97" s="8" t="n"/>
      <c r="B97" s="8" t="inlineStr">
        <is>
          <t>F</t>
        </is>
      </c>
      <c r="C97" s="8" t="inlineStr">
        <is>
          <t>17</t>
        </is>
      </c>
      <c r="D97" s="9" t="n"/>
      <c r="E97" s="9" t="inlineStr">
        <is>
          <t>M3</t>
        </is>
      </c>
      <c r="F97" s="9" t="n">
        <v>1</v>
      </c>
      <c r="G97" s="9" t="n">
        <v>1.1</v>
      </c>
      <c r="H97" s="9" t="n">
        <v>1.1</v>
      </c>
      <c r="I97" s="9" t="n">
        <v>0.1</v>
      </c>
      <c r="J97" s="9">
        <f>F97*G97*H97*I97</f>
        <v/>
      </c>
      <c r="K97" s="9" t="n"/>
    </row>
    <row r="98">
      <c r="A98" s="8" t="n"/>
      <c r="B98" s="8" t="inlineStr">
        <is>
          <t>S</t>
        </is>
      </c>
      <c r="C98" s="8" t="inlineStr">
        <is>
          <t>14</t>
        </is>
      </c>
      <c r="D98" s="9" t="n"/>
      <c r="E98" s="9" t="inlineStr">
        <is>
          <t>M3</t>
        </is>
      </c>
      <c r="F98" s="9" t="n">
        <v>1</v>
      </c>
      <c r="G98" s="9" t="n">
        <v>1.1</v>
      </c>
      <c r="H98" s="9" t="n">
        <v>1.1</v>
      </c>
      <c r="I98" s="9" t="n">
        <v>0.1</v>
      </c>
      <c r="J98" s="9">
        <f>F98*G98*H98*I98</f>
        <v/>
      </c>
      <c r="K98" s="9" t="n"/>
    </row>
    <row r="99">
      <c r="A99" s="8" t="n"/>
      <c r="B99" s="8" t="inlineStr">
        <is>
          <t>F</t>
        </is>
      </c>
      <c r="C99" s="8" t="inlineStr">
        <is>
          <t>8</t>
        </is>
      </c>
      <c r="D99" s="9" t="n"/>
      <c r="E99" s="9" t="inlineStr">
        <is>
          <t>M3</t>
        </is>
      </c>
      <c r="F99" s="9" t="n">
        <v>1</v>
      </c>
      <c r="G99" s="9" t="n">
        <v>1.1</v>
      </c>
      <c r="H99" s="9" t="n">
        <v>1.1</v>
      </c>
      <c r="I99" s="9" t="n">
        <v>0.1</v>
      </c>
      <c r="J99" s="9">
        <f>F99*G99*H99*I99</f>
        <v/>
      </c>
      <c r="K99" s="9" t="n"/>
    </row>
    <row r="100">
      <c r="A100" s="8" t="n"/>
      <c r="B100" s="8" t="inlineStr">
        <is>
          <t>F</t>
        </is>
      </c>
      <c r="C100" s="8" t="inlineStr">
        <is>
          <t>14</t>
        </is>
      </c>
      <c r="D100" s="9" t="n"/>
      <c r="E100" s="9" t="inlineStr">
        <is>
          <t>M3</t>
        </is>
      </c>
      <c r="F100" s="9" t="n">
        <v>1</v>
      </c>
      <c r="G100" s="9" t="n">
        <v>1.1</v>
      </c>
      <c r="H100" s="9" t="n">
        <v>2.1</v>
      </c>
      <c r="I100" s="9" t="n">
        <v>0.1</v>
      </c>
      <c r="J100" s="9">
        <f>F100*G100*H100*I100</f>
        <v/>
      </c>
      <c r="K100" s="9" t="n"/>
    </row>
    <row r="101">
      <c r="A101" s="8" t="n"/>
      <c r="B101" s="8" t="inlineStr">
        <is>
          <t>F</t>
        </is>
      </c>
      <c r="C101" s="8" t="inlineStr">
        <is>
          <t>14</t>
        </is>
      </c>
      <c r="D101" s="9" t="n"/>
      <c r="E101" s="9" t="inlineStr">
        <is>
          <t>M3</t>
        </is>
      </c>
      <c r="F101" s="9" t="n">
        <v>1</v>
      </c>
      <c r="G101" s="9" t="n">
        <v>1.1</v>
      </c>
      <c r="H101" s="9" t="n">
        <v>1.1</v>
      </c>
      <c r="I101" s="9" t="n">
        <v>0.1</v>
      </c>
      <c r="J101" s="9">
        <f>F101*G101*H101*I101</f>
        <v/>
      </c>
      <c r="K101" s="9" t="n"/>
    </row>
    <row r="102">
      <c r="A102" s="8" t="n"/>
      <c r="B102" s="8" t="inlineStr">
        <is>
          <t>F</t>
        </is>
      </c>
      <c r="C102" s="8" t="inlineStr">
        <is>
          <t>11</t>
        </is>
      </c>
      <c r="D102" s="9" t="n"/>
      <c r="E102" s="9" t="inlineStr">
        <is>
          <t>M3</t>
        </is>
      </c>
      <c r="F102" s="9" t="n">
        <v>1</v>
      </c>
      <c r="G102" s="9" t="n">
        <v>1.1</v>
      </c>
      <c r="H102" s="9" t="n">
        <v>1.1</v>
      </c>
      <c r="I102" s="9" t="n">
        <v>0.1</v>
      </c>
      <c r="J102" s="9">
        <f>F102*G102*H102*I102</f>
        <v/>
      </c>
      <c r="K102" s="9" t="n"/>
    </row>
    <row r="103">
      <c r="A103" s="8" t="n"/>
      <c r="B103" s="8" t="inlineStr">
        <is>
          <t>F</t>
        </is>
      </c>
      <c r="C103" s="8" t="inlineStr">
        <is>
          <t>10</t>
        </is>
      </c>
      <c r="D103" s="9" t="n"/>
      <c r="E103" s="9" t="inlineStr">
        <is>
          <t>M3</t>
        </is>
      </c>
      <c r="F103" s="9" t="n">
        <v>1</v>
      </c>
      <c r="G103" s="9" t="n">
        <v>1.1</v>
      </c>
      <c r="H103" s="9" t="n">
        <v>1.1</v>
      </c>
      <c r="I103" s="9" t="n">
        <v>0.1</v>
      </c>
      <c r="J103" s="9">
        <f>F103*G103*H103*I103</f>
        <v/>
      </c>
      <c r="K103" s="9" t="n"/>
    </row>
    <row r="104">
      <c r="A104" s="8" t="n"/>
      <c r="B104" s="8" t="inlineStr">
        <is>
          <t>F</t>
        </is>
      </c>
      <c r="C104" s="8" t="inlineStr">
        <is>
          <t>9</t>
        </is>
      </c>
      <c r="D104" s="9" t="n"/>
      <c r="E104" s="9" t="inlineStr">
        <is>
          <t>M3</t>
        </is>
      </c>
      <c r="F104" s="9" t="n">
        <v>1</v>
      </c>
      <c r="G104" s="9" t="n">
        <v>1.1</v>
      </c>
      <c r="H104" s="9" t="n">
        <v>1.1</v>
      </c>
      <c r="I104" s="9" t="n">
        <v>0.1</v>
      </c>
      <c r="J104" s="9">
        <f>F104*G104*H104*I104</f>
        <v/>
      </c>
      <c r="K104" s="9" t="n"/>
    </row>
    <row r="105">
      <c r="A105" s="8" t="n"/>
      <c r="B105" s="8" t="inlineStr">
        <is>
          <t>L</t>
        </is>
      </c>
      <c r="C105" s="8" t="inlineStr">
        <is>
          <t>7</t>
        </is>
      </c>
      <c r="D105" s="9" t="n"/>
      <c r="E105" s="9" t="inlineStr">
        <is>
          <t>M3</t>
        </is>
      </c>
      <c r="F105" s="9" t="n">
        <v>1</v>
      </c>
      <c r="G105" s="9" t="n">
        <v>1.1</v>
      </c>
      <c r="H105" s="9" t="n">
        <v>1.1</v>
      </c>
      <c r="I105" s="9" t="n">
        <v>0.1</v>
      </c>
      <c r="J105" s="9">
        <f>F105*G105*H105*I105</f>
        <v/>
      </c>
      <c r="K105" s="9" t="n"/>
    </row>
    <row r="106">
      <c r="A106" s="8" t="n"/>
      <c r="B106" s="8" t="inlineStr">
        <is>
          <t>T</t>
        </is>
      </c>
      <c r="C106" s="8" t="inlineStr">
        <is>
          <t>7</t>
        </is>
      </c>
      <c r="D106" s="9" t="n"/>
      <c r="E106" s="9" t="inlineStr">
        <is>
          <t>M3</t>
        </is>
      </c>
      <c r="F106" s="9" t="n">
        <v>1</v>
      </c>
      <c r="G106" s="9" t="n">
        <v>1.1</v>
      </c>
      <c r="H106" s="9" t="n">
        <v>1.1</v>
      </c>
      <c r="I106" s="9" t="n">
        <v>0.1</v>
      </c>
      <c r="J106" s="9">
        <f>F106*G106*H106*I106</f>
        <v/>
      </c>
      <c r="K106" s="9" t="n"/>
    </row>
    <row r="107">
      <c r="A107" s="8" t="n"/>
      <c r="B107" s="8" t="inlineStr">
        <is>
          <t>P</t>
        </is>
      </c>
      <c r="C107" s="8" t="inlineStr">
        <is>
          <t>8</t>
        </is>
      </c>
      <c r="D107" s="9" t="n"/>
      <c r="E107" s="9" t="inlineStr">
        <is>
          <t>M3</t>
        </is>
      </c>
      <c r="F107" s="9" t="n">
        <v>1</v>
      </c>
      <c r="G107" s="9" t="n">
        <v>1.1</v>
      </c>
      <c r="H107" s="9" t="n">
        <v>1.1</v>
      </c>
      <c r="I107" s="9" t="n">
        <v>0.1</v>
      </c>
      <c r="J107" s="9">
        <f>F107*G107*H107*I107</f>
        <v/>
      </c>
      <c r="K107" s="9" t="n"/>
    </row>
    <row r="108">
      <c r="A108" s="8" t="n"/>
      <c r="B108" s="8" t="inlineStr">
        <is>
          <t>B</t>
        </is>
      </c>
      <c r="C108" s="8" t="inlineStr">
        <is>
          <t>16</t>
        </is>
      </c>
      <c r="D108" s="9" t="n"/>
      <c r="E108" s="9" t="inlineStr">
        <is>
          <t>M3</t>
        </is>
      </c>
      <c r="F108" s="9" t="n">
        <v>1</v>
      </c>
      <c r="G108" s="9" t="n">
        <v>1.1</v>
      </c>
      <c r="H108" s="9" t="n">
        <v>1.1</v>
      </c>
      <c r="I108" s="9" t="n">
        <v>0.1</v>
      </c>
      <c r="J108" s="9">
        <f>F108*G108*H108*I108</f>
        <v/>
      </c>
      <c r="K108" s="9" t="n"/>
    </row>
    <row r="109">
      <c r="A109" s="8" t="n"/>
      <c r="B109" s="8" t="inlineStr">
        <is>
          <t>B</t>
        </is>
      </c>
      <c r="C109" s="8" t="inlineStr">
        <is>
          <t>18</t>
        </is>
      </c>
      <c r="D109" s="9" t="n"/>
      <c r="E109" s="9" t="inlineStr">
        <is>
          <t>M3</t>
        </is>
      </c>
      <c r="F109" s="9" t="n">
        <v>1</v>
      </c>
      <c r="G109" s="9" t="n">
        <v>1.1</v>
      </c>
      <c r="H109" s="9" t="n">
        <v>1.1</v>
      </c>
      <c r="I109" s="9" t="n">
        <v>0.1</v>
      </c>
      <c r="J109" s="9">
        <f>F109*G109*H109*I109</f>
        <v/>
      </c>
      <c r="K109" s="9" t="n"/>
    </row>
    <row r="110">
      <c r="A110" s="8" t="n"/>
      <c r="B110" s="8" t="inlineStr">
        <is>
          <t>S</t>
        </is>
      </c>
      <c r="C110" s="8" t="inlineStr">
        <is>
          <t>4</t>
        </is>
      </c>
      <c r="D110" s="9" t="n"/>
      <c r="E110" s="9" t="inlineStr">
        <is>
          <t>M3</t>
        </is>
      </c>
      <c r="F110" s="9" t="n">
        <v>1</v>
      </c>
      <c r="G110" s="9" t="n">
        <v>1.1</v>
      </c>
      <c r="H110" s="9" t="n">
        <v>1.1</v>
      </c>
      <c r="I110" s="9" t="n">
        <v>0.1</v>
      </c>
      <c r="J110" s="9">
        <f>F110*G110*H110*I110</f>
        <v/>
      </c>
      <c r="K110" s="9" t="n"/>
    </row>
    <row r="111">
      <c r="A111" s="8" t="n"/>
      <c r="B111" s="8" t="inlineStr">
        <is>
          <t>D</t>
        </is>
      </c>
      <c r="C111" s="8" t="inlineStr">
        <is>
          <t>4</t>
        </is>
      </c>
      <c r="D111" s="9" t="n"/>
      <c r="E111" s="9" t="inlineStr">
        <is>
          <t>M3</t>
        </is>
      </c>
      <c r="F111" s="9" t="n">
        <v>1</v>
      </c>
      <c r="G111" s="9" t="n">
        <v>1.2</v>
      </c>
      <c r="H111" s="9" t="n">
        <v>1.2</v>
      </c>
      <c r="I111" s="9" t="n">
        <v>0.1</v>
      </c>
      <c r="J111" s="9">
        <f>F111*G111*H111*I111</f>
        <v/>
      </c>
      <c r="K111" s="9" t="n"/>
    </row>
    <row r="112">
      <c r="A112" s="8" t="n"/>
      <c r="B112" s="8" t="inlineStr">
        <is>
          <t>D</t>
        </is>
      </c>
      <c r="C112" s="8" t="inlineStr">
        <is>
          <t>3</t>
        </is>
      </c>
      <c r="D112" s="9" t="n"/>
      <c r="E112" s="9" t="inlineStr">
        <is>
          <t>M3</t>
        </is>
      </c>
      <c r="F112" s="9" t="n">
        <v>1</v>
      </c>
      <c r="G112" s="9" t="n">
        <v>1.1</v>
      </c>
      <c r="H112" s="9" t="n">
        <v>1.1</v>
      </c>
      <c r="I112" s="9" t="n">
        <v>0.1</v>
      </c>
      <c r="J112" s="9">
        <f>F112*G112*H112*I112</f>
        <v/>
      </c>
      <c r="K112" s="9" t="n"/>
    </row>
    <row r="113">
      <c r="A113" s="8" t="n"/>
      <c r="B113" s="8" t="inlineStr">
        <is>
          <t>G</t>
        </is>
      </c>
      <c r="C113" s="8" t="inlineStr">
        <is>
          <t>3</t>
        </is>
      </c>
      <c r="D113" s="9" t="n"/>
      <c r="E113" s="9" t="inlineStr">
        <is>
          <t>M3</t>
        </is>
      </c>
      <c r="F113" s="9" t="n">
        <v>1</v>
      </c>
      <c r="G113" s="9" t="n">
        <v>1.1</v>
      </c>
      <c r="H113" s="9" t="n">
        <v>1.1</v>
      </c>
      <c r="I113" s="9" t="n">
        <v>0.1</v>
      </c>
      <c r="J113" s="9">
        <f>F113*G113*H113*I113</f>
        <v/>
      </c>
      <c r="K113" s="9" t="n"/>
    </row>
    <row r="114">
      <c r="A114" s="8" t="n"/>
      <c r="B114" s="8" t="inlineStr">
        <is>
          <t>G</t>
        </is>
      </c>
      <c r="C114" s="8" t="inlineStr">
        <is>
          <t>2</t>
        </is>
      </c>
      <c r="D114" s="9" t="n"/>
      <c r="E114" s="9" t="inlineStr">
        <is>
          <t>M3</t>
        </is>
      </c>
      <c r="F114" s="9" t="n">
        <v>1</v>
      </c>
      <c r="G114" s="9" t="n">
        <v>1.1</v>
      </c>
      <c r="H114" s="9" t="n">
        <v>2.1</v>
      </c>
      <c r="I114" s="9" t="n">
        <v>0.1</v>
      </c>
      <c r="J114" s="9">
        <f>F114*G114*H114*I114</f>
        <v/>
      </c>
      <c r="K114" s="9" t="n"/>
    </row>
    <row r="115">
      <c r="A115" s="8" t="n"/>
      <c r="B115" s="8" t="inlineStr">
        <is>
          <t>G</t>
        </is>
      </c>
      <c r="C115" s="8" t="inlineStr">
        <is>
          <t>4</t>
        </is>
      </c>
      <c r="D115" s="9" t="n"/>
      <c r="E115" s="9" t="inlineStr">
        <is>
          <t>M3</t>
        </is>
      </c>
      <c r="F115" s="9" t="n">
        <v>1</v>
      </c>
      <c r="G115" s="9" t="n">
        <v>1.2</v>
      </c>
      <c r="H115" s="9" t="n">
        <v>1.2</v>
      </c>
      <c r="I115" s="9" t="n">
        <v>0.1</v>
      </c>
      <c r="J115" s="9">
        <f>F115*G115*H115*I115</f>
        <v/>
      </c>
      <c r="K115" s="9" t="n"/>
    </row>
    <row r="116">
      <c r="A116" s="8" t="n"/>
      <c r="B116" s="8" t="inlineStr">
        <is>
          <t>C</t>
        </is>
      </c>
      <c r="C116" s="8" t="inlineStr">
        <is>
          <t>4</t>
        </is>
      </c>
      <c r="D116" s="9" t="n"/>
      <c r="E116" s="9" t="inlineStr">
        <is>
          <t>M3</t>
        </is>
      </c>
      <c r="F116" s="9" t="n">
        <v>1</v>
      </c>
      <c r="G116" s="9" t="n">
        <v>1.1</v>
      </c>
      <c r="H116" s="9" t="n">
        <v>1.1</v>
      </c>
      <c r="I116" s="9" t="n">
        <v>0.1</v>
      </c>
      <c r="J116" s="9">
        <f>F116*G116*H116*I116</f>
        <v/>
      </c>
      <c r="K116" s="9" t="n"/>
    </row>
    <row r="117">
      <c r="A117" s="8" t="n"/>
      <c r="B117" s="8" t="inlineStr">
        <is>
          <t>E</t>
        </is>
      </c>
      <c r="C117" s="8" t="inlineStr">
        <is>
          <t>4</t>
        </is>
      </c>
      <c r="D117" s="9" t="n"/>
      <c r="E117" s="9" t="inlineStr">
        <is>
          <t>M3</t>
        </is>
      </c>
      <c r="F117" s="9" t="n">
        <v>1</v>
      </c>
      <c r="G117" s="9" t="n">
        <v>1.1</v>
      </c>
      <c r="H117" s="9" t="n">
        <v>1.1</v>
      </c>
      <c r="I117" s="9" t="n">
        <v>0.1</v>
      </c>
      <c r="J117" s="9">
        <f>F117*G117*H117*I117</f>
        <v/>
      </c>
      <c r="K117" s="9" t="n"/>
    </row>
    <row r="118">
      <c r="A118" s="8" t="n"/>
      <c r="B118" s="8" t="inlineStr">
        <is>
          <t>F</t>
        </is>
      </c>
      <c r="C118" s="8" t="inlineStr">
        <is>
          <t>4</t>
        </is>
      </c>
      <c r="D118" s="9" t="n"/>
      <c r="E118" s="9" t="inlineStr">
        <is>
          <t>M3</t>
        </is>
      </c>
      <c r="F118" s="9" t="n">
        <v>1</v>
      </c>
      <c r="G118" s="9" t="n">
        <v>1.1</v>
      </c>
      <c r="H118" s="9" t="n">
        <v>1.1</v>
      </c>
      <c r="I118" s="9" t="n">
        <v>0.1</v>
      </c>
      <c r="J118" s="9">
        <f>F118*G118*H118*I118</f>
        <v/>
      </c>
      <c r="K118" s="9" t="n"/>
    </row>
    <row r="119">
      <c r="A119" s="8" t="n"/>
      <c r="B119" s="8" t="inlineStr">
        <is>
          <t>H</t>
        </is>
      </c>
      <c r="C119" s="8" t="inlineStr">
        <is>
          <t>4</t>
        </is>
      </c>
      <c r="D119" s="9" t="n"/>
      <c r="E119" s="9" t="inlineStr">
        <is>
          <t>M3</t>
        </is>
      </c>
      <c r="F119" s="9" t="n">
        <v>1</v>
      </c>
      <c r="G119" s="9" t="n">
        <v>1.1</v>
      </c>
      <c r="H119" s="9" t="n">
        <v>1.1</v>
      </c>
      <c r="I119" s="9" t="n">
        <v>0.1</v>
      </c>
      <c r="J119" s="9">
        <f>F119*G119*H119*I119</f>
        <v/>
      </c>
      <c r="K119" s="9" t="n"/>
    </row>
    <row r="120">
      <c r="A120" s="8" t="n"/>
      <c r="B120" s="8" t="inlineStr">
        <is>
          <t>I</t>
        </is>
      </c>
      <c r="C120" s="8" t="inlineStr">
        <is>
          <t>4</t>
        </is>
      </c>
      <c r="D120" s="9" t="n"/>
      <c r="E120" s="9" t="inlineStr">
        <is>
          <t>M3</t>
        </is>
      </c>
      <c r="F120" s="9" t="n">
        <v>1</v>
      </c>
      <c r="G120" s="9" t="n">
        <v>1.1</v>
      </c>
      <c r="H120" s="9" t="n">
        <v>1.1</v>
      </c>
      <c r="I120" s="9" t="n">
        <v>0.1</v>
      </c>
      <c r="J120" s="9">
        <f>F120*G120*H120*I120</f>
        <v/>
      </c>
      <c r="K120" s="9" t="n"/>
    </row>
    <row r="121">
      <c r="A121" s="8" t="n"/>
      <c r="B121" s="8" t="inlineStr">
        <is>
          <t>D</t>
        </is>
      </c>
      <c r="C121" s="8" t="inlineStr">
        <is>
          <t>2</t>
        </is>
      </c>
      <c r="D121" s="9" t="n"/>
      <c r="E121" s="9" t="inlineStr">
        <is>
          <t>M3</t>
        </is>
      </c>
      <c r="F121" s="9" t="n">
        <v>1</v>
      </c>
      <c r="G121" s="9" t="n">
        <v>1.1</v>
      </c>
      <c r="H121" s="9" t="n">
        <v>2.1</v>
      </c>
      <c r="I121" s="9" t="n">
        <v>0.1</v>
      </c>
      <c r="J121" s="9">
        <f>F121*G121*H121*I121</f>
        <v/>
      </c>
      <c r="K121" s="9" t="n"/>
    </row>
    <row r="122">
      <c r="A122" s="8" t="n"/>
      <c r="B122" s="8" t="inlineStr">
        <is>
          <t>E</t>
        </is>
      </c>
      <c r="C122" s="8" t="inlineStr">
        <is>
          <t>6</t>
        </is>
      </c>
      <c r="D122" s="9" t="n"/>
      <c r="E122" s="9" t="inlineStr">
        <is>
          <t>M3</t>
        </is>
      </c>
      <c r="F122" s="9" t="n">
        <v>1</v>
      </c>
      <c r="G122" s="9" t="n">
        <v>1.1</v>
      </c>
      <c r="H122" s="9" t="n">
        <v>1.1</v>
      </c>
      <c r="I122" s="9" t="n">
        <v>0.1</v>
      </c>
      <c r="J122" s="9">
        <f>F122*G122*H122*I122</f>
        <v/>
      </c>
      <c r="K122" s="9" t="n"/>
    </row>
    <row r="123">
      <c r="A123" s="8" t="n"/>
      <c r="B123" s="8" t="inlineStr">
        <is>
          <t>F</t>
        </is>
      </c>
      <c r="C123" s="8" t="inlineStr">
        <is>
          <t>7</t>
        </is>
      </c>
      <c r="D123" s="9" t="n"/>
      <c r="E123" s="9" t="inlineStr">
        <is>
          <t>M3</t>
        </is>
      </c>
      <c r="F123" s="9" t="n">
        <v>1</v>
      </c>
      <c r="G123" s="9" t="n">
        <v>1.2</v>
      </c>
      <c r="H123" s="9" t="n">
        <v>1.2</v>
      </c>
      <c r="I123" s="9" t="n">
        <v>0.1</v>
      </c>
      <c r="J123" s="9">
        <f>F123*G123*H123*I123</f>
        <v/>
      </c>
      <c r="K123" s="9" t="n"/>
    </row>
    <row r="124">
      <c r="A124" s="8" t="n"/>
      <c r="B124" s="8" t="inlineStr">
        <is>
          <t>E</t>
        </is>
      </c>
      <c r="C124" s="8" t="inlineStr">
        <is>
          <t>4</t>
        </is>
      </c>
      <c r="D124" s="9" t="n"/>
      <c r="E124" s="9" t="inlineStr">
        <is>
          <t>M3</t>
        </is>
      </c>
      <c r="F124" s="9" t="n">
        <v>1</v>
      </c>
      <c r="G124" s="9" t="n">
        <v>1.1</v>
      </c>
      <c r="H124" s="9" t="n">
        <v>1.1</v>
      </c>
      <c r="I124" s="9" t="n">
        <v>0.1</v>
      </c>
      <c r="J124" s="9">
        <f>F124*G124*H124*I124</f>
        <v/>
      </c>
      <c r="K124" s="9" t="n"/>
    </row>
    <row r="125">
      <c r="A125" s="8" t="n"/>
      <c r="B125" s="8" t="inlineStr">
        <is>
          <t>F</t>
        </is>
      </c>
      <c r="C125" s="8" t="inlineStr">
        <is>
          <t>4</t>
        </is>
      </c>
      <c r="D125" s="9" t="n"/>
      <c r="E125" s="9" t="inlineStr">
        <is>
          <t>M3</t>
        </is>
      </c>
      <c r="F125" s="9" t="n">
        <v>1</v>
      </c>
      <c r="G125" s="9" t="n">
        <v>1.1</v>
      </c>
      <c r="H125" s="9" t="n">
        <v>1.1</v>
      </c>
      <c r="I125" s="9" t="n">
        <v>0.1</v>
      </c>
      <c r="J125" s="9">
        <f>F125*G125*H125*I125</f>
        <v/>
      </c>
      <c r="K125" s="9" t="n"/>
    </row>
    <row r="126">
      <c r="A126" s="8" t="n"/>
      <c r="B126" s="8" t="inlineStr">
        <is>
          <t>I</t>
        </is>
      </c>
      <c r="C126" s="8" t="inlineStr">
        <is>
          <t>6</t>
        </is>
      </c>
      <c r="D126" s="9" t="n"/>
      <c r="E126" s="9" t="inlineStr">
        <is>
          <t>M3</t>
        </is>
      </c>
      <c r="F126" s="9" t="n">
        <v>1</v>
      </c>
      <c r="G126" s="9" t="n">
        <v>1.1</v>
      </c>
      <c r="H126" s="9" t="n">
        <v>1.1</v>
      </c>
      <c r="I126" s="9" t="n">
        <v>0.1</v>
      </c>
      <c r="J126" s="9">
        <f>F126*G126*H126*I126</f>
        <v/>
      </c>
      <c r="K126" s="9" t="n"/>
    </row>
    <row r="127">
      <c r="A127" s="8" t="n"/>
      <c r="B127" s="8" t="inlineStr">
        <is>
          <t>H</t>
        </is>
      </c>
      <c r="C127" s="8" t="inlineStr">
        <is>
          <t>3</t>
        </is>
      </c>
      <c r="D127" s="9" t="n"/>
      <c r="E127" s="9" t="inlineStr">
        <is>
          <t>M3</t>
        </is>
      </c>
      <c r="F127" s="9" t="n">
        <v>1</v>
      </c>
      <c r="G127" s="9" t="n">
        <v>1.1</v>
      </c>
      <c r="H127" s="9" t="n">
        <v>2.1</v>
      </c>
      <c r="I127" s="9" t="n">
        <v>0.1</v>
      </c>
      <c r="J127" s="9">
        <f>F127*G127*H127*I127</f>
        <v/>
      </c>
      <c r="K127" s="9" t="n"/>
    </row>
    <row r="128">
      <c r="A128" s="8" t="n"/>
      <c r="B128" s="8" t="inlineStr">
        <is>
          <t>E</t>
        </is>
      </c>
      <c r="C128" s="8" t="inlineStr">
        <is>
          <t>3</t>
        </is>
      </c>
      <c r="D128" s="9" t="n"/>
      <c r="E128" s="9" t="inlineStr">
        <is>
          <t>M3</t>
        </is>
      </c>
      <c r="F128" s="9" t="n">
        <v>1</v>
      </c>
      <c r="G128" s="9" t="n">
        <v>1.1</v>
      </c>
      <c r="H128" s="9" t="n">
        <v>1.1</v>
      </c>
      <c r="I128" s="9" t="n">
        <v>0.1</v>
      </c>
      <c r="J128" s="9">
        <f>F128*G128*H128*I128</f>
        <v/>
      </c>
      <c r="K128" s="9" t="n"/>
    </row>
    <row r="129">
      <c r="A129" s="8" t="n"/>
      <c r="B129" s="8" t="inlineStr">
        <is>
          <t>I</t>
        </is>
      </c>
      <c r="C129" s="8" t="inlineStr">
        <is>
          <t>3</t>
        </is>
      </c>
      <c r="D129" s="9" t="n"/>
      <c r="E129" s="9" t="inlineStr">
        <is>
          <t>M3</t>
        </is>
      </c>
      <c r="F129" s="9" t="n">
        <v>1</v>
      </c>
      <c r="G129" s="9" t="n">
        <v>1.1</v>
      </c>
      <c r="H129" s="9" t="n">
        <v>1.1</v>
      </c>
      <c r="I129" s="9" t="n">
        <v>0.1</v>
      </c>
      <c r="J129" s="9">
        <f>F129*G129*H129*I129</f>
        <v/>
      </c>
      <c r="K129" s="9" t="n"/>
    </row>
    <row r="130">
      <c r="A130" s="8" t="n"/>
      <c r="B130" s="8" t="inlineStr">
        <is>
          <t>A</t>
        </is>
      </c>
      <c r="C130" s="8" t="inlineStr">
        <is>
          <t>17</t>
        </is>
      </c>
      <c r="D130" s="9" t="n"/>
      <c r="E130" s="9" t="inlineStr">
        <is>
          <t>M3</t>
        </is>
      </c>
      <c r="F130" s="9" t="n">
        <v>1</v>
      </c>
      <c r="G130" s="9" t="n">
        <v>1.1</v>
      </c>
      <c r="H130" s="9" t="n">
        <v>2.1</v>
      </c>
      <c r="I130" s="9" t="n">
        <v>0.1</v>
      </c>
      <c r="J130" s="9">
        <f>F130*G130*H130*I130</f>
        <v/>
      </c>
      <c r="K130" s="9" t="n"/>
    </row>
    <row r="131">
      <c r="A131" s="8" t="n"/>
      <c r="B131" s="8" t="inlineStr">
        <is>
          <t>A</t>
        </is>
      </c>
      <c r="C131" s="8" t="inlineStr">
        <is>
          <t>17</t>
        </is>
      </c>
      <c r="D131" s="9" t="n"/>
      <c r="E131" s="9" t="inlineStr">
        <is>
          <t>M3</t>
        </is>
      </c>
      <c r="F131" s="9" t="n">
        <v>1</v>
      </c>
      <c r="G131" s="9" t="n">
        <v>1.1</v>
      </c>
      <c r="H131" s="9" t="n">
        <v>1.1</v>
      </c>
      <c r="I131" s="9" t="n">
        <v>0.1</v>
      </c>
      <c r="J131" s="9">
        <f>F131*G131*H131*I131</f>
        <v/>
      </c>
      <c r="K131" s="9" t="n"/>
    </row>
    <row r="132">
      <c r="A132" s="8" t="n"/>
      <c r="B132" s="8" t="inlineStr">
        <is>
          <t>A</t>
        </is>
      </c>
      <c r="C132" s="8" t="inlineStr">
        <is>
          <t>17</t>
        </is>
      </c>
      <c r="D132" s="9" t="n"/>
      <c r="E132" s="9" t="inlineStr">
        <is>
          <t>M3</t>
        </is>
      </c>
      <c r="F132" s="9" t="n">
        <v>1</v>
      </c>
      <c r="G132" s="9" t="n">
        <v>1.1</v>
      </c>
      <c r="H132" s="9" t="n">
        <v>1.1</v>
      </c>
      <c r="I132" s="9" t="n">
        <v>0.1</v>
      </c>
      <c r="J132" s="9">
        <f>F132*G132*H132*I132</f>
        <v/>
      </c>
      <c r="K132" s="9" t="n"/>
    </row>
    <row r="133">
      <c r="A133" s="8" t="n"/>
      <c r="B133" s="8" t="inlineStr">
        <is>
          <t>A</t>
        </is>
      </c>
      <c r="C133" s="8" t="inlineStr">
        <is>
          <t>17</t>
        </is>
      </c>
      <c r="D133" s="9" t="n"/>
      <c r="E133" s="9" t="inlineStr">
        <is>
          <t>M3</t>
        </is>
      </c>
      <c r="F133" s="9" t="n">
        <v>1</v>
      </c>
      <c r="G133" s="9" t="n">
        <v>1.1</v>
      </c>
      <c r="H133" s="9" t="n">
        <v>1.1</v>
      </c>
      <c r="I133" s="9" t="n">
        <v>0.1</v>
      </c>
      <c r="J133" s="9">
        <f>F133*G133*H133*I133</f>
        <v/>
      </c>
      <c r="K133" s="9" t="n"/>
    </row>
    <row r="134">
      <c r="A134" s="8" t="n"/>
      <c r="B134" s="8" t="inlineStr">
        <is>
          <t>A</t>
        </is>
      </c>
      <c r="C134" s="8" t="inlineStr">
        <is>
          <t>17</t>
        </is>
      </c>
      <c r="D134" s="9" t="n"/>
      <c r="E134" s="9" t="inlineStr">
        <is>
          <t>M3</t>
        </is>
      </c>
      <c r="F134" s="9" t="n">
        <v>1</v>
      </c>
      <c r="G134" s="9" t="n">
        <v>1.1</v>
      </c>
      <c r="H134" s="9" t="n">
        <v>1.1</v>
      </c>
      <c r="I134" s="9" t="n">
        <v>0.1</v>
      </c>
      <c r="J134" s="9">
        <f>F134*G134*H134*I134</f>
        <v/>
      </c>
      <c r="K134" s="9" t="n"/>
    </row>
    <row r="135">
      <c r="A135" s="8" t="n"/>
      <c r="B135" s="8" t="inlineStr">
        <is>
          <t>A</t>
        </is>
      </c>
      <c r="C135" s="8" t="inlineStr">
        <is>
          <t>17</t>
        </is>
      </c>
      <c r="D135" s="9" t="n"/>
      <c r="E135" s="9" t="inlineStr">
        <is>
          <t>M3</t>
        </is>
      </c>
      <c r="F135" s="9" t="n">
        <v>1</v>
      </c>
      <c r="G135" s="9" t="n">
        <v>1.1</v>
      </c>
      <c r="H135" s="9" t="n">
        <v>1.1</v>
      </c>
      <c r="I135" s="9" t="n">
        <v>0.1</v>
      </c>
      <c r="J135" s="9">
        <f>F135*G135*H135*I135</f>
        <v/>
      </c>
      <c r="K135" s="9" t="n"/>
    </row>
    <row r="136">
      <c r="A136" s="8" t="n"/>
      <c r="B136" s="8" t="inlineStr">
        <is>
          <t>A</t>
        </is>
      </c>
      <c r="C136" s="8" t="inlineStr">
        <is>
          <t>17</t>
        </is>
      </c>
      <c r="D136" s="9" t="n"/>
      <c r="E136" s="9" t="inlineStr">
        <is>
          <t>M3</t>
        </is>
      </c>
      <c r="F136" s="9" t="n">
        <v>1</v>
      </c>
      <c r="G136" s="9" t="n">
        <v>1.1</v>
      </c>
      <c r="H136" s="9" t="n">
        <v>1.1</v>
      </c>
      <c r="I136" s="9" t="n">
        <v>0.1</v>
      </c>
      <c r="J136" s="9">
        <f>F136*G136*H136*I136</f>
        <v/>
      </c>
      <c r="K136" s="9" t="n"/>
    </row>
    <row r="137">
      <c r="A137" s="8" t="n"/>
      <c r="B137" s="8" t="inlineStr">
        <is>
          <t>A</t>
        </is>
      </c>
      <c r="C137" s="8" t="inlineStr">
        <is>
          <t>17</t>
        </is>
      </c>
      <c r="D137" s="9" t="n"/>
      <c r="E137" s="9" t="inlineStr">
        <is>
          <t>M3</t>
        </is>
      </c>
      <c r="F137" s="9" t="n">
        <v>1</v>
      </c>
      <c r="G137" s="9" t="n">
        <v>1.1</v>
      </c>
      <c r="H137" s="9" t="n">
        <v>1.1</v>
      </c>
      <c r="I137" s="9" t="n">
        <v>0.1</v>
      </c>
      <c r="J137" s="9">
        <f>F137*G137*H137*I137</f>
        <v/>
      </c>
      <c r="K137" s="9" t="n"/>
    </row>
    <row r="138">
      <c r="A138" s="8" t="n"/>
      <c r="B138" s="8" t="inlineStr">
        <is>
          <t>A</t>
        </is>
      </c>
      <c r="C138" s="8" t="inlineStr">
        <is>
          <t>17</t>
        </is>
      </c>
      <c r="D138" s="9" t="n"/>
      <c r="E138" s="9" t="inlineStr">
        <is>
          <t>M3</t>
        </is>
      </c>
      <c r="F138" s="9" t="n">
        <v>1</v>
      </c>
      <c r="G138" s="9" t="n">
        <v>1.1</v>
      </c>
      <c r="H138" s="9" t="n">
        <v>1.1</v>
      </c>
      <c r="I138" s="9" t="n">
        <v>0.1</v>
      </c>
      <c r="J138" s="9">
        <f>F138*G138*H138*I138</f>
        <v/>
      </c>
      <c r="K138" s="9" t="n"/>
    </row>
    <row r="139">
      <c r="A139" s="8" t="n"/>
      <c r="B139" s="8" t="inlineStr">
        <is>
          <t>A</t>
        </is>
      </c>
      <c r="C139" s="8" t="inlineStr">
        <is>
          <t>17</t>
        </is>
      </c>
      <c r="D139" s="9" t="n"/>
      <c r="E139" s="9" t="inlineStr">
        <is>
          <t>M3</t>
        </is>
      </c>
      <c r="F139" s="9" t="n">
        <v>1</v>
      </c>
      <c r="G139" s="9" t="n">
        <v>1.2</v>
      </c>
      <c r="H139" s="9" t="n">
        <v>1.2</v>
      </c>
      <c r="I139" s="9" t="n">
        <v>0.1</v>
      </c>
      <c r="J139" s="9">
        <f>F139*G139*H139*I139</f>
        <v/>
      </c>
      <c r="K139" s="9" t="n"/>
    </row>
    <row r="140">
      <c r="A140" s="8" t="n"/>
      <c r="B140" s="8" t="inlineStr">
        <is>
          <t>A</t>
        </is>
      </c>
      <c r="C140" s="8" t="inlineStr">
        <is>
          <t>17</t>
        </is>
      </c>
      <c r="D140" s="9" t="n"/>
      <c r="E140" s="9" t="inlineStr">
        <is>
          <t>M3</t>
        </is>
      </c>
      <c r="F140" s="9" t="n">
        <v>1</v>
      </c>
      <c r="G140" s="9" t="n">
        <v>1.1</v>
      </c>
      <c r="H140" s="9" t="n">
        <v>2.1</v>
      </c>
      <c r="I140" s="9" t="n">
        <v>0.1</v>
      </c>
      <c r="J140" s="9">
        <f>F140*G140*H140*I140</f>
        <v/>
      </c>
      <c r="K140" s="9" t="n"/>
    </row>
    <row r="141">
      <c r="A141" s="8" t="n"/>
      <c r="B141" s="8" t="inlineStr">
        <is>
          <t>A</t>
        </is>
      </c>
      <c r="C141" s="8" t="inlineStr">
        <is>
          <t>17</t>
        </is>
      </c>
      <c r="D141" s="9" t="n"/>
      <c r="E141" s="9" t="inlineStr">
        <is>
          <t>M3</t>
        </is>
      </c>
      <c r="F141" s="9" t="n">
        <v>1</v>
      </c>
      <c r="G141" s="9" t="n">
        <v>1.1</v>
      </c>
      <c r="H141" s="9" t="n">
        <v>1.1</v>
      </c>
      <c r="I141" s="9" t="n">
        <v>0.1</v>
      </c>
      <c r="J141" s="9">
        <f>F141*G141*H141*I141</f>
        <v/>
      </c>
      <c r="K141" s="9" t="n"/>
    </row>
    <row r="142">
      <c r="A142" s="8" t="n"/>
      <c r="B142" s="8" t="inlineStr">
        <is>
          <t>A</t>
        </is>
      </c>
      <c r="C142" s="8" t="inlineStr">
        <is>
          <t>17</t>
        </is>
      </c>
      <c r="D142" s="9" t="n"/>
      <c r="E142" s="9" t="inlineStr">
        <is>
          <t>M3</t>
        </is>
      </c>
      <c r="F142" s="9" t="n">
        <v>1</v>
      </c>
      <c r="G142" s="9" t="n">
        <v>1.1</v>
      </c>
      <c r="H142" s="9" t="n">
        <v>1.1</v>
      </c>
      <c r="I142" s="9" t="n">
        <v>0.1</v>
      </c>
      <c r="J142" s="9">
        <f>F142*G142*H142*I142</f>
        <v/>
      </c>
      <c r="K142" s="9" t="n"/>
    </row>
    <row r="143">
      <c r="A143" s="8" t="n"/>
      <c r="B143" s="8" t="inlineStr">
        <is>
          <t>A</t>
        </is>
      </c>
      <c r="C143" s="8" t="inlineStr">
        <is>
          <t>17</t>
        </is>
      </c>
      <c r="D143" s="9" t="n"/>
      <c r="E143" s="9" t="inlineStr">
        <is>
          <t>M3</t>
        </is>
      </c>
      <c r="F143" s="9" t="n">
        <v>1</v>
      </c>
      <c r="G143" s="9" t="n">
        <v>1.1</v>
      </c>
      <c r="H143" s="9" t="n">
        <v>1.1</v>
      </c>
      <c r="I143" s="9" t="n">
        <v>0.1</v>
      </c>
      <c r="J143" s="9">
        <f>F143*G143*H143*I143</f>
        <v/>
      </c>
      <c r="K143" s="9" t="n"/>
    </row>
    <row r="144">
      <c r="A144" s="8" t="n"/>
      <c r="B144" s="8" t="inlineStr">
        <is>
          <t>A</t>
        </is>
      </c>
      <c r="C144" s="8" t="inlineStr">
        <is>
          <t>17</t>
        </is>
      </c>
      <c r="D144" s="9" t="n"/>
      <c r="E144" s="9" t="inlineStr">
        <is>
          <t>M3</t>
        </is>
      </c>
      <c r="F144" s="9" t="n">
        <v>1</v>
      </c>
      <c r="G144" s="9" t="n">
        <v>1.1</v>
      </c>
      <c r="H144" s="9" t="n">
        <v>1.1</v>
      </c>
      <c r="I144" s="9" t="n">
        <v>0.1</v>
      </c>
      <c r="J144" s="9">
        <f>F144*G144*H144*I144</f>
        <v/>
      </c>
      <c r="K144" s="9" t="n"/>
    </row>
    <row r="145">
      <c r="A145" s="8" t="n"/>
      <c r="B145" s="8" t="inlineStr">
        <is>
          <t>A</t>
        </is>
      </c>
      <c r="C145" s="8" t="inlineStr">
        <is>
          <t>17</t>
        </is>
      </c>
      <c r="D145" s="9" t="n"/>
      <c r="E145" s="9" t="inlineStr">
        <is>
          <t>M3</t>
        </is>
      </c>
      <c r="F145" s="9" t="n">
        <v>1</v>
      </c>
      <c r="G145" s="9" t="n">
        <v>1.1</v>
      </c>
      <c r="H145" s="9" t="n">
        <v>1.1</v>
      </c>
      <c r="I145" s="9" t="n">
        <v>0.1</v>
      </c>
      <c r="J145" s="9">
        <f>F145*G145*H145*I145</f>
        <v/>
      </c>
      <c r="K145" s="9" t="n"/>
    </row>
    <row r="146">
      <c r="A146" s="8" t="n"/>
      <c r="B146" s="8" t="inlineStr">
        <is>
          <t>A</t>
        </is>
      </c>
      <c r="C146" s="8" t="inlineStr">
        <is>
          <t>17</t>
        </is>
      </c>
      <c r="D146" s="9" t="n"/>
      <c r="E146" s="9" t="inlineStr">
        <is>
          <t>M3</t>
        </is>
      </c>
      <c r="F146" s="9" t="n">
        <v>1</v>
      </c>
      <c r="G146" s="9" t="n">
        <v>1.1</v>
      </c>
      <c r="H146" s="9" t="n">
        <v>1.1</v>
      </c>
      <c r="I146" s="9" t="n">
        <v>0.1</v>
      </c>
      <c r="J146" s="9">
        <f>F146*G146*H146*I146</f>
        <v/>
      </c>
      <c r="K146" s="9" t="n"/>
    </row>
    <row r="147">
      <c r="A147" s="8" t="n"/>
      <c r="B147" s="8" t="inlineStr">
        <is>
          <t>A</t>
        </is>
      </c>
      <c r="C147" s="8" t="inlineStr">
        <is>
          <t>17</t>
        </is>
      </c>
      <c r="D147" s="9" t="n"/>
      <c r="E147" s="9" t="inlineStr">
        <is>
          <t>M3</t>
        </is>
      </c>
      <c r="F147" s="9" t="n">
        <v>1</v>
      </c>
      <c r="G147" s="9" t="n">
        <v>1.1</v>
      </c>
      <c r="H147" s="9" t="n">
        <v>1.1</v>
      </c>
      <c r="I147" s="9" t="n">
        <v>0.1</v>
      </c>
      <c r="J147" s="9">
        <f>F147*G147*H147*I147</f>
        <v/>
      </c>
      <c r="K147" s="9" t="n"/>
    </row>
    <row r="148">
      <c r="A148" s="8" t="n"/>
      <c r="B148" s="8" t="inlineStr">
        <is>
          <t>A</t>
        </is>
      </c>
      <c r="C148" s="8" t="inlineStr">
        <is>
          <t>17</t>
        </is>
      </c>
      <c r="D148" s="9" t="n"/>
      <c r="E148" s="9" t="inlineStr">
        <is>
          <t>M3</t>
        </is>
      </c>
      <c r="F148" s="9" t="n">
        <v>1</v>
      </c>
      <c r="G148" s="9" t="n">
        <v>1.1</v>
      </c>
      <c r="H148" s="9" t="n">
        <v>1.1</v>
      </c>
      <c r="I148" s="9" t="n">
        <v>0.1</v>
      </c>
      <c r="J148" s="9">
        <f>F148*G148*H148*I148</f>
        <v/>
      </c>
      <c r="K148" s="9" t="n"/>
    </row>
    <row r="149">
      <c r="A149" s="8" t="n"/>
      <c r="B149" s="8" t="inlineStr">
        <is>
          <t>A</t>
        </is>
      </c>
      <c r="C149" s="8" t="inlineStr">
        <is>
          <t>17</t>
        </is>
      </c>
      <c r="D149" s="9" t="n"/>
      <c r="E149" s="9" t="inlineStr">
        <is>
          <t>M3</t>
        </is>
      </c>
      <c r="F149" s="9" t="n">
        <v>1</v>
      </c>
      <c r="G149" s="9" t="n">
        <v>1.2</v>
      </c>
      <c r="H149" s="9" t="n">
        <v>1.2</v>
      </c>
      <c r="I149" s="9" t="n">
        <v>0.1</v>
      </c>
      <c r="J149" s="9">
        <f>F149*G149*H149*I149</f>
        <v/>
      </c>
      <c r="K149" s="9" t="n"/>
    </row>
    <row r="150">
      <c r="A150" s="10" t="inlineStr">
        <is>
          <t>total</t>
        </is>
      </c>
      <c r="B150" s="10" t="n"/>
      <c r="C150" s="10" t="n"/>
      <c r="D150" s="11" t="n"/>
      <c r="E150" s="11" t="n"/>
      <c r="F150" s="11" t="n"/>
      <c r="G150" s="11" t="n"/>
      <c r="H150" s="11" t="n"/>
      <c r="I150" s="11" t="n"/>
      <c r="J150" s="11">
        <f>SUM(J83:J149)</f>
        <v/>
      </c>
      <c r="K150" s="11">
        <f>SUM(K83:K149)</f>
        <v/>
      </c>
    </row>
    <row r="152">
      <c r="A152" s="3" t="n">
        <v>16</v>
      </c>
      <c r="B152" s="3" t="inlineStr">
        <is>
          <t xml:space="preserve"> Béton pour béton armé en fondation calculé en M3</t>
        </is>
      </c>
    </row>
    <row r="153">
      <c r="B153" s="1" t="inlineStr">
        <is>
          <t>pour semelle isolee</t>
        </is>
      </c>
    </row>
    <row r="154">
      <c r="B154" s="7" t="inlineStr">
        <is>
          <t>axe</t>
        </is>
      </c>
      <c r="C154" s="7" t="inlineStr">
        <is>
          <t>fill</t>
        </is>
      </c>
    </row>
    <row r="155">
      <c r="A155" s="8" t="n"/>
      <c r="B155" s="8" t="inlineStr">
        <is>
          <t>C</t>
        </is>
      </c>
      <c r="C155" s="8" t="inlineStr">
        <is>
          <t>7</t>
        </is>
      </c>
      <c r="D155" s="9" t="n"/>
      <c r="E155" s="9" t="inlineStr">
        <is>
          <t>M3</t>
        </is>
      </c>
      <c r="F155" s="9" t="n">
        <v>1</v>
      </c>
      <c r="G155" s="9" t="n">
        <v>0.9</v>
      </c>
      <c r="H155" s="9" t="n">
        <v>0.9</v>
      </c>
      <c r="I155" s="9" t="n">
        <v>0.25</v>
      </c>
      <c r="J155" s="9">
        <f>F155*G155*H155*I155</f>
        <v/>
      </c>
      <c r="K155" s="9" t="n"/>
    </row>
    <row r="156">
      <c r="A156" s="8" t="n"/>
      <c r="B156" s="8" t="inlineStr">
        <is>
          <t>S</t>
        </is>
      </c>
      <c r="C156" s="8" t="inlineStr">
        <is>
          <t>7</t>
        </is>
      </c>
      <c r="D156" s="9" t="n"/>
      <c r="E156" s="9" t="inlineStr">
        <is>
          <t>M3</t>
        </is>
      </c>
      <c r="F156" s="9" t="n">
        <v>1</v>
      </c>
      <c r="G156" s="9" t="n">
        <v>0.9</v>
      </c>
      <c r="H156" s="9" t="n">
        <v>0.9</v>
      </c>
      <c r="I156" s="9" t="n">
        <v>0.25</v>
      </c>
      <c r="J156" s="9">
        <f>F156*G156*H156*I156</f>
        <v/>
      </c>
      <c r="K156" s="9" t="n"/>
    </row>
    <row r="157">
      <c r="A157" s="8" t="n"/>
      <c r="B157" s="8" t="inlineStr">
        <is>
          <t>F</t>
        </is>
      </c>
      <c r="C157" s="8" t="inlineStr">
        <is>
          <t>7</t>
        </is>
      </c>
      <c r="D157" s="9" t="n"/>
      <c r="E157" s="9" t="inlineStr">
        <is>
          <t>M3</t>
        </is>
      </c>
      <c r="F157" s="9" t="n">
        <v>1</v>
      </c>
      <c r="G157" s="9" t="n">
        <v>0.9</v>
      </c>
      <c r="H157" s="9" t="n">
        <v>0.9</v>
      </c>
      <c r="I157" s="9" t="n">
        <v>0.25</v>
      </c>
      <c r="J157" s="9">
        <f>F157*G157*H157*I157</f>
        <v/>
      </c>
      <c r="K157" s="9" t="n"/>
    </row>
    <row r="158">
      <c r="A158" s="8" t="n"/>
      <c r="B158" s="8" t="inlineStr">
        <is>
          <t>H</t>
        </is>
      </c>
      <c r="C158" s="8" t="inlineStr">
        <is>
          <t>7</t>
        </is>
      </c>
      <c r="D158" s="9" t="n"/>
      <c r="E158" s="9" t="inlineStr">
        <is>
          <t>M3</t>
        </is>
      </c>
      <c r="F158" s="9" t="n">
        <v>1</v>
      </c>
      <c r="G158" s="9" t="n">
        <v>0.9</v>
      </c>
      <c r="H158" s="9" t="n">
        <v>0.9</v>
      </c>
      <c r="I158" s="9" t="n">
        <v>0.25</v>
      </c>
      <c r="J158" s="9">
        <f>F158*G158*H158*I158</f>
        <v/>
      </c>
      <c r="K158" s="9" t="n"/>
    </row>
    <row r="159">
      <c r="A159" s="8" t="n"/>
      <c r="B159" s="8" t="inlineStr">
        <is>
          <t>H</t>
        </is>
      </c>
      <c r="C159" s="8" t="inlineStr">
        <is>
          <t>6</t>
        </is>
      </c>
      <c r="D159" s="9" t="n"/>
      <c r="E159" s="9" t="inlineStr">
        <is>
          <t>M3</t>
        </is>
      </c>
      <c r="F159" s="9" t="n">
        <v>1</v>
      </c>
      <c r="G159" s="9" t="n">
        <v>0.9</v>
      </c>
      <c r="H159" s="9" t="n">
        <v>0.9</v>
      </c>
      <c r="I159" s="9" t="n">
        <v>0.25</v>
      </c>
      <c r="J159" s="9">
        <f>F159*G159*H159*I159</f>
        <v/>
      </c>
      <c r="K159" s="9" t="n"/>
    </row>
    <row r="160">
      <c r="A160" s="8" t="n"/>
      <c r="B160" s="8" t="inlineStr">
        <is>
          <t>F</t>
        </is>
      </c>
      <c r="C160" s="8" t="inlineStr">
        <is>
          <t>6</t>
        </is>
      </c>
      <c r="D160" s="9" t="n"/>
      <c r="E160" s="9" t="inlineStr">
        <is>
          <t>M3</t>
        </is>
      </c>
      <c r="F160" s="9" t="n">
        <v>1</v>
      </c>
      <c r="G160" s="9" t="n">
        <v>0.9</v>
      </c>
      <c r="H160" s="9" t="n">
        <v>0.9</v>
      </c>
      <c r="I160" s="9" t="n">
        <v>0.25</v>
      </c>
      <c r="J160" s="9">
        <f>F160*G160*H160*I160</f>
        <v/>
      </c>
      <c r="K160" s="9" t="n"/>
    </row>
    <row r="161">
      <c r="A161" s="8" t="n"/>
      <c r="B161" s="8" t="inlineStr">
        <is>
          <t>D</t>
        </is>
      </c>
      <c r="C161" s="8" t="inlineStr">
        <is>
          <t>6</t>
        </is>
      </c>
      <c r="D161" s="9" t="n"/>
      <c r="E161" s="9" t="inlineStr">
        <is>
          <t>M3</t>
        </is>
      </c>
      <c r="F161" s="9" t="n">
        <v>1</v>
      </c>
      <c r="G161" s="9" t="n">
        <v>0.9</v>
      </c>
      <c r="H161" s="9" t="n">
        <v>0.9</v>
      </c>
      <c r="I161" s="9" t="n">
        <v>0.25</v>
      </c>
      <c r="J161" s="9">
        <f>F161*G161*H161*I161</f>
        <v/>
      </c>
      <c r="K161" s="9" t="n"/>
    </row>
    <row r="162">
      <c r="A162" s="8" t="n"/>
      <c r="B162" s="8" t="inlineStr">
        <is>
          <t>C</t>
        </is>
      </c>
      <c r="C162" s="8" t="inlineStr">
        <is>
          <t>6</t>
        </is>
      </c>
      <c r="D162" s="9" t="n"/>
      <c r="E162" s="9" t="inlineStr">
        <is>
          <t>M3</t>
        </is>
      </c>
      <c r="F162" s="9" t="n">
        <v>1</v>
      </c>
      <c r="G162" s="9" t="n">
        <v>0.9</v>
      </c>
      <c r="H162" s="9" t="n">
        <v>0.9</v>
      </c>
      <c r="I162" s="9" t="n">
        <v>0.25</v>
      </c>
      <c r="J162" s="9">
        <f>F162*G162*H162*I162</f>
        <v/>
      </c>
      <c r="K162" s="9" t="n"/>
    </row>
    <row r="163">
      <c r="A163" s="8" t="n"/>
      <c r="B163" s="8" t="inlineStr">
        <is>
          <t>D</t>
        </is>
      </c>
      <c r="C163" s="8" t="inlineStr">
        <is>
          <t>4</t>
        </is>
      </c>
      <c r="D163" s="9" t="n"/>
      <c r="E163" s="9" t="inlineStr">
        <is>
          <t>M3</t>
        </is>
      </c>
      <c r="F163" s="9" t="n">
        <v>1</v>
      </c>
      <c r="G163" s="9" t="n">
        <v>0.9</v>
      </c>
      <c r="H163" s="9" t="n">
        <v>1.9</v>
      </c>
      <c r="I163" s="9" t="n">
        <v>0.25</v>
      </c>
      <c r="J163" s="9">
        <f>F163*G163*H163*I163</f>
        <v/>
      </c>
      <c r="K163" s="9" t="n"/>
    </row>
    <row r="164">
      <c r="A164" s="8" t="n"/>
      <c r="B164" s="8" t="inlineStr">
        <is>
          <t>C</t>
        </is>
      </c>
      <c r="C164" s="8" t="inlineStr">
        <is>
          <t>5</t>
        </is>
      </c>
      <c r="D164" s="9" t="n"/>
      <c r="E164" s="9" t="inlineStr">
        <is>
          <t>M3</t>
        </is>
      </c>
      <c r="F164" s="9" t="n">
        <v>1</v>
      </c>
      <c r="G164" s="9" t="n">
        <v>0.9</v>
      </c>
      <c r="H164" s="9" t="n">
        <v>0.9</v>
      </c>
      <c r="I164" s="9" t="n">
        <v>0.25</v>
      </c>
      <c r="J164" s="9">
        <f>F164*G164*H164*I164</f>
        <v/>
      </c>
      <c r="K164" s="9" t="n"/>
    </row>
    <row r="165">
      <c r="A165" s="8" t="n"/>
      <c r="B165" s="8" t="inlineStr">
        <is>
          <t>B</t>
        </is>
      </c>
      <c r="C165" s="8" t="inlineStr">
        <is>
          <t>5</t>
        </is>
      </c>
      <c r="D165" s="9" t="n"/>
      <c r="E165" s="9" t="inlineStr">
        <is>
          <t>M3</t>
        </is>
      </c>
      <c r="F165" s="9" t="n">
        <v>1</v>
      </c>
      <c r="G165" s="9" t="n">
        <v>0.9</v>
      </c>
      <c r="H165" s="9" t="n">
        <v>0.9</v>
      </c>
      <c r="I165" s="9" t="n">
        <v>0.25</v>
      </c>
      <c r="J165" s="9">
        <f>F165*G165*H165*I165</f>
        <v/>
      </c>
      <c r="K165" s="9" t="n"/>
    </row>
    <row r="166">
      <c r="A166" s="8" t="n"/>
      <c r="B166" s="8" t="inlineStr">
        <is>
          <t>F</t>
        </is>
      </c>
      <c r="C166" s="8" t="inlineStr">
        <is>
          <t>4</t>
        </is>
      </c>
      <c r="D166" s="9" t="n"/>
      <c r="E166" s="9" t="inlineStr">
        <is>
          <t>M3</t>
        </is>
      </c>
      <c r="F166" s="9" t="n">
        <v>1</v>
      </c>
      <c r="G166" s="9" t="n">
        <v>0.9</v>
      </c>
      <c r="H166" s="9" t="n">
        <v>0.9</v>
      </c>
      <c r="I166" s="9" t="n">
        <v>0.25</v>
      </c>
      <c r="J166" s="9">
        <f>F166*G166*H166*I166</f>
        <v/>
      </c>
      <c r="K166" s="9" t="n"/>
    </row>
    <row r="167">
      <c r="A167" s="8" t="n"/>
      <c r="B167" s="8" t="inlineStr">
        <is>
          <t>L</t>
        </is>
      </c>
      <c r="C167" s="8" t="inlineStr">
        <is>
          <t>8</t>
        </is>
      </c>
      <c r="D167" s="9" t="n"/>
      <c r="E167" s="9" t="inlineStr">
        <is>
          <t>M3</t>
        </is>
      </c>
      <c r="F167" s="9" t="n">
        <v>1</v>
      </c>
      <c r="G167" s="9" t="n">
        <v>0.9</v>
      </c>
      <c r="H167" s="9" t="n">
        <v>0.9</v>
      </c>
      <c r="I167" s="9" t="n">
        <v>0.25</v>
      </c>
      <c r="J167" s="9">
        <f>F167*G167*H167*I167</f>
        <v/>
      </c>
      <c r="K167" s="9" t="n"/>
    </row>
    <row r="168">
      <c r="A168" s="8" t="n"/>
      <c r="B168" s="8" t="inlineStr">
        <is>
          <t>S</t>
        </is>
      </c>
      <c r="C168" s="8" t="inlineStr">
        <is>
          <t>8</t>
        </is>
      </c>
      <c r="D168" s="9" t="n"/>
      <c r="E168" s="9" t="inlineStr">
        <is>
          <t>M3</t>
        </is>
      </c>
      <c r="F168" s="9" t="n">
        <v>1</v>
      </c>
      <c r="G168" s="9" t="n">
        <v>0.9</v>
      </c>
      <c r="H168" s="9" t="n">
        <v>0.9</v>
      </c>
      <c r="I168" s="9" t="n">
        <v>0.25</v>
      </c>
      <c r="J168" s="9">
        <f>F168*G168*H168*I168</f>
        <v/>
      </c>
      <c r="K168" s="9" t="n"/>
    </row>
    <row r="169">
      <c r="A169" s="8" t="n"/>
      <c r="B169" s="8" t="inlineStr">
        <is>
          <t>F</t>
        </is>
      </c>
      <c r="C169" s="8" t="inlineStr">
        <is>
          <t>17</t>
        </is>
      </c>
      <c r="D169" s="9" t="n"/>
      <c r="E169" s="9" t="inlineStr">
        <is>
          <t>M3</t>
        </is>
      </c>
      <c r="F169" s="9" t="n">
        <v>1</v>
      </c>
      <c r="G169" s="9" t="n">
        <v>0.9</v>
      </c>
      <c r="H169" s="9" t="n">
        <v>0.9</v>
      </c>
      <c r="I169" s="9" t="n">
        <v>0.25</v>
      </c>
      <c r="J169" s="9">
        <f>F169*G169*H169*I169</f>
        <v/>
      </c>
      <c r="K169" s="9" t="n"/>
    </row>
    <row r="170">
      <c r="A170" s="8" t="n"/>
      <c r="B170" s="8" t="inlineStr">
        <is>
          <t>S</t>
        </is>
      </c>
      <c r="C170" s="8" t="inlineStr">
        <is>
          <t>14</t>
        </is>
      </c>
      <c r="D170" s="9" t="n"/>
      <c r="E170" s="9" t="inlineStr">
        <is>
          <t>M3</t>
        </is>
      </c>
      <c r="F170" s="9" t="n">
        <v>1</v>
      </c>
      <c r="G170" s="9" t="n">
        <v>0.9</v>
      </c>
      <c r="H170" s="9" t="n">
        <v>0.9</v>
      </c>
      <c r="I170" s="9" t="n">
        <v>0.25</v>
      </c>
      <c r="J170" s="9">
        <f>F170*G170*H170*I170</f>
        <v/>
      </c>
      <c r="K170" s="9" t="n"/>
    </row>
    <row r="171">
      <c r="A171" s="8" t="n"/>
      <c r="B171" s="8" t="inlineStr">
        <is>
          <t>F</t>
        </is>
      </c>
      <c r="C171" s="8" t="inlineStr">
        <is>
          <t>8</t>
        </is>
      </c>
      <c r="D171" s="9" t="n"/>
      <c r="E171" s="9" t="inlineStr">
        <is>
          <t>M3</t>
        </is>
      </c>
      <c r="F171" s="9" t="n">
        <v>1</v>
      </c>
      <c r="G171" s="9" t="n">
        <v>0.9</v>
      </c>
      <c r="H171" s="9" t="n">
        <v>0.9</v>
      </c>
      <c r="I171" s="9" t="n">
        <v>0.25</v>
      </c>
      <c r="J171" s="9">
        <f>F171*G171*H171*I171</f>
        <v/>
      </c>
      <c r="K171" s="9" t="n"/>
    </row>
    <row r="172">
      <c r="A172" s="8" t="n"/>
      <c r="B172" s="8" t="inlineStr">
        <is>
          <t>F</t>
        </is>
      </c>
      <c r="C172" s="8" t="inlineStr">
        <is>
          <t>14</t>
        </is>
      </c>
      <c r="D172" s="9" t="n"/>
      <c r="E172" s="9" t="inlineStr">
        <is>
          <t>M3</t>
        </is>
      </c>
      <c r="F172" s="9" t="n">
        <v>1</v>
      </c>
      <c r="G172" s="9" t="n">
        <v>0.9</v>
      </c>
      <c r="H172" s="9" t="n">
        <v>1.9</v>
      </c>
      <c r="I172" s="9" t="n">
        <v>0.25</v>
      </c>
      <c r="J172" s="9">
        <f>F172*G172*H172*I172</f>
        <v/>
      </c>
      <c r="K172" s="9" t="n"/>
    </row>
    <row r="173">
      <c r="A173" s="8" t="n"/>
      <c r="B173" s="8" t="inlineStr">
        <is>
          <t>F</t>
        </is>
      </c>
      <c r="C173" s="8" t="inlineStr">
        <is>
          <t>14</t>
        </is>
      </c>
      <c r="D173" s="9" t="n"/>
      <c r="E173" s="9" t="inlineStr">
        <is>
          <t>M3</t>
        </is>
      </c>
      <c r="F173" s="9" t="n">
        <v>1</v>
      </c>
      <c r="G173" s="9" t="n">
        <v>0.9</v>
      </c>
      <c r="H173" s="9" t="n">
        <v>0.9</v>
      </c>
      <c r="I173" s="9" t="n">
        <v>0.25</v>
      </c>
      <c r="J173" s="9">
        <f>F173*G173*H173*I173</f>
        <v/>
      </c>
      <c r="K173" s="9" t="n"/>
    </row>
    <row r="174">
      <c r="A174" s="8" t="n"/>
      <c r="B174" s="8" t="inlineStr">
        <is>
          <t>F</t>
        </is>
      </c>
      <c r="C174" s="8" t="inlineStr">
        <is>
          <t>11</t>
        </is>
      </c>
      <c r="D174" s="9" t="n"/>
      <c r="E174" s="9" t="inlineStr">
        <is>
          <t>M3</t>
        </is>
      </c>
      <c r="F174" s="9" t="n">
        <v>1</v>
      </c>
      <c r="G174" s="9" t="n">
        <v>0.9</v>
      </c>
      <c r="H174" s="9" t="n">
        <v>0.9</v>
      </c>
      <c r="I174" s="9" t="n">
        <v>0.25</v>
      </c>
      <c r="J174" s="9">
        <f>F174*G174*H174*I174</f>
        <v/>
      </c>
      <c r="K174" s="9" t="n"/>
    </row>
    <row r="175">
      <c r="A175" s="8" t="n"/>
      <c r="B175" s="8" t="inlineStr">
        <is>
          <t>F</t>
        </is>
      </c>
      <c r="C175" s="8" t="inlineStr">
        <is>
          <t>10</t>
        </is>
      </c>
      <c r="D175" s="9" t="n"/>
      <c r="E175" s="9" t="inlineStr">
        <is>
          <t>M3</t>
        </is>
      </c>
      <c r="F175" s="9" t="n">
        <v>1</v>
      </c>
      <c r="G175" s="9" t="n">
        <v>0.9</v>
      </c>
      <c r="H175" s="9" t="n">
        <v>0.9</v>
      </c>
      <c r="I175" s="9" t="n">
        <v>0.25</v>
      </c>
      <c r="J175" s="9">
        <f>F175*G175*H175*I175</f>
        <v/>
      </c>
      <c r="K175" s="9" t="n"/>
    </row>
    <row r="176">
      <c r="A176" s="8" t="n"/>
      <c r="B176" s="8" t="inlineStr">
        <is>
          <t>F</t>
        </is>
      </c>
      <c r="C176" s="8" t="inlineStr">
        <is>
          <t>9</t>
        </is>
      </c>
      <c r="D176" s="9" t="n"/>
      <c r="E176" s="9" t="inlineStr">
        <is>
          <t>M3</t>
        </is>
      </c>
      <c r="F176" s="9" t="n">
        <v>1</v>
      </c>
      <c r="G176" s="9" t="n">
        <v>0.9</v>
      </c>
      <c r="H176" s="9" t="n">
        <v>0.9</v>
      </c>
      <c r="I176" s="9" t="n">
        <v>0.25</v>
      </c>
      <c r="J176" s="9">
        <f>F176*G176*H176*I176</f>
        <v/>
      </c>
      <c r="K176" s="9" t="n"/>
    </row>
    <row r="177">
      <c r="A177" s="8" t="n"/>
      <c r="B177" s="8" t="inlineStr">
        <is>
          <t>L</t>
        </is>
      </c>
      <c r="C177" s="8" t="inlineStr">
        <is>
          <t>7</t>
        </is>
      </c>
      <c r="D177" s="9" t="n"/>
      <c r="E177" s="9" t="inlineStr">
        <is>
          <t>M3</t>
        </is>
      </c>
      <c r="F177" s="9" t="n">
        <v>1</v>
      </c>
      <c r="G177" s="9" t="n">
        <v>0.9</v>
      </c>
      <c r="H177" s="9" t="n">
        <v>0.9</v>
      </c>
      <c r="I177" s="9" t="n">
        <v>0.25</v>
      </c>
      <c r="J177" s="9">
        <f>F177*G177*H177*I177</f>
        <v/>
      </c>
      <c r="K177" s="9" t="n"/>
    </row>
    <row r="178">
      <c r="A178" s="8" t="n"/>
      <c r="B178" s="8" t="inlineStr">
        <is>
          <t>T</t>
        </is>
      </c>
      <c r="C178" s="8" t="inlineStr">
        <is>
          <t>7</t>
        </is>
      </c>
      <c r="D178" s="9" t="n"/>
      <c r="E178" s="9" t="inlineStr">
        <is>
          <t>M3</t>
        </is>
      </c>
      <c r="F178" s="9" t="n">
        <v>1</v>
      </c>
      <c r="G178" s="9" t="n">
        <v>0.9</v>
      </c>
      <c r="H178" s="9" t="n">
        <v>0.9</v>
      </c>
      <c r="I178" s="9" t="n">
        <v>0.25</v>
      </c>
      <c r="J178" s="9">
        <f>F178*G178*H178*I178</f>
        <v/>
      </c>
      <c r="K178" s="9" t="n"/>
    </row>
    <row r="179">
      <c r="A179" s="8" t="n"/>
      <c r="B179" s="8" t="inlineStr">
        <is>
          <t>P</t>
        </is>
      </c>
      <c r="C179" s="8" t="inlineStr">
        <is>
          <t>8</t>
        </is>
      </c>
      <c r="D179" s="9" t="n"/>
      <c r="E179" s="9" t="inlineStr">
        <is>
          <t>M3</t>
        </is>
      </c>
      <c r="F179" s="9" t="n">
        <v>1</v>
      </c>
      <c r="G179" s="9" t="n">
        <v>0.9</v>
      </c>
      <c r="H179" s="9" t="n">
        <v>0.9</v>
      </c>
      <c r="I179" s="9" t="n">
        <v>0.25</v>
      </c>
      <c r="J179" s="9">
        <f>F179*G179*H179*I179</f>
        <v/>
      </c>
      <c r="K179" s="9" t="n"/>
    </row>
    <row r="180">
      <c r="A180" s="8" t="n"/>
      <c r="B180" s="8" t="inlineStr">
        <is>
          <t>B</t>
        </is>
      </c>
      <c r="C180" s="8" t="inlineStr">
        <is>
          <t>16</t>
        </is>
      </c>
      <c r="D180" s="9" t="n"/>
      <c r="E180" s="9" t="inlineStr">
        <is>
          <t>M3</t>
        </is>
      </c>
      <c r="F180" s="9" t="n">
        <v>1</v>
      </c>
      <c r="G180" s="9" t="n">
        <v>0.9</v>
      </c>
      <c r="H180" s="9" t="n">
        <v>0.9</v>
      </c>
      <c r="I180" s="9" t="n">
        <v>0.25</v>
      </c>
      <c r="J180" s="9">
        <f>F180*G180*H180*I180</f>
        <v/>
      </c>
      <c r="K180" s="9" t="n"/>
    </row>
    <row r="181">
      <c r="A181" s="8" t="n"/>
      <c r="B181" s="8" t="inlineStr">
        <is>
          <t>B</t>
        </is>
      </c>
      <c r="C181" s="8" t="inlineStr">
        <is>
          <t>18</t>
        </is>
      </c>
      <c r="D181" s="9" t="n"/>
      <c r="E181" s="9" t="inlineStr">
        <is>
          <t>M3</t>
        </is>
      </c>
      <c r="F181" s="9" t="n">
        <v>1</v>
      </c>
      <c r="G181" s="9" t="n">
        <v>0.9</v>
      </c>
      <c r="H181" s="9" t="n">
        <v>0.9</v>
      </c>
      <c r="I181" s="9" t="n">
        <v>0.25</v>
      </c>
      <c r="J181" s="9">
        <f>F181*G181*H181*I181</f>
        <v/>
      </c>
      <c r="K181" s="9" t="n"/>
    </row>
    <row r="182">
      <c r="A182" s="8" t="n"/>
      <c r="B182" s="8" t="inlineStr">
        <is>
          <t>S</t>
        </is>
      </c>
      <c r="C182" s="8" t="inlineStr">
        <is>
          <t>4</t>
        </is>
      </c>
      <c r="D182" s="9" t="n"/>
      <c r="E182" s="9" t="inlineStr">
        <is>
          <t>M3</t>
        </is>
      </c>
      <c r="F182" s="9" t="n">
        <v>1</v>
      </c>
      <c r="G182" s="9" t="n">
        <v>0.9</v>
      </c>
      <c r="H182" s="9" t="n">
        <v>0.9</v>
      </c>
      <c r="I182" s="9" t="n">
        <v>0.25</v>
      </c>
      <c r="J182" s="9">
        <f>F182*G182*H182*I182</f>
        <v/>
      </c>
      <c r="K182" s="9" t="n"/>
    </row>
    <row r="183">
      <c r="A183" s="8" t="n"/>
      <c r="B183" s="8" t="inlineStr">
        <is>
          <t>D</t>
        </is>
      </c>
      <c r="C183" s="8" t="inlineStr">
        <is>
          <t>4</t>
        </is>
      </c>
      <c r="D183" s="9" t="n"/>
      <c r="E183" s="9" t="inlineStr">
        <is>
          <t>M3</t>
        </is>
      </c>
      <c r="F183" s="9" t="n">
        <v>1</v>
      </c>
      <c r="G183" s="9" t="n">
        <v>1</v>
      </c>
      <c r="H183" s="9" t="n">
        <v>1</v>
      </c>
      <c r="I183" s="9" t="n">
        <v>0.25</v>
      </c>
      <c r="J183" s="9">
        <f>F183*G183*H183*I183</f>
        <v/>
      </c>
      <c r="K183" s="9" t="n"/>
    </row>
    <row r="184">
      <c r="A184" s="8" t="n"/>
      <c r="B184" s="8" t="inlineStr">
        <is>
          <t>D</t>
        </is>
      </c>
      <c r="C184" s="8" t="inlineStr">
        <is>
          <t>3</t>
        </is>
      </c>
      <c r="D184" s="9" t="n"/>
      <c r="E184" s="9" t="inlineStr">
        <is>
          <t>M3</t>
        </is>
      </c>
      <c r="F184" s="9" t="n">
        <v>1</v>
      </c>
      <c r="G184" s="9" t="n">
        <v>0.9</v>
      </c>
      <c r="H184" s="9" t="n">
        <v>0.9</v>
      </c>
      <c r="I184" s="9" t="n">
        <v>0.25</v>
      </c>
      <c r="J184" s="9">
        <f>F184*G184*H184*I184</f>
        <v/>
      </c>
      <c r="K184" s="9" t="n"/>
    </row>
    <row r="185">
      <c r="A185" s="8" t="n"/>
      <c r="B185" s="8" t="inlineStr">
        <is>
          <t>G</t>
        </is>
      </c>
      <c r="C185" s="8" t="inlineStr">
        <is>
          <t>3</t>
        </is>
      </c>
      <c r="D185" s="9" t="n"/>
      <c r="E185" s="9" t="inlineStr">
        <is>
          <t>M3</t>
        </is>
      </c>
      <c r="F185" s="9" t="n">
        <v>1</v>
      </c>
      <c r="G185" s="9" t="n">
        <v>0.9</v>
      </c>
      <c r="H185" s="9" t="n">
        <v>0.9</v>
      </c>
      <c r="I185" s="9" t="n">
        <v>0.25</v>
      </c>
      <c r="J185" s="9">
        <f>F185*G185*H185*I185</f>
        <v/>
      </c>
      <c r="K185" s="9" t="n"/>
    </row>
    <row r="186">
      <c r="A186" s="8" t="n"/>
      <c r="B186" s="8" t="inlineStr">
        <is>
          <t>G</t>
        </is>
      </c>
      <c r="C186" s="8" t="inlineStr">
        <is>
          <t>2</t>
        </is>
      </c>
      <c r="D186" s="9" t="n"/>
      <c r="E186" s="9" t="inlineStr">
        <is>
          <t>M3</t>
        </is>
      </c>
      <c r="F186" s="9" t="n">
        <v>1</v>
      </c>
      <c r="G186" s="9" t="n">
        <v>0.9</v>
      </c>
      <c r="H186" s="9" t="n">
        <v>1.9</v>
      </c>
      <c r="I186" s="9" t="n">
        <v>0.25</v>
      </c>
      <c r="J186" s="9">
        <f>F186*G186*H186*I186</f>
        <v/>
      </c>
      <c r="K186" s="9" t="n"/>
    </row>
    <row r="187">
      <c r="A187" s="8" t="n"/>
      <c r="B187" s="8" t="inlineStr">
        <is>
          <t>G</t>
        </is>
      </c>
      <c r="C187" s="8" t="inlineStr">
        <is>
          <t>4</t>
        </is>
      </c>
      <c r="D187" s="9" t="n"/>
      <c r="E187" s="9" t="inlineStr">
        <is>
          <t>M3</t>
        </is>
      </c>
      <c r="F187" s="9" t="n">
        <v>1</v>
      </c>
      <c r="G187" s="9" t="n">
        <v>1</v>
      </c>
      <c r="H187" s="9" t="n">
        <v>1</v>
      </c>
      <c r="I187" s="9" t="n">
        <v>0.25</v>
      </c>
      <c r="J187" s="9">
        <f>F187*G187*H187*I187</f>
        <v/>
      </c>
      <c r="K187" s="9" t="n"/>
    </row>
    <row r="188">
      <c r="A188" s="8" t="n"/>
      <c r="B188" s="8" t="inlineStr">
        <is>
          <t>C</t>
        </is>
      </c>
      <c r="C188" s="8" t="inlineStr">
        <is>
          <t>4</t>
        </is>
      </c>
      <c r="D188" s="9" t="n"/>
      <c r="E188" s="9" t="inlineStr">
        <is>
          <t>M3</t>
        </is>
      </c>
      <c r="F188" s="9" t="n">
        <v>1</v>
      </c>
      <c r="G188" s="9" t="n">
        <v>0.9</v>
      </c>
      <c r="H188" s="9" t="n">
        <v>0.9</v>
      </c>
      <c r="I188" s="9" t="n">
        <v>0.25</v>
      </c>
      <c r="J188" s="9">
        <f>F188*G188*H188*I188</f>
        <v/>
      </c>
      <c r="K188" s="9" t="n"/>
    </row>
    <row r="189">
      <c r="A189" s="8" t="n"/>
      <c r="B189" s="8" t="inlineStr">
        <is>
          <t>E</t>
        </is>
      </c>
      <c r="C189" s="8" t="inlineStr">
        <is>
          <t>4</t>
        </is>
      </c>
      <c r="D189" s="9" t="n"/>
      <c r="E189" s="9" t="inlineStr">
        <is>
          <t>M3</t>
        </is>
      </c>
      <c r="F189" s="9" t="n">
        <v>1</v>
      </c>
      <c r="G189" s="9" t="n">
        <v>0.9</v>
      </c>
      <c r="H189" s="9" t="n">
        <v>0.9</v>
      </c>
      <c r="I189" s="9" t="n">
        <v>0.25</v>
      </c>
      <c r="J189" s="9">
        <f>F189*G189*H189*I189</f>
        <v/>
      </c>
      <c r="K189" s="9" t="n"/>
    </row>
    <row r="190">
      <c r="A190" s="8" t="n"/>
      <c r="B190" s="8" t="inlineStr">
        <is>
          <t>F</t>
        </is>
      </c>
      <c r="C190" s="8" t="inlineStr">
        <is>
          <t>4</t>
        </is>
      </c>
      <c r="D190" s="9" t="n"/>
      <c r="E190" s="9" t="inlineStr">
        <is>
          <t>M3</t>
        </is>
      </c>
      <c r="F190" s="9" t="n">
        <v>1</v>
      </c>
      <c r="G190" s="9" t="n">
        <v>0.9</v>
      </c>
      <c r="H190" s="9" t="n">
        <v>0.9</v>
      </c>
      <c r="I190" s="9" t="n">
        <v>0.25</v>
      </c>
      <c r="J190" s="9">
        <f>F190*G190*H190*I190</f>
        <v/>
      </c>
      <c r="K190" s="9" t="n"/>
    </row>
    <row r="191">
      <c r="A191" s="8" t="n"/>
      <c r="B191" s="8" t="inlineStr">
        <is>
          <t>H</t>
        </is>
      </c>
      <c r="C191" s="8" t="inlineStr">
        <is>
          <t>4</t>
        </is>
      </c>
      <c r="D191" s="9" t="n"/>
      <c r="E191" s="9" t="inlineStr">
        <is>
          <t>M3</t>
        </is>
      </c>
      <c r="F191" s="9" t="n">
        <v>1</v>
      </c>
      <c r="G191" s="9" t="n">
        <v>0.9</v>
      </c>
      <c r="H191" s="9" t="n">
        <v>0.9</v>
      </c>
      <c r="I191" s="9" t="n">
        <v>0.25</v>
      </c>
      <c r="J191" s="9">
        <f>F191*G191*H191*I191</f>
        <v/>
      </c>
      <c r="K191" s="9" t="n"/>
    </row>
    <row r="192">
      <c r="A192" s="8" t="n"/>
      <c r="B192" s="8" t="inlineStr">
        <is>
          <t>I</t>
        </is>
      </c>
      <c r="C192" s="8" t="inlineStr">
        <is>
          <t>4</t>
        </is>
      </c>
      <c r="D192" s="9" t="n"/>
      <c r="E192" s="9" t="inlineStr">
        <is>
          <t>M3</t>
        </is>
      </c>
      <c r="F192" s="9" t="n">
        <v>1</v>
      </c>
      <c r="G192" s="9" t="n">
        <v>0.9</v>
      </c>
      <c r="H192" s="9" t="n">
        <v>0.9</v>
      </c>
      <c r="I192" s="9" t="n">
        <v>0.25</v>
      </c>
      <c r="J192" s="9">
        <f>F192*G192*H192*I192</f>
        <v/>
      </c>
      <c r="K192" s="9" t="n"/>
    </row>
    <row r="193">
      <c r="A193" s="8" t="n"/>
      <c r="B193" s="8" t="inlineStr">
        <is>
          <t>D</t>
        </is>
      </c>
      <c r="C193" s="8" t="inlineStr">
        <is>
          <t>2</t>
        </is>
      </c>
      <c r="D193" s="9" t="n"/>
      <c r="E193" s="9" t="inlineStr">
        <is>
          <t>M3</t>
        </is>
      </c>
      <c r="F193" s="9" t="n">
        <v>1</v>
      </c>
      <c r="G193" s="9" t="n">
        <v>0.9</v>
      </c>
      <c r="H193" s="9" t="n">
        <v>1.9</v>
      </c>
      <c r="I193" s="9" t="n">
        <v>0.25</v>
      </c>
      <c r="J193" s="9">
        <f>F193*G193*H193*I193</f>
        <v/>
      </c>
      <c r="K193" s="9" t="n"/>
    </row>
    <row r="194">
      <c r="A194" s="8" t="n"/>
      <c r="B194" s="8" t="inlineStr">
        <is>
          <t>E</t>
        </is>
      </c>
      <c r="C194" s="8" t="inlineStr">
        <is>
          <t>6</t>
        </is>
      </c>
      <c r="D194" s="9" t="n"/>
      <c r="E194" s="9" t="inlineStr">
        <is>
          <t>M3</t>
        </is>
      </c>
      <c r="F194" s="9" t="n">
        <v>1</v>
      </c>
      <c r="G194" s="9" t="n">
        <v>0.9</v>
      </c>
      <c r="H194" s="9" t="n">
        <v>0.9</v>
      </c>
      <c r="I194" s="9" t="n">
        <v>0.25</v>
      </c>
      <c r="J194" s="9">
        <f>F194*G194*H194*I194</f>
        <v/>
      </c>
      <c r="K194" s="9" t="n"/>
    </row>
    <row r="195">
      <c r="A195" s="8" t="n"/>
      <c r="B195" s="8" t="inlineStr">
        <is>
          <t>F</t>
        </is>
      </c>
      <c r="C195" s="8" t="inlineStr">
        <is>
          <t>7</t>
        </is>
      </c>
      <c r="D195" s="9" t="n"/>
      <c r="E195" s="9" t="inlineStr">
        <is>
          <t>M3</t>
        </is>
      </c>
      <c r="F195" s="9" t="n">
        <v>1</v>
      </c>
      <c r="G195" s="9" t="n">
        <v>1</v>
      </c>
      <c r="H195" s="9" t="n">
        <v>1</v>
      </c>
      <c r="I195" s="9" t="n">
        <v>0.25</v>
      </c>
      <c r="J195" s="9">
        <f>F195*G195*H195*I195</f>
        <v/>
      </c>
      <c r="K195" s="9" t="n"/>
    </row>
    <row r="196">
      <c r="A196" s="8" t="n"/>
      <c r="B196" s="8" t="inlineStr">
        <is>
          <t>E</t>
        </is>
      </c>
      <c r="C196" s="8" t="inlineStr">
        <is>
          <t>4</t>
        </is>
      </c>
      <c r="D196" s="9" t="n"/>
      <c r="E196" s="9" t="inlineStr">
        <is>
          <t>M3</t>
        </is>
      </c>
      <c r="F196" s="9" t="n">
        <v>1</v>
      </c>
      <c r="G196" s="9" t="n">
        <v>0.9</v>
      </c>
      <c r="H196" s="9" t="n">
        <v>0.9</v>
      </c>
      <c r="I196" s="9" t="n">
        <v>0.25</v>
      </c>
      <c r="J196" s="9">
        <f>F196*G196*H196*I196</f>
        <v/>
      </c>
      <c r="K196" s="9" t="n"/>
    </row>
    <row r="197">
      <c r="A197" s="8" t="n"/>
      <c r="B197" s="8" t="inlineStr">
        <is>
          <t>F</t>
        </is>
      </c>
      <c r="C197" s="8" t="inlineStr">
        <is>
          <t>4</t>
        </is>
      </c>
      <c r="D197" s="9" t="n"/>
      <c r="E197" s="9" t="inlineStr">
        <is>
          <t>M3</t>
        </is>
      </c>
      <c r="F197" s="9" t="n">
        <v>1</v>
      </c>
      <c r="G197" s="9" t="n">
        <v>0.9</v>
      </c>
      <c r="H197" s="9" t="n">
        <v>0.9</v>
      </c>
      <c r="I197" s="9" t="n">
        <v>0.25</v>
      </c>
      <c r="J197" s="9">
        <f>F197*G197*H197*I197</f>
        <v/>
      </c>
      <c r="K197" s="9" t="n"/>
    </row>
    <row r="198">
      <c r="A198" s="8" t="n"/>
      <c r="B198" s="8" t="inlineStr">
        <is>
          <t>I</t>
        </is>
      </c>
      <c r="C198" s="8" t="inlineStr">
        <is>
          <t>6</t>
        </is>
      </c>
      <c r="D198" s="9" t="n"/>
      <c r="E198" s="9" t="inlineStr">
        <is>
          <t>M3</t>
        </is>
      </c>
      <c r="F198" s="9" t="n">
        <v>1</v>
      </c>
      <c r="G198" s="9" t="n">
        <v>0.9</v>
      </c>
      <c r="H198" s="9" t="n">
        <v>0.9</v>
      </c>
      <c r="I198" s="9" t="n">
        <v>0.25</v>
      </c>
      <c r="J198" s="9">
        <f>F198*G198*H198*I198</f>
        <v/>
      </c>
      <c r="K198" s="9" t="n"/>
    </row>
    <row r="199">
      <c r="A199" s="8" t="n"/>
      <c r="B199" s="8" t="inlineStr">
        <is>
          <t>H</t>
        </is>
      </c>
      <c r="C199" s="8" t="inlineStr">
        <is>
          <t>3</t>
        </is>
      </c>
      <c r="D199" s="9" t="n"/>
      <c r="E199" s="9" t="inlineStr">
        <is>
          <t>M3</t>
        </is>
      </c>
      <c r="F199" s="9" t="n">
        <v>1</v>
      </c>
      <c r="G199" s="9" t="n">
        <v>0.9</v>
      </c>
      <c r="H199" s="9" t="n">
        <v>1.9</v>
      </c>
      <c r="I199" s="9" t="n">
        <v>0.25</v>
      </c>
      <c r="J199" s="9">
        <f>F199*G199*H199*I199</f>
        <v/>
      </c>
      <c r="K199" s="9" t="n"/>
    </row>
    <row r="200">
      <c r="A200" s="8" t="n"/>
      <c r="B200" s="8" t="inlineStr">
        <is>
          <t>E</t>
        </is>
      </c>
      <c r="C200" s="8" t="inlineStr">
        <is>
          <t>3</t>
        </is>
      </c>
      <c r="D200" s="9" t="n"/>
      <c r="E200" s="9" t="inlineStr">
        <is>
          <t>M3</t>
        </is>
      </c>
      <c r="F200" s="9" t="n">
        <v>1</v>
      </c>
      <c r="G200" s="9" t="n">
        <v>0.9</v>
      </c>
      <c r="H200" s="9" t="n">
        <v>0.9</v>
      </c>
      <c r="I200" s="9" t="n">
        <v>0.25</v>
      </c>
      <c r="J200" s="9">
        <f>F200*G200*H200*I200</f>
        <v/>
      </c>
      <c r="K200" s="9" t="n"/>
    </row>
    <row r="201">
      <c r="A201" s="8" t="n"/>
      <c r="B201" s="8" t="inlineStr">
        <is>
          <t>I</t>
        </is>
      </c>
      <c r="C201" s="8" t="inlineStr">
        <is>
          <t>3</t>
        </is>
      </c>
      <c r="D201" s="9" t="n"/>
      <c r="E201" s="9" t="inlineStr">
        <is>
          <t>M3</t>
        </is>
      </c>
      <c r="F201" s="9" t="n">
        <v>1</v>
      </c>
      <c r="G201" s="9" t="n">
        <v>0.9</v>
      </c>
      <c r="H201" s="9" t="n">
        <v>0.9</v>
      </c>
      <c r="I201" s="9" t="n">
        <v>0.25</v>
      </c>
      <c r="J201" s="9">
        <f>F201*G201*H201*I201</f>
        <v/>
      </c>
      <c r="K201" s="9" t="n"/>
    </row>
    <row r="202">
      <c r="A202" s="8" t="n"/>
      <c r="B202" s="8" t="inlineStr">
        <is>
          <t>A</t>
        </is>
      </c>
      <c r="C202" s="8" t="inlineStr">
        <is>
          <t>17</t>
        </is>
      </c>
      <c r="D202" s="9" t="n"/>
      <c r="E202" s="9" t="inlineStr">
        <is>
          <t>M3</t>
        </is>
      </c>
      <c r="F202" s="9" t="n">
        <v>1</v>
      </c>
      <c r="G202" s="9" t="n">
        <v>0.9</v>
      </c>
      <c r="H202" s="9" t="n">
        <v>1.9</v>
      </c>
      <c r="I202" s="9" t="n">
        <v>0.25</v>
      </c>
      <c r="J202" s="9">
        <f>F202*G202*H202*I202</f>
        <v/>
      </c>
      <c r="K202" s="9" t="n"/>
    </row>
    <row r="203">
      <c r="A203" s="8" t="n"/>
      <c r="B203" s="8" t="inlineStr">
        <is>
          <t>A</t>
        </is>
      </c>
      <c r="C203" s="8" t="inlineStr">
        <is>
          <t>17</t>
        </is>
      </c>
      <c r="D203" s="9" t="n"/>
      <c r="E203" s="9" t="inlineStr">
        <is>
          <t>M3</t>
        </is>
      </c>
      <c r="F203" s="9" t="n">
        <v>1</v>
      </c>
      <c r="G203" s="9" t="n">
        <v>0.9</v>
      </c>
      <c r="H203" s="9" t="n">
        <v>0.9</v>
      </c>
      <c r="I203" s="9" t="n">
        <v>0.25</v>
      </c>
      <c r="J203" s="9">
        <f>F203*G203*H203*I203</f>
        <v/>
      </c>
      <c r="K203" s="9" t="n"/>
    </row>
    <row r="204">
      <c r="A204" s="8" t="n"/>
      <c r="B204" s="8" t="inlineStr">
        <is>
          <t>A</t>
        </is>
      </c>
      <c r="C204" s="8" t="inlineStr">
        <is>
          <t>17</t>
        </is>
      </c>
      <c r="D204" s="9" t="n"/>
      <c r="E204" s="9" t="inlineStr">
        <is>
          <t>M3</t>
        </is>
      </c>
      <c r="F204" s="9" t="n">
        <v>1</v>
      </c>
      <c r="G204" s="9" t="n">
        <v>0.9</v>
      </c>
      <c r="H204" s="9" t="n">
        <v>0.9</v>
      </c>
      <c r="I204" s="9" t="n">
        <v>0.25</v>
      </c>
      <c r="J204" s="9">
        <f>F204*G204*H204*I204</f>
        <v/>
      </c>
      <c r="K204" s="9" t="n"/>
    </row>
    <row r="205">
      <c r="A205" s="8" t="n"/>
      <c r="B205" s="8" t="inlineStr">
        <is>
          <t>A</t>
        </is>
      </c>
      <c r="C205" s="8" t="inlineStr">
        <is>
          <t>17</t>
        </is>
      </c>
      <c r="D205" s="9" t="n"/>
      <c r="E205" s="9" t="inlineStr">
        <is>
          <t>M3</t>
        </is>
      </c>
      <c r="F205" s="9" t="n">
        <v>1</v>
      </c>
      <c r="G205" s="9" t="n">
        <v>0.9</v>
      </c>
      <c r="H205" s="9" t="n">
        <v>0.9</v>
      </c>
      <c r="I205" s="9" t="n">
        <v>0.25</v>
      </c>
      <c r="J205" s="9">
        <f>F205*G205*H205*I205</f>
        <v/>
      </c>
      <c r="K205" s="9" t="n"/>
    </row>
    <row r="206">
      <c r="A206" s="8" t="n"/>
      <c r="B206" s="8" t="inlineStr">
        <is>
          <t>A</t>
        </is>
      </c>
      <c r="C206" s="8" t="inlineStr">
        <is>
          <t>17</t>
        </is>
      </c>
      <c r="D206" s="9" t="n"/>
      <c r="E206" s="9" t="inlineStr">
        <is>
          <t>M3</t>
        </is>
      </c>
      <c r="F206" s="9" t="n">
        <v>1</v>
      </c>
      <c r="G206" s="9" t="n">
        <v>0.9</v>
      </c>
      <c r="H206" s="9" t="n">
        <v>0.9</v>
      </c>
      <c r="I206" s="9" t="n">
        <v>0.25</v>
      </c>
      <c r="J206" s="9">
        <f>F206*G206*H206*I206</f>
        <v/>
      </c>
      <c r="K206" s="9" t="n"/>
    </row>
    <row r="207">
      <c r="A207" s="8" t="n"/>
      <c r="B207" s="8" t="inlineStr">
        <is>
          <t>A</t>
        </is>
      </c>
      <c r="C207" s="8" t="inlineStr">
        <is>
          <t>17</t>
        </is>
      </c>
      <c r="D207" s="9" t="n"/>
      <c r="E207" s="9" t="inlineStr">
        <is>
          <t>M3</t>
        </is>
      </c>
      <c r="F207" s="9" t="n">
        <v>1</v>
      </c>
      <c r="G207" s="9" t="n">
        <v>0.9</v>
      </c>
      <c r="H207" s="9" t="n">
        <v>0.9</v>
      </c>
      <c r="I207" s="9" t="n">
        <v>0.25</v>
      </c>
      <c r="J207" s="9">
        <f>F207*G207*H207*I207</f>
        <v/>
      </c>
      <c r="K207" s="9" t="n"/>
    </row>
    <row r="208">
      <c r="A208" s="8" t="n"/>
      <c r="B208" s="8" t="inlineStr">
        <is>
          <t>A</t>
        </is>
      </c>
      <c r="C208" s="8" t="inlineStr">
        <is>
          <t>17</t>
        </is>
      </c>
      <c r="D208" s="9" t="n"/>
      <c r="E208" s="9" t="inlineStr">
        <is>
          <t>M3</t>
        </is>
      </c>
      <c r="F208" s="9" t="n">
        <v>1</v>
      </c>
      <c r="G208" s="9" t="n">
        <v>0.9</v>
      </c>
      <c r="H208" s="9" t="n">
        <v>0.9</v>
      </c>
      <c r="I208" s="9" t="n">
        <v>0.25</v>
      </c>
      <c r="J208" s="9">
        <f>F208*G208*H208*I208</f>
        <v/>
      </c>
      <c r="K208" s="9" t="n"/>
    </row>
    <row r="209">
      <c r="A209" s="8" t="n"/>
      <c r="B209" s="8" t="inlineStr">
        <is>
          <t>A</t>
        </is>
      </c>
      <c r="C209" s="8" t="inlineStr">
        <is>
          <t>17</t>
        </is>
      </c>
      <c r="D209" s="9" t="n"/>
      <c r="E209" s="9" t="inlineStr">
        <is>
          <t>M3</t>
        </is>
      </c>
      <c r="F209" s="9" t="n">
        <v>1</v>
      </c>
      <c r="G209" s="9" t="n">
        <v>0.9</v>
      </c>
      <c r="H209" s="9" t="n">
        <v>0.9</v>
      </c>
      <c r="I209" s="9" t="n">
        <v>0.25</v>
      </c>
      <c r="J209" s="9">
        <f>F209*G209*H209*I209</f>
        <v/>
      </c>
      <c r="K209" s="9" t="n"/>
    </row>
    <row r="210">
      <c r="A210" s="8" t="n"/>
      <c r="B210" s="8" t="inlineStr">
        <is>
          <t>A</t>
        </is>
      </c>
      <c r="C210" s="8" t="inlineStr">
        <is>
          <t>17</t>
        </is>
      </c>
      <c r="D210" s="9" t="n"/>
      <c r="E210" s="9" t="inlineStr">
        <is>
          <t>M3</t>
        </is>
      </c>
      <c r="F210" s="9" t="n">
        <v>1</v>
      </c>
      <c r="G210" s="9" t="n">
        <v>0.9</v>
      </c>
      <c r="H210" s="9" t="n">
        <v>0.9</v>
      </c>
      <c r="I210" s="9" t="n">
        <v>0.25</v>
      </c>
      <c r="J210" s="9">
        <f>F210*G210*H210*I210</f>
        <v/>
      </c>
      <c r="K210" s="9" t="n"/>
    </row>
    <row r="211">
      <c r="A211" s="8" t="n"/>
      <c r="B211" s="8" t="inlineStr">
        <is>
          <t>A</t>
        </is>
      </c>
      <c r="C211" s="8" t="inlineStr">
        <is>
          <t>17</t>
        </is>
      </c>
      <c r="D211" s="9" t="n"/>
      <c r="E211" s="9" t="inlineStr">
        <is>
          <t>M3</t>
        </is>
      </c>
      <c r="F211" s="9" t="n">
        <v>1</v>
      </c>
      <c r="G211" s="9" t="n">
        <v>1</v>
      </c>
      <c r="H211" s="9" t="n">
        <v>1</v>
      </c>
      <c r="I211" s="9" t="n">
        <v>0.25</v>
      </c>
      <c r="J211" s="9">
        <f>F211*G211*H211*I211</f>
        <v/>
      </c>
      <c r="K211" s="9" t="n"/>
    </row>
    <row r="212">
      <c r="A212" s="8" t="n"/>
      <c r="B212" s="8" t="inlineStr">
        <is>
          <t>A</t>
        </is>
      </c>
      <c r="C212" s="8" t="inlineStr">
        <is>
          <t>17</t>
        </is>
      </c>
      <c r="D212" s="9" t="n"/>
      <c r="E212" s="9" t="inlineStr">
        <is>
          <t>M3</t>
        </is>
      </c>
      <c r="F212" s="9" t="n">
        <v>1</v>
      </c>
      <c r="G212" s="9" t="n">
        <v>0.9</v>
      </c>
      <c r="H212" s="9" t="n">
        <v>1.9</v>
      </c>
      <c r="I212" s="9" t="n">
        <v>0.25</v>
      </c>
      <c r="J212" s="9">
        <f>F212*G212*H212*I212</f>
        <v/>
      </c>
      <c r="K212" s="9" t="n"/>
    </row>
    <row r="213">
      <c r="A213" s="8" t="n"/>
      <c r="B213" s="8" t="inlineStr">
        <is>
          <t>A</t>
        </is>
      </c>
      <c r="C213" s="8" t="inlineStr">
        <is>
          <t>17</t>
        </is>
      </c>
      <c r="D213" s="9" t="n"/>
      <c r="E213" s="9" t="inlineStr">
        <is>
          <t>M3</t>
        </is>
      </c>
      <c r="F213" s="9" t="n">
        <v>1</v>
      </c>
      <c r="G213" s="9" t="n">
        <v>0.9</v>
      </c>
      <c r="H213" s="9" t="n">
        <v>0.9</v>
      </c>
      <c r="I213" s="9" t="n">
        <v>0.25</v>
      </c>
      <c r="J213" s="9">
        <f>F213*G213*H213*I213</f>
        <v/>
      </c>
      <c r="K213" s="9" t="n"/>
    </row>
    <row r="214">
      <c r="A214" s="8" t="n"/>
      <c r="B214" s="8" t="inlineStr">
        <is>
          <t>A</t>
        </is>
      </c>
      <c r="C214" s="8" t="inlineStr">
        <is>
          <t>17</t>
        </is>
      </c>
      <c r="D214" s="9" t="n"/>
      <c r="E214" s="9" t="inlineStr">
        <is>
          <t>M3</t>
        </is>
      </c>
      <c r="F214" s="9" t="n">
        <v>1</v>
      </c>
      <c r="G214" s="9" t="n">
        <v>0.9</v>
      </c>
      <c r="H214" s="9" t="n">
        <v>0.9</v>
      </c>
      <c r="I214" s="9" t="n">
        <v>0.25</v>
      </c>
      <c r="J214" s="9">
        <f>F214*G214*H214*I214</f>
        <v/>
      </c>
      <c r="K214" s="9" t="n"/>
    </row>
    <row r="215">
      <c r="A215" s="8" t="n"/>
      <c r="B215" s="8" t="inlineStr">
        <is>
          <t>A</t>
        </is>
      </c>
      <c r="C215" s="8" t="inlineStr">
        <is>
          <t>17</t>
        </is>
      </c>
      <c r="D215" s="9" t="n"/>
      <c r="E215" s="9" t="inlineStr">
        <is>
          <t>M3</t>
        </is>
      </c>
      <c r="F215" s="9" t="n">
        <v>1</v>
      </c>
      <c r="G215" s="9" t="n">
        <v>0.9</v>
      </c>
      <c r="H215" s="9" t="n">
        <v>0.9</v>
      </c>
      <c r="I215" s="9" t="n">
        <v>0.25</v>
      </c>
      <c r="J215" s="9">
        <f>F215*G215*H215*I215</f>
        <v/>
      </c>
      <c r="K215" s="9" t="n"/>
    </row>
    <row r="216">
      <c r="A216" s="8" t="n"/>
      <c r="B216" s="8" t="inlineStr">
        <is>
          <t>A</t>
        </is>
      </c>
      <c r="C216" s="8" t="inlineStr">
        <is>
          <t>17</t>
        </is>
      </c>
      <c r="D216" s="9" t="n"/>
      <c r="E216" s="9" t="inlineStr">
        <is>
          <t>M3</t>
        </is>
      </c>
      <c r="F216" s="9" t="n">
        <v>1</v>
      </c>
      <c r="G216" s="9" t="n">
        <v>0.9</v>
      </c>
      <c r="H216" s="9" t="n">
        <v>0.9</v>
      </c>
      <c r="I216" s="9" t="n">
        <v>0.25</v>
      </c>
      <c r="J216" s="9">
        <f>F216*G216*H216*I216</f>
        <v/>
      </c>
      <c r="K216" s="9" t="n"/>
    </row>
    <row r="217">
      <c r="A217" s="8" t="n"/>
      <c r="B217" s="8" t="inlineStr">
        <is>
          <t>A</t>
        </is>
      </c>
      <c r="C217" s="8" t="inlineStr">
        <is>
          <t>17</t>
        </is>
      </c>
      <c r="D217" s="9" t="n"/>
      <c r="E217" s="9" t="inlineStr">
        <is>
          <t>M3</t>
        </is>
      </c>
      <c r="F217" s="9" t="n">
        <v>1</v>
      </c>
      <c r="G217" s="9" t="n">
        <v>0.9</v>
      </c>
      <c r="H217" s="9" t="n">
        <v>0.9</v>
      </c>
      <c r="I217" s="9" t="n">
        <v>0.25</v>
      </c>
      <c r="J217" s="9">
        <f>F217*G217*H217*I217</f>
        <v/>
      </c>
      <c r="K217" s="9" t="n"/>
    </row>
    <row r="218">
      <c r="A218" s="8" t="n"/>
      <c r="B218" s="8" t="inlineStr">
        <is>
          <t>A</t>
        </is>
      </c>
      <c r="C218" s="8" t="inlineStr">
        <is>
          <t>17</t>
        </is>
      </c>
      <c r="D218" s="9" t="n"/>
      <c r="E218" s="9" t="inlineStr">
        <is>
          <t>M3</t>
        </is>
      </c>
      <c r="F218" s="9" t="n">
        <v>1</v>
      </c>
      <c r="G218" s="9" t="n">
        <v>0.9</v>
      </c>
      <c r="H218" s="9" t="n">
        <v>0.9</v>
      </c>
      <c r="I218" s="9" t="n">
        <v>0.25</v>
      </c>
      <c r="J218" s="9">
        <f>F218*G218*H218*I218</f>
        <v/>
      </c>
      <c r="K218" s="9" t="n"/>
    </row>
    <row r="219">
      <c r="A219" s="8" t="n"/>
      <c r="B219" s="8" t="inlineStr">
        <is>
          <t>A</t>
        </is>
      </c>
      <c r="C219" s="8" t="inlineStr">
        <is>
          <t>17</t>
        </is>
      </c>
      <c r="D219" s="9" t="n"/>
      <c r="E219" s="9" t="inlineStr">
        <is>
          <t>M3</t>
        </is>
      </c>
      <c r="F219" s="9" t="n">
        <v>1</v>
      </c>
      <c r="G219" s="9" t="n">
        <v>0.9</v>
      </c>
      <c r="H219" s="9" t="n">
        <v>0.9</v>
      </c>
      <c r="I219" s="9" t="n">
        <v>0.25</v>
      </c>
      <c r="J219" s="9">
        <f>F219*G219*H219*I219</f>
        <v/>
      </c>
      <c r="K219" s="9" t="n"/>
    </row>
    <row r="220">
      <c r="A220" s="8" t="n"/>
      <c r="B220" s="8" t="inlineStr">
        <is>
          <t>A</t>
        </is>
      </c>
      <c r="C220" s="8" t="inlineStr">
        <is>
          <t>17</t>
        </is>
      </c>
      <c r="D220" s="9" t="n"/>
      <c r="E220" s="9" t="inlineStr">
        <is>
          <t>M3</t>
        </is>
      </c>
      <c r="F220" s="9" t="n">
        <v>1</v>
      </c>
      <c r="G220" s="9" t="n">
        <v>0.9</v>
      </c>
      <c r="H220" s="9" t="n">
        <v>0.9</v>
      </c>
      <c r="I220" s="9" t="n">
        <v>0.25</v>
      </c>
      <c r="J220" s="9">
        <f>F220*G220*H220*I220</f>
        <v/>
      </c>
      <c r="K220" s="9" t="n"/>
    </row>
    <row r="221">
      <c r="A221" s="8" t="n"/>
      <c r="B221" s="8" t="inlineStr">
        <is>
          <t>A</t>
        </is>
      </c>
      <c r="C221" s="8" t="inlineStr">
        <is>
          <t>17</t>
        </is>
      </c>
      <c r="D221" s="9" t="n"/>
      <c r="E221" s="9" t="inlineStr">
        <is>
          <t>M3</t>
        </is>
      </c>
      <c r="F221" s="9" t="n">
        <v>1</v>
      </c>
      <c r="G221" s="9" t="n">
        <v>1</v>
      </c>
      <c r="H221" s="9" t="n">
        <v>1</v>
      </c>
      <c r="I221" s="9" t="n">
        <v>0.25</v>
      </c>
      <c r="J221" s="9">
        <f>F221*G221*H221*I221</f>
        <v/>
      </c>
      <c r="K221" s="9" t="n"/>
    </row>
    <row r="222">
      <c r="A222" s="10" t="inlineStr">
        <is>
          <t>total</t>
        </is>
      </c>
      <c r="B222" s="10" t="n"/>
      <c r="C222" s="10" t="n"/>
      <c r="D222" s="11" t="n"/>
      <c r="E222" s="11" t="n"/>
      <c r="F222" s="11" t="n"/>
      <c r="G222" s="11" t="n"/>
      <c r="H222" s="11" t="n"/>
      <c r="I222" s="11" t="n"/>
      <c r="J222" s="11">
        <f>SUM(J155:J221)</f>
        <v/>
      </c>
      <c r="K222" s="11">
        <f>SUM(K155:K221)</f>
        <v/>
      </c>
    </row>
  </sheetData>
  <mergeCells count="4">
    <mergeCell ref="E5:K5"/>
    <mergeCell ref="C4:K4"/>
    <mergeCell ref="A1:K1"/>
    <mergeCell ref="A8:K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4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4" t="inlineStr">
        <is>
          <t>O U V R A G E S</t>
        </is>
      </c>
      <c r="B1" s="4" t="inlineStr">
        <is>
          <t>Axe</t>
        </is>
      </c>
      <c r="C1" s="4" t="inlineStr">
        <is>
          <t>File</t>
        </is>
      </c>
      <c r="D1" s="4" t="inlineStr">
        <is>
          <t>a</t>
        </is>
      </c>
      <c r="E1" s="4" t="inlineStr">
        <is>
          <t>b</t>
        </is>
      </c>
      <c r="F1" s="4" t="inlineStr">
        <is>
          <t>h</t>
        </is>
      </c>
      <c r="G1" s="4" t="inlineStr">
        <is>
          <t>N° ELE</t>
        </is>
      </c>
      <c r="H1" s="4" t="inlineStr">
        <is>
          <t>NOMB B</t>
        </is>
      </c>
      <c r="I1" s="4" t="inlineStr">
        <is>
          <t>DIAM</t>
        </is>
      </c>
      <c r="J1" s="4" t="inlineStr">
        <is>
          <t>LONG</t>
        </is>
      </c>
      <c r="K1" s="12" t="inlineStr">
        <is>
          <t>A C I E R    T O R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</row>
    <row r="2">
      <c r="A2" s="12" t="inlineStr">
        <is>
          <t>A C I E R    T O R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4" t="inlineStr">
        <is>
          <t>T 6</t>
        </is>
      </c>
      <c r="L2" s="4" t="inlineStr">
        <is>
          <t>T 8</t>
        </is>
      </c>
      <c r="M2" s="4" t="inlineStr">
        <is>
          <t>T 10</t>
        </is>
      </c>
      <c r="N2" s="4" t="inlineStr">
        <is>
          <t>T 12</t>
        </is>
      </c>
      <c r="O2" s="4" t="inlineStr">
        <is>
          <t>T 14</t>
        </is>
      </c>
      <c r="P2" s="4" t="inlineStr">
        <is>
          <t>T 16</t>
        </is>
      </c>
      <c r="Q2" s="4" t="inlineStr">
        <is>
          <t>T 20</t>
        </is>
      </c>
      <c r="R2" s="4" t="inlineStr">
        <is>
          <t>T 25</t>
        </is>
      </c>
      <c r="S2" s="4" t="inlineStr">
        <is>
          <t>T 32</t>
        </is>
      </c>
    </row>
    <row r="3">
      <c r="A3" s="3" t="n">
        <v>21</v>
      </c>
      <c r="B3" s="1" t="inlineStr">
        <is>
          <t xml:space="preserve">Armature pour béton armé en fondation et en élévation </t>
        </is>
      </c>
    </row>
    <row r="4">
      <c r="A4" s="3" t="inlineStr">
        <is>
          <t>semelle isolee</t>
        </is>
      </c>
    </row>
    <row r="5">
      <c r="B5" s="7" t="inlineStr">
        <is>
          <t>axe</t>
        </is>
      </c>
      <c r="C5" s="7" t="inlineStr">
        <is>
          <t>fill</t>
        </is>
      </c>
    </row>
    <row r="6">
      <c r="A6" s="8" t="inlineStr">
        <is>
          <t>S1_1</t>
        </is>
      </c>
      <c r="B6" s="8" t="inlineStr">
        <is>
          <t>C</t>
        </is>
      </c>
      <c r="C6" s="8" t="inlineStr">
        <is>
          <t>7</t>
        </is>
      </c>
      <c r="D6" s="9" t="n">
        <v>0.9</v>
      </c>
      <c r="E6" s="9" t="n">
        <v>0.9</v>
      </c>
      <c r="F6" s="9" t="n">
        <v>0.25</v>
      </c>
      <c r="G6" s="9" t="n"/>
      <c r="H6" s="9" t="n"/>
      <c r="I6" s="9" t="n"/>
      <c r="J6" s="9" t="n"/>
      <c r="K6" s="9">
        <f>IF($I6=6,$G6*$H6*$J6,"")</f>
        <v/>
      </c>
      <c r="L6" s="9">
        <f>IF($I6=8,$G6*$H6*$J6,"")</f>
        <v/>
      </c>
      <c r="M6" s="9">
        <f>IF($I6=10,$G6*$H6*$J6,"")</f>
        <v/>
      </c>
      <c r="N6" s="9">
        <f>IF($I6=12,$G6*$H6*$J6,"")</f>
        <v/>
      </c>
      <c r="O6" s="9">
        <f>IF($I6=14,$G6*$H6*$J6,"")</f>
        <v/>
      </c>
      <c r="P6" s="9">
        <f>IF($I6=16,$G6*$H6*$J6,"")</f>
        <v/>
      </c>
      <c r="Q6" s="9">
        <f>IF($I6=20,$G6*$H6*$J6,"")</f>
        <v/>
      </c>
      <c r="R6" s="9">
        <f>IF($I6=25,$G6*$H6*$J6,"")</f>
        <v/>
      </c>
      <c r="S6" s="9">
        <f>IF($I6=32,$G6*$H6*$J6,"")</f>
        <v/>
      </c>
    </row>
    <row r="7">
      <c r="A7" s="8" t="inlineStr">
        <is>
          <t>Armature INF X</t>
        </is>
      </c>
      <c r="B7" s="8" t="n"/>
      <c r="C7" s="8" t="n"/>
      <c r="D7" s="9" t="n"/>
      <c r="E7" s="9" t="n"/>
      <c r="F7" s="9" t="n"/>
      <c r="G7" s="9" t="n">
        <v>1</v>
      </c>
      <c r="H7" s="9" t="n">
        <v>7</v>
      </c>
      <c r="I7" s="9" t="n">
        <v>8</v>
      </c>
      <c r="J7" s="9">
        <f>(E6-0.05)+34*I7/1000</f>
        <v/>
      </c>
      <c r="K7" s="9">
        <f>IF($I7=6,$G7*$H7*$J7,"")</f>
        <v/>
      </c>
      <c r="L7" s="9">
        <f>IF($I7=8,$G7*$H7*$J7,"")</f>
        <v/>
      </c>
      <c r="M7" s="9">
        <f>IF($I7=10,$G7*$H7*$J7,"")</f>
        <v/>
      </c>
      <c r="N7" s="9">
        <f>IF($I7=12,$G7*$H7*$J7,"")</f>
        <v/>
      </c>
      <c r="O7" s="9">
        <f>IF($I7=14,$G7*$H7*$J7,"")</f>
        <v/>
      </c>
      <c r="P7" s="9">
        <f>IF($I7=16,$G7*$H7*$J7,"")</f>
        <v/>
      </c>
      <c r="Q7" s="9">
        <f>IF($I7=20,$G7*$H7*$J7,"")</f>
        <v/>
      </c>
      <c r="R7" s="9">
        <f>IF($I7=25,$G7*$H7*$J7,"")</f>
        <v/>
      </c>
      <c r="S7" s="9">
        <f>IF($I7=32,$G7*$H7*$J7,"")</f>
        <v/>
      </c>
    </row>
    <row r="8">
      <c r="A8" s="8" t="inlineStr">
        <is>
          <t>Armature INF Y</t>
        </is>
      </c>
      <c r="B8" s="8" t="n"/>
      <c r="C8" s="8" t="n"/>
      <c r="D8" s="9" t="n"/>
      <c r="E8" s="9" t="n"/>
      <c r="F8" s="9" t="n"/>
      <c r="G8" s="9" t="n">
        <v>1</v>
      </c>
      <c r="H8" s="9" t="n">
        <v>7</v>
      </c>
      <c r="I8" s="9" t="n">
        <v>8</v>
      </c>
      <c r="J8" s="9">
        <f>(D6-0.05)+34*I8/1000</f>
        <v/>
      </c>
      <c r="K8" s="9">
        <f>IF($I8=6,$G8*$H8*$J8,"")</f>
        <v/>
      </c>
      <c r="L8" s="9">
        <f>IF($I8=8,$G8*$H8*$J8,"")</f>
        <v/>
      </c>
      <c r="M8" s="9">
        <f>IF($I8=10,$G8*$H8*$J8,"")</f>
        <v/>
      </c>
      <c r="N8" s="9">
        <f>IF($I8=12,$G8*$H8*$J8,"")</f>
        <v/>
      </c>
      <c r="O8" s="9">
        <f>IF($I8=14,$G8*$H8*$J8,"")</f>
        <v/>
      </c>
      <c r="P8" s="9">
        <f>IF($I8=16,$G8*$H8*$J8,"")</f>
        <v/>
      </c>
      <c r="Q8" s="9">
        <f>IF($I8=20,$G8*$H8*$J8,"")</f>
        <v/>
      </c>
      <c r="R8" s="9">
        <f>IF($I8=25,$G8*$H8*$J8,"")</f>
        <v/>
      </c>
      <c r="S8" s="9">
        <f>IF($I8=32,$G8*$H8*$J8,"")</f>
        <v/>
      </c>
    </row>
    <row r="9">
      <c r="A9" s="7" t="inlineStr">
        <is>
          <t>Armatures non cotées dans la table (à vérifier sur coupes)</t>
        </is>
      </c>
    </row>
    <row r="10">
      <c r="A10" s="8" t="inlineStr">
        <is>
          <t>S1_2</t>
        </is>
      </c>
      <c r="B10" s="8" t="inlineStr">
        <is>
          <t>S</t>
        </is>
      </c>
      <c r="C10" s="8" t="inlineStr">
        <is>
          <t>7</t>
        </is>
      </c>
      <c r="D10" s="9" t="n">
        <v>0.9</v>
      </c>
      <c r="E10" s="9" t="n">
        <v>0.9</v>
      </c>
      <c r="F10" s="9" t="n">
        <v>0.25</v>
      </c>
      <c r="G10" s="9" t="n"/>
      <c r="H10" s="9" t="n"/>
      <c r="I10" s="9" t="n"/>
      <c r="J10" s="9" t="n"/>
      <c r="K10" s="9">
        <f>IF($I10=6,$G10*$H10*$J10,"")</f>
        <v/>
      </c>
      <c r="L10" s="9">
        <f>IF($I10=8,$G10*$H10*$J10,"")</f>
        <v/>
      </c>
      <c r="M10" s="9">
        <f>IF($I10=10,$G10*$H10*$J10,"")</f>
        <v/>
      </c>
      <c r="N10" s="9">
        <f>IF($I10=12,$G10*$H10*$J10,"")</f>
        <v/>
      </c>
      <c r="O10" s="9">
        <f>IF($I10=14,$G10*$H10*$J10,"")</f>
        <v/>
      </c>
      <c r="P10" s="9">
        <f>IF($I10=16,$G10*$H10*$J10,"")</f>
        <v/>
      </c>
      <c r="Q10" s="9">
        <f>IF($I10=20,$G10*$H10*$J10,"")</f>
        <v/>
      </c>
      <c r="R10" s="9">
        <f>IF($I10=25,$G10*$H10*$J10,"")</f>
        <v/>
      </c>
      <c r="S10" s="9">
        <f>IF($I10=32,$G10*$H10*$J10,"")</f>
        <v/>
      </c>
    </row>
    <row r="11">
      <c r="A11" s="8" t="inlineStr">
        <is>
          <t>Armature INF X</t>
        </is>
      </c>
      <c r="B11" s="8" t="n"/>
      <c r="C11" s="8" t="n"/>
      <c r="D11" s="9" t="n"/>
      <c r="E11" s="9" t="n"/>
      <c r="F11" s="9" t="n"/>
      <c r="G11" s="9" t="n">
        <v>1</v>
      </c>
      <c r="H11" s="9" t="n">
        <v>7</v>
      </c>
      <c r="I11" s="9" t="n">
        <v>8</v>
      </c>
      <c r="J11" s="9">
        <f>(E10-0.05)+34*I11/1000</f>
        <v/>
      </c>
      <c r="K11" s="9">
        <f>IF($I11=6,$G11*$H11*$J11,"")</f>
        <v/>
      </c>
      <c r="L11" s="9">
        <f>IF($I11=8,$G11*$H11*$J11,"")</f>
        <v/>
      </c>
      <c r="M11" s="9">
        <f>IF($I11=10,$G11*$H11*$J11,"")</f>
        <v/>
      </c>
      <c r="N11" s="9">
        <f>IF($I11=12,$G11*$H11*$J11,"")</f>
        <v/>
      </c>
      <c r="O11" s="9">
        <f>IF($I11=14,$G11*$H11*$J11,"")</f>
        <v/>
      </c>
      <c r="P11" s="9">
        <f>IF($I11=16,$G11*$H11*$J11,"")</f>
        <v/>
      </c>
      <c r="Q11" s="9">
        <f>IF($I11=20,$G11*$H11*$J11,"")</f>
        <v/>
      </c>
      <c r="R11" s="9">
        <f>IF($I11=25,$G11*$H11*$J11,"")</f>
        <v/>
      </c>
      <c r="S11" s="9">
        <f>IF($I11=32,$G11*$H11*$J11,"")</f>
        <v/>
      </c>
    </row>
    <row r="12">
      <c r="A12" s="8" t="inlineStr">
        <is>
          <t>Armature INF Y</t>
        </is>
      </c>
      <c r="B12" s="8" t="n"/>
      <c r="C12" s="8" t="n"/>
      <c r="D12" s="9" t="n"/>
      <c r="E12" s="9" t="n"/>
      <c r="F12" s="9" t="n"/>
      <c r="G12" s="9" t="n">
        <v>1</v>
      </c>
      <c r="H12" s="9" t="n">
        <v>7</v>
      </c>
      <c r="I12" s="9" t="n">
        <v>8</v>
      </c>
      <c r="J12" s="9">
        <f>(D10-0.05)+34*I12/1000</f>
        <v/>
      </c>
      <c r="K12" s="9">
        <f>IF($I12=6,$G12*$H12*$J12,"")</f>
        <v/>
      </c>
      <c r="L12" s="9">
        <f>IF($I12=8,$G12*$H12*$J12,"")</f>
        <v/>
      </c>
      <c r="M12" s="9">
        <f>IF($I12=10,$G12*$H12*$J12,"")</f>
        <v/>
      </c>
      <c r="N12" s="9">
        <f>IF($I12=12,$G12*$H12*$J12,"")</f>
        <v/>
      </c>
      <c r="O12" s="9">
        <f>IF($I12=14,$G12*$H12*$J12,"")</f>
        <v/>
      </c>
      <c r="P12" s="9">
        <f>IF($I12=16,$G12*$H12*$J12,"")</f>
        <v/>
      </c>
      <c r="Q12" s="9">
        <f>IF($I12=20,$G12*$H12*$J12,"")</f>
        <v/>
      </c>
      <c r="R12" s="9">
        <f>IF($I12=25,$G12*$H12*$J12,"")</f>
        <v/>
      </c>
      <c r="S12" s="9">
        <f>IF($I12=32,$G12*$H12*$J12,"")</f>
        <v/>
      </c>
    </row>
    <row r="13">
      <c r="A13" s="7" t="inlineStr">
        <is>
          <t>Armatures non cotées dans la table (à vérifier sur coupes)</t>
        </is>
      </c>
    </row>
    <row r="14">
      <c r="A14" s="8" t="inlineStr">
        <is>
          <t>S1_3</t>
        </is>
      </c>
      <c r="B14" s="8" t="inlineStr">
        <is>
          <t>F</t>
        </is>
      </c>
      <c r="C14" s="8" t="inlineStr">
        <is>
          <t>7</t>
        </is>
      </c>
      <c r="D14" s="9" t="n">
        <v>0.9</v>
      </c>
      <c r="E14" s="9" t="n">
        <v>0.9</v>
      </c>
      <c r="F14" s="9" t="n">
        <v>0.25</v>
      </c>
      <c r="G14" s="9" t="n"/>
      <c r="H14" s="9" t="n"/>
      <c r="I14" s="9" t="n"/>
      <c r="J14" s="9" t="n"/>
      <c r="K14" s="9">
        <f>IF($I14=6,$G14*$H14*$J14,"")</f>
        <v/>
      </c>
      <c r="L14" s="9">
        <f>IF($I14=8,$G14*$H14*$J14,"")</f>
        <v/>
      </c>
      <c r="M14" s="9">
        <f>IF($I14=10,$G14*$H14*$J14,"")</f>
        <v/>
      </c>
      <c r="N14" s="9">
        <f>IF($I14=12,$G14*$H14*$J14,"")</f>
        <v/>
      </c>
      <c r="O14" s="9">
        <f>IF($I14=14,$G14*$H14*$J14,"")</f>
        <v/>
      </c>
      <c r="P14" s="9">
        <f>IF($I14=16,$G14*$H14*$J14,"")</f>
        <v/>
      </c>
      <c r="Q14" s="9">
        <f>IF($I14=20,$G14*$H14*$J14,"")</f>
        <v/>
      </c>
      <c r="R14" s="9">
        <f>IF($I14=25,$G14*$H14*$J14,"")</f>
        <v/>
      </c>
      <c r="S14" s="9">
        <f>IF($I14=32,$G14*$H14*$J14,"")</f>
        <v/>
      </c>
    </row>
    <row r="15">
      <c r="A15" s="8" t="inlineStr">
        <is>
          <t>Armature INF X</t>
        </is>
      </c>
      <c r="B15" s="8" t="n"/>
      <c r="C15" s="8" t="n"/>
      <c r="D15" s="9" t="n"/>
      <c r="E15" s="9" t="n"/>
      <c r="F15" s="9" t="n"/>
      <c r="G15" s="9" t="n">
        <v>1</v>
      </c>
      <c r="H15" s="9" t="n">
        <v>7</v>
      </c>
      <c r="I15" s="9" t="n">
        <v>8</v>
      </c>
      <c r="J15" s="9">
        <f>(E14-0.05)+34*I15/1000</f>
        <v/>
      </c>
      <c r="K15" s="9">
        <f>IF($I15=6,$G15*$H15*$J15,"")</f>
        <v/>
      </c>
      <c r="L15" s="9">
        <f>IF($I15=8,$G15*$H15*$J15,"")</f>
        <v/>
      </c>
      <c r="M15" s="9">
        <f>IF($I15=10,$G15*$H15*$J15,"")</f>
        <v/>
      </c>
      <c r="N15" s="9">
        <f>IF($I15=12,$G15*$H15*$J15,"")</f>
        <v/>
      </c>
      <c r="O15" s="9">
        <f>IF($I15=14,$G15*$H15*$J15,"")</f>
        <v/>
      </c>
      <c r="P15" s="9">
        <f>IF($I15=16,$G15*$H15*$J15,"")</f>
        <v/>
      </c>
      <c r="Q15" s="9">
        <f>IF($I15=20,$G15*$H15*$J15,"")</f>
        <v/>
      </c>
      <c r="R15" s="9">
        <f>IF($I15=25,$G15*$H15*$J15,"")</f>
        <v/>
      </c>
      <c r="S15" s="9">
        <f>IF($I15=32,$G15*$H15*$J15,"")</f>
        <v/>
      </c>
    </row>
    <row r="16">
      <c r="A16" s="8" t="inlineStr">
        <is>
          <t>Armature INF Y</t>
        </is>
      </c>
      <c r="B16" s="8" t="n"/>
      <c r="C16" s="8" t="n"/>
      <c r="D16" s="9" t="n"/>
      <c r="E16" s="9" t="n"/>
      <c r="F16" s="9" t="n"/>
      <c r="G16" s="9" t="n">
        <v>1</v>
      </c>
      <c r="H16" s="9" t="n">
        <v>7</v>
      </c>
      <c r="I16" s="9" t="n">
        <v>8</v>
      </c>
      <c r="J16" s="9">
        <f>(D14-0.05)+34*I16/1000</f>
        <v/>
      </c>
      <c r="K16" s="9">
        <f>IF($I16=6,$G16*$H16*$J16,"")</f>
        <v/>
      </c>
      <c r="L16" s="9">
        <f>IF($I16=8,$G16*$H16*$J16,"")</f>
        <v/>
      </c>
      <c r="M16" s="9">
        <f>IF($I16=10,$G16*$H16*$J16,"")</f>
        <v/>
      </c>
      <c r="N16" s="9">
        <f>IF($I16=12,$G16*$H16*$J16,"")</f>
        <v/>
      </c>
      <c r="O16" s="9">
        <f>IF($I16=14,$G16*$H16*$J16,"")</f>
        <v/>
      </c>
      <c r="P16" s="9">
        <f>IF($I16=16,$G16*$H16*$J16,"")</f>
        <v/>
      </c>
      <c r="Q16" s="9">
        <f>IF($I16=20,$G16*$H16*$J16,"")</f>
        <v/>
      </c>
      <c r="R16" s="9">
        <f>IF($I16=25,$G16*$H16*$J16,"")</f>
        <v/>
      </c>
      <c r="S16" s="9">
        <f>IF($I16=32,$G16*$H16*$J16,"")</f>
        <v/>
      </c>
    </row>
    <row r="17">
      <c r="A17" s="7" t="inlineStr">
        <is>
          <t>Armatures non cotées dans la table (à vérifier sur coupes)</t>
        </is>
      </c>
    </row>
    <row r="18">
      <c r="A18" s="8" t="inlineStr">
        <is>
          <t>S1_4</t>
        </is>
      </c>
      <c r="B18" s="8" t="inlineStr">
        <is>
          <t>H</t>
        </is>
      </c>
      <c r="C18" s="8" t="inlineStr">
        <is>
          <t>7</t>
        </is>
      </c>
      <c r="D18" s="9" t="n">
        <v>0.9</v>
      </c>
      <c r="E18" s="9" t="n">
        <v>0.9</v>
      </c>
      <c r="F18" s="9" t="n">
        <v>0.25</v>
      </c>
      <c r="G18" s="9" t="n"/>
      <c r="H18" s="9" t="n"/>
      <c r="I18" s="9" t="n"/>
      <c r="J18" s="9" t="n"/>
      <c r="K18" s="9">
        <f>IF($I18=6,$G18*$H18*$J18,"")</f>
        <v/>
      </c>
      <c r="L18" s="9">
        <f>IF($I18=8,$G18*$H18*$J18,"")</f>
        <v/>
      </c>
      <c r="M18" s="9">
        <f>IF($I18=10,$G18*$H18*$J18,"")</f>
        <v/>
      </c>
      <c r="N18" s="9">
        <f>IF($I18=12,$G18*$H18*$J18,"")</f>
        <v/>
      </c>
      <c r="O18" s="9">
        <f>IF($I18=14,$G18*$H18*$J18,"")</f>
        <v/>
      </c>
      <c r="P18" s="9">
        <f>IF($I18=16,$G18*$H18*$J18,"")</f>
        <v/>
      </c>
      <c r="Q18" s="9">
        <f>IF($I18=20,$G18*$H18*$J18,"")</f>
        <v/>
      </c>
      <c r="R18" s="9">
        <f>IF($I18=25,$G18*$H18*$J18,"")</f>
        <v/>
      </c>
      <c r="S18" s="9">
        <f>IF($I18=32,$G18*$H18*$J18,"")</f>
        <v/>
      </c>
    </row>
    <row r="19">
      <c r="A19" s="8" t="inlineStr">
        <is>
          <t>Armature INF X</t>
        </is>
      </c>
      <c r="B19" s="8" t="n"/>
      <c r="C19" s="8" t="n"/>
      <c r="D19" s="9" t="n"/>
      <c r="E19" s="9" t="n"/>
      <c r="F19" s="9" t="n"/>
      <c r="G19" s="9" t="n">
        <v>1</v>
      </c>
      <c r="H19" s="9" t="n">
        <v>7</v>
      </c>
      <c r="I19" s="9" t="n">
        <v>8</v>
      </c>
      <c r="J19" s="9">
        <f>(E18-0.05)+34*I19/1000</f>
        <v/>
      </c>
      <c r="K19" s="9">
        <f>IF($I19=6,$G19*$H19*$J19,"")</f>
        <v/>
      </c>
      <c r="L19" s="9">
        <f>IF($I19=8,$G19*$H19*$J19,"")</f>
        <v/>
      </c>
      <c r="M19" s="9">
        <f>IF($I19=10,$G19*$H19*$J19,"")</f>
        <v/>
      </c>
      <c r="N19" s="9">
        <f>IF($I19=12,$G19*$H19*$J19,"")</f>
        <v/>
      </c>
      <c r="O19" s="9">
        <f>IF($I19=14,$G19*$H19*$J19,"")</f>
        <v/>
      </c>
      <c r="P19" s="9">
        <f>IF($I19=16,$G19*$H19*$J19,"")</f>
        <v/>
      </c>
      <c r="Q19" s="9">
        <f>IF($I19=20,$G19*$H19*$J19,"")</f>
        <v/>
      </c>
      <c r="R19" s="9">
        <f>IF($I19=25,$G19*$H19*$J19,"")</f>
        <v/>
      </c>
      <c r="S19" s="9">
        <f>IF($I19=32,$G19*$H19*$J19,"")</f>
        <v/>
      </c>
    </row>
    <row r="20">
      <c r="A20" s="8" t="inlineStr">
        <is>
          <t>Armature INF Y</t>
        </is>
      </c>
      <c r="B20" s="8" t="n"/>
      <c r="C20" s="8" t="n"/>
      <c r="D20" s="9" t="n"/>
      <c r="E20" s="9" t="n"/>
      <c r="F20" s="9" t="n"/>
      <c r="G20" s="9" t="n">
        <v>1</v>
      </c>
      <c r="H20" s="9" t="n">
        <v>7</v>
      </c>
      <c r="I20" s="9" t="n">
        <v>8</v>
      </c>
      <c r="J20" s="9">
        <f>(D18-0.05)+34*I20/1000</f>
        <v/>
      </c>
      <c r="K20" s="9">
        <f>IF($I20=6,$G20*$H20*$J20,"")</f>
        <v/>
      </c>
      <c r="L20" s="9">
        <f>IF($I20=8,$G20*$H20*$J20,"")</f>
        <v/>
      </c>
      <c r="M20" s="9">
        <f>IF($I20=10,$G20*$H20*$J20,"")</f>
        <v/>
      </c>
      <c r="N20" s="9">
        <f>IF($I20=12,$G20*$H20*$J20,"")</f>
        <v/>
      </c>
      <c r="O20" s="9">
        <f>IF($I20=14,$G20*$H20*$J20,"")</f>
        <v/>
      </c>
      <c r="P20" s="9">
        <f>IF($I20=16,$G20*$H20*$J20,"")</f>
        <v/>
      </c>
      <c r="Q20" s="9">
        <f>IF($I20=20,$G20*$H20*$J20,"")</f>
        <v/>
      </c>
      <c r="R20" s="9">
        <f>IF($I20=25,$G20*$H20*$J20,"")</f>
        <v/>
      </c>
      <c r="S20" s="9">
        <f>IF($I20=32,$G20*$H20*$J20,"")</f>
        <v/>
      </c>
    </row>
    <row r="21">
      <c r="A21" s="7" t="inlineStr">
        <is>
          <t>Armatures non cotées dans la table (à vérifier sur coupes)</t>
        </is>
      </c>
    </row>
    <row r="22">
      <c r="A22" s="8" t="inlineStr">
        <is>
          <t>S1_5</t>
        </is>
      </c>
      <c r="B22" s="8" t="inlineStr">
        <is>
          <t>H</t>
        </is>
      </c>
      <c r="C22" s="8" t="inlineStr">
        <is>
          <t>6</t>
        </is>
      </c>
      <c r="D22" s="9" t="n">
        <v>0.9</v>
      </c>
      <c r="E22" s="9" t="n">
        <v>0.9</v>
      </c>
      <c r="F22" s="9" t="n">
        <v>0.25</v>
      </c>
      <c r="G22" s="9" t="n"/>
      <c r="H22" s="9" t="n"/>
      <c r="I22" s="9" t="n"/>
      <c r="J22" s="9" t="n"/>
      <c r="K22" s="9">
        <f>IF($I22=6,$G22*$H22*$J22,"")</f>
        <v/>
      </c>
      <c r="L22" s="9">
        <f>IF($I22=8,$G22*$H22*$J22,"")</f>
        <v/>
      </c>
      <c r="M22" s="9">
        <f>IF($I22=10,$G22*$H22*$J22,"")</f>
        <v/>
      </c>
      <c r="N22" s="9">
        <f>IF($I22=12,$G22*$H22*$J22,"")</f>
        <v/>
      </c>
      <c r="O22" s="9">
        <f>IF($I22=14,$G22*$H22*$J22,"")</f>
        <v/>
      </c>
      <c r="P22" s="9">
        <f>IF($I22=16,$G22*$H22*$J22,"")</f>
        <v/>
      </c>
      <c r="Q22" s="9">
        <f>IF($I22=20,$G22*$H22*$J22,"")</f>
        <v/>
      </c>
      <c r="R22" s="9">
        <f>IF($I22=25,$G22*$H22*$J22,"")</f>
        <v/>
      </c>
      <c r="S22" s="9">
        <f>IF($I22=32,$G22*$H22*$J22,"")</f>
        <v/>
      </c>
    </row>
    <row r="23">
      <c r="A23" s="8" t="inlineStr">
        <is>
          <t>Armature INF X</t>
        </is>
      </c>
      <c r="B23" s="8" t="n"/>
      <c r="C23" s="8" t="n"/>
      <c r="D23" s="9" t="n"/>
      <c r="E23" s="9" t="n"/>
      <c r="F23" s="9" t="n"/>
      <c r="G23" s="9" t="n">
        <v>1</v>
      </c>
      <c r="H23" s="9" t="n">
        <v>7</v>
      </c>
      <c r="I23" s="9" t="n">
        <v>8</v>
      </c>
      <c r="J23" s="9">
        <f>(E22-0.05)+34*I23/1000</f>
        <v/>
      </c>
      <c r="K23" s="9">
        <f>IF($I23=6,$G23*$H23*$J23,"")</f>
        <v/>
      </c>
      <c r="L23" s="9">
        <f>IF($I23=8,$G23*$H23*$J23,"")</f>
        <v/>
      </c>
      <c r="M23" s="9">
        <f>IF($I23=10,$G23*$H23*$J23,"")</f>
        <v/>
      </c>
      <c r="N23" s="9">
        <f>IF($I23=12,$G23*$H23*$J23,"")</f>
        <v/>
      </c>
      <c r="O23" s="9">
        <f>IF($I23=14,$G23*$H23*$J23,"")</f>
        <v/>
      </c>
      <c r="P23" s="9">
        <f>IF($I23=16,$G23*$H23*$J23,"")</f>
        <v/>
      </c>
      <c r="Q23" s="9">
        <f>IF($I23=20,$G23*$H23*$J23,"")</f>
        <v/>
      </c>
      <c r="R23" s="9">
        <f>IF($I23=25,$G23*$H23*$J23,"")</f>
        <v/>
      </c>
      <c r="S23" s="9">
        <f>IF($I23=32,$G23*$H23*$J23,"")</f>
        <v/>
      </c>
    </row>
    <row r="24">
      <c r="A24" s="8" t="inlineStr">
        <is>
          <t>Armature INF Y</t>
        </is>
      </c>
      <c r="B24" s="8" t="n"/>
      <c r="C24" s="8" t="n"/>
      <c r="D24" s="9" t="n"/>
      <c r="E24" s="9" t="n"/>
      <c r="F24" s="9" t="n"/>
      <c r="G24" s="9" t="n">
        <v>1</v>
      </c>
      <c r="H24" s="9" t="n">
        <v>7</v>
      </c>
      <c r="I24" s="9" t="n">
        <v>8</v>
      </c>
      <c r="J24" s="9">
        <f>(D22-0.05)+34*I24/1000</f>
        <v/>
      </c>
      <c r="K24" s="9">
        <f>IF($I24=6,$G24*$H24*$J24,"")</f>
        <v/>
      </c>
      <c r="L24" s="9">
        <f>IF($I24=8,$G24*$H24*$J24,"")</f>
        <v/>
      </c>
      <c r="M24" s="9">
        <f>IF($I24=10,$G24*$H24*$J24,"")</f>
        <v/>
      </c>
      <c r="N24" s="9">
        <f>IF($I24=12,$G24*$H24*$J24,"")</f>
        <v/>
      </c>
      <c r="O24" s="9">
        <f>IF($I24=14,$G24*$H24*$J24,"")</f>
        <v/>
      </c>
      <c r="P24" s="9">
        <f>IF($I24=16,$G24*$H24*$J24,"")</f>
        <v/>
      </c>
      <c r="Q24" s="9">
        <f>IF($I24=20,$G24*$H24*$J24,"")</f>
        <v/>
      </c>
      <c r="R24" s="9">
        <f>IF($I24=25,$G24*$H24*$J24,"")</f>
        <v/>
      </c>
      <c r="S24" s="9">
        <f>IF($I24=32,$G24*$H24*$J24,"")</f>
        <v/>
      </c>
    </row>
    <row r="25">
      <c r="A25" s="7" t="inlineStr">
        <is>
          <t>Armatures non cotées dans la table (à vérifier sur coupes)</t>
        </is>
      </c>
    </row>
    <row r="26">
      <c r="A26" s="8" t="inlineStr">
        <is>
          <t>S1_6</t>
        </is>
      </c>
      <c r="B26" s="8" t="inlineStr">
        <is>
          <t>F</t>
        </is>
      </c>
      <c r="C26" s="8" t="inlineStr">
        <is>
          <t>6</t>
        </is>
      </c>
      <c r="D26" s="9" t="n">
        <v>0.9</v>
      </c>
      <c r="E26" s="9" t="n">
        <v>0.9</v>
      </c>
      <c r="F26" s="9" t="n">
        <v>0.25</v>
      </c>
      <c r="G26" s="9" t="n"/>
      <c r="H26" s="9" t="n"/>
      <c r="I26" s="9" t="n"/>
      <c r="J26" s="9" t="n"/>
      <c r="K26" s="9">
        <f>IF($I26=6,$G26*$H26*$J26,"")</f>
        <v/>
      </c>
      <c r="L26" s="9">
        <f>IF($I26=8,$G26*$H26*$J26,"")</f>
        <v/>
      </c>
      <c r="M26" s="9">
        <f>IF($I26=10,$G26*$H26*$J26,"")</f>
        <v/>
      </c>
      <c r="N26" s="9">
        <f>IF($I26=12,$G26*$H26*$J26,"")</f>
        <v/>
      </c>
      <c r="O26" s="9">
        <f>IF($I26=14,$G26*$H26*$J26,"")</f>
        <v/>
      </c>
      <c r="P26" s="9">
        <f>IF($I26=16,$G26*$H26*$J26,"")</f>
        <v/>
      </c>
      <c r="Q26" s="9">
        <f>IF($I26=20,$G26*$H26*$J26,"")</f>
        <v/>
      </c>
      <c r="R26" s="9">
        <f>IF($I26=25,$G26*$H26*$J26,"")</f>
        <v/>
      </c>
      <c r="S26" s="9">
        <f>IF($I26=32,$G26*$H26*$J26,"")</f>
        <v/>
      </c>
    </row>
    <row r="27">
      <c r="A27" s="8" t="inlineStr">
        <is>
          <t>Armature INF X</t>
        </is>
      </c>
      <c r="B27" s="8" t="n"/>
      <c r="C27" s="8" t="n"/>
      <c r="D27" s="9" t="n"/>
      <c r="E27" s="9" t="n"/>
      <c r="F27" s="9" t="n"/>
      <c r="G27" s="9" t="n">
        <v>1</v>
      </c>
      <c r="H27" s="9" t="n">
        <v>7</v>
      </c>
      <c r="I27" s="9" t="n">
        <v>8</v>
      </c>
      <c r="J27" s="9">
        <f>(E26-0.05)+34*I27/1000</f>
        <v/>
      </c>
      <c r="K27" s="9">
        <f>IF($I27=6,$G27*$H27*$J27,"")</f>
        <v/>
      </c>
      <c r="L27" s="9">
        <f>IF($I27=8,$G27*$H27*$J27,"")</f>
        <v/>
      </c>
      <c r="M27" s="9">
        <f>IF($I27=10,$G27*$H27*$J27,"")</f>
        <v/>
      </c>
      <c r="N27" s="9">
        <f>IF($I27=12,$G27*$H27*$J27,"")</f>
        <v/>
      </c>
      <c r="O27" s="9">
        <f>IF($I27=14,$G27*$H27*$J27,"")</f>
        <v/>
      </c>
      <c r="P27" s="9">
        <f>IF($I27=16,$G27*$H27*$J27,"")</f>
        <v/>
      </c>
      <c r="Q27" s="9">
        <f>IF($I27=20,$G27*$H27*$J27,"")</f>
        <v/>
      </c>
      <c r="R27" s="9">
        <f>IF($I27=25,$G27*$H27*$J27,"")</f>
        <v/>
      </c>
      <c r="S27" s="9">
        <f>IF($I27=32,$G27*$H27*$J27,"")</f>
        <v/>
      </c>
    </row>
    <row r="28">
      <c r="A28" s="8" t="inlineStr">
        <is>
          <t>Armature INF Y</t>
        </is>
      </c>
      <c r="B28" s="8" t="n"/>
      <c r="C28" s="8" t="n"/>
      <c r="D28" s="9" t="n"/>
      <c r="E28" s="9" t="n"/>
      <c r="F28" s="9" t="n"/>
      <c r="G28" s="9" t="n">
        <v>1</v>
      </c>
      <c r="H28" s="9" t="n">
        <v>7</v>
      </c>
      <c r="I28" s="9" t="n">
        <v>8</v>
      </c>
      <c r="J28" s="9">
        <f>(D26-0.05)+34*I28/1000</f>
        <v/>
      </c>
      <c r="K28" s="9">
        <f>IF($I28=6,$G28*$H28*$J28,"")</f>
        <v/>
      </c>
      <c r="L28" s="9">
        <f>IF($I28=8,$G28*$H28*$J28,"")</f>
        <v/>
      </c>
      <c r="M28" s="9">
        <f>IF($I28=10,$G28*$H28*$J28,"")</f>
        <v/>
      </c>
      <c r="N28" s="9">
        <f>IF($I28=12,$G28*$H28*$J28,"")</f>
        <v/>
      </c>
      <c r="O28" s="9">
        <f>IF($I28=14,$G28*$H28*$J28,"")</f>
        <v/>
      </c>
      <c r="P28" s="9">
        <f>IF($I28=16,$G28*$H28*$J28,"")</f>
        <v/>
      </c>
      <c r="Q28" s="9">
        <f>IF($I28=20,$G28*$H28*$J28,"")</f>
        <v/>
      </c>
      <c r="R28" s="9">
        <f>IF($I28=25,$G28*$H28*$J28,"")</f>
        <v/>
      </c>
      <c r="S28" s="9">
        <f>IF($I28=32,$G28*$H28*$J28,"")</f>
        <v/>
      </c>
    </row>
    <row r="29">
      <c r="A29" s="7" t="inlineStr">
        <is>
          <t>Armatures non cotées dans la table (à vérifier sur coupes)</t>
        </is>
      </c>
    </row>
    <row r="30">
      <c r="A30" s="8" t="inlineStr">
        <is>
          <t>S1_7</t>
        </is>
      </c>
      <c r="B30" s="8" t="inlineStr">
        <is>
          <t>D</t>
        </is>
      </c>
      <c r="C30" s="8" t="inlineStr">
        <is>
          <t>6</t>
        </is>
      </c>
      <c r="D30" s="9" t="n">
        <v>0.9</v>
      </c>
      <c r="E30" s="9" t="n">
        <v>0.9</v>
      </c>
      <c r="F30" s="9" t="n">
        <v>0.25</v>
      </c>
      <c r="G30" s="9" t="n"/>
      <c r="H30" s="9" t="n"/>
      <c r="I30" s="9" t="n"/>
      <c r="J30" s="9" t="n"/>
      <c r="K30" s="9">
        <f>IF($I30=6,$G30*$H30*$J30,"")</f>
        <v/>
      </c>
      <c r="L30" s="9">
        <f>IF($I30=8,$G30*$H30*$J30,"")</f>
        <v/>
      </c>
      <c r="M30" s="9">
        <f>IF($I30=10,$G30*$H30*$J30,"")</f>
        <v/>
      </c>
      <c r="N30" s="9">
        <f>IF($I30=12,$G30*$H30*$J30,"")</f>
        <v/>
      </c>
      <c r="O30" s="9">
        <f>IF($I30=14,$G30*$H30*$J30,"")</f>
        <v/>
      </c>
      <c r="P30" s="9">
        <f>IF($I30=16,$G30*$H30*$J30,"")</f>
        <v/>
      </c>
      <c r="Q30" s="9">
        <f>IF($I30=20,$G30*$H30*$J30,"")</f>
        <v/>
      </c>
      <c r="R30" s="9">
        <f>IF($I30=25,$G30*$H30*$J30,"")</f>
        <v/>
      </c>
      <c r="S30" s="9">
        <f>IF($I30=32,$G30*$H30*$J30,"")</f>
        <v/>
      </c>
    </row>
    <row r="31">
      <c r="A31" s="8" t="inlineStr">
        <is>
          <t>Armature INF X</t>
        </is>
      </c>
      <c r="B31" s="8" t="n"/>
      <c r="C31" s="8" t="n"/>
      <c r="D31" s="9" t="n"/>
      <c r="E31" s="9" t="n"/>
      <c r="F31" s="9" t="n"/>
      <c r="G31" s="9" t="n">
        <v>1</v>
      </c>
      <c r="H31" s="9" t="n">
        <v>7</v>
      </c>
      <c r="I31" s="9" t="n">
        <v>8</v>
      </c>
      <c r="J31" s="9">
        <f>(E30-0.05)+34*I31/1000</f>
        <v/>
      </c>
      <c r="K31" s="9">
        <f>IF($I31=6,$G31*$H31*$J31,"")</f>
        <v/>
      </c>
      <c r="L31" s="9">
        <f>IF($I31=8,$G31*$H31*$J31,"")</f>
        <v/>
      </c>
      <c r="M31" s="9">
        <f>IF($I31=10,$G31*$H31*$J31,"")</f>
        <v/>
      </c>
      <c r="N31" s="9">
        <f>IF($I31=12,$G31*$H31*$J31,"")</f>
        <v/>
      </c>
      <c r="O31" s="9">
        <f>IF($I31=14,$G31*$H31*$J31,"")</f>
        <v/>
      </c>
      <c r="P31" s="9">
        <f>IF($I31=16,$G31*$H31*$J31,"")</f>
        <v/>
      </c>
      <c r="Q31" s="9">
        <f>IF($I31=20,$G31*$H31*$J31,"")</f>
        <v/>
      </c>
      <c r="R31" s="9">
        <f>IF($I31=25,$G31*$H31*$J31,"")</f>
        <v/>
      </c>
      <c r="S31" s="9">
        <f>IF($I31=32,$G31*$H31*$J31,"")</f>
        <v/>
      </c>
    </row>
    <row r="32">
      <c r="A32" s="8" t="inlineStr">
        <is>
          <t>Armature INF Y</t>
        </is>
      </c>
      <c r="B32" s="8" t="n"/>
      <c r="C32" s="8" t="n"/>
      <c r="D32" s="9" t="n"/>
      <c r="E32" s="9" t="n"/>
      <c r="F32" s="9" t="n"/>
      <c r="G32" s="9" t="n">
        <v>1</v>
      </c>
      <c r="H32" s="9" t="n">
        <v>7</v>
      </c>
      <c r="I32" s="9" t="n">
        <v>8</v>
      </c>
      <c r="J32" s="9">
        <f>(D30-0.05)+34*I32/1000</f>
        <v/>
      </c>
      <c r="K32" s="9">
        <f>IF($I32=6,$G32*$H32*$J32,"")</f>
        <v/>
      </c>
      <c r="L32" s="9">
        <f>IF($I32=8,$G32*$H32*$J32,"")</f>
        <v/>
      </c>
      <c r="M32" s="9">
        <f>IF($I32=10,$G32*$H32*$J32,"")</f>
        <v/>
      </c>
      <c r="N32" s="9">
        <f>IF($I32=12,$G32*$H32*$J32,"")</f>
        <v/>
      </c>
      <c r="O32" s="9">
        <f>IF($I32=14,$G32*$H32*$J32,"")</f>
        <v/>
      </c>
      <c r="P32" s="9">
        <f>IF($I32=16,$G32*$H32*$J32,"")</f>
        <v/>
      </c>
      <c r="Q32" s="9">
        <f>IF($I32=20,$G32*$H32*$J32,"")</f>
        <v/>
      </c>
      <c r="R32" s="9">
        <f>IF($I32=25,$G32*$H32*$J32,"")</f>
        <v/>
      </c>
      <c r="S32" s="9">
        <f>IF($I32=32,$G32*$H32*$J32,"")</f>
        <v/>
      </c>
    </row>
    <row r="33">
      <c r="A33" s="7" t="inlineStr">
        <is>
          <t>Armatures non cotées dans la table (à vérifier sur coupes)</t>
        </is>
      </c>
    </row>
    <row r="34">
      <c r="A34" s="8" t="inlineStr">
        <is>
          <t>S1_8</t>
        </is>
      </c>
      <c r="B34" s="8" t="inlineStr">
        <is>
          <t>C</t>
        </is>
      </c>
      <c r="C34" s="8" t="inlineStr">
        <is>
          <t>6</t>
        </is>
      </c>
      <c r="D34" s="9" t="n">
        <v>0.9</v>
      </c>
      <c r="E34" s="9" t="n">
        <v>0.9</v>
      </c>
      <c r="F34" s="9" t="n">
        <v>0.25</v>
      </c>
      <c r="G34" s="9" t="n"/>
      <c r="H34" s="9" t="n"/>
      <c r="I34" s="9" t="n"/>
      <c r="J34" s="9" t="n"/>
      <c r="K34" s="9">
        <f>IF($I34=6,$G34*$H34*$J34,"")</f>
        <v/>
      </c>
      <c r="L34" s="9">
        <f>IF($I34=8,$G34*$H34*$J34,"")</f>
        <v/>
      </c>
      <c r="M34" s="9">
        <f>IF($I34=10,$G34*$H34*$J34,"")</f>
        <v/>
      </c>
      <c r="N34" s="9">
        <f>IF($I34=12,$G34*$H34*$J34,"")</f>
        <v/>
      </c>
      <c r="O34" s="9">
        <f>IF($I34=14,$G34*$H34*$J34,"")</f>
        <v/>
      </c>
      <c r="P34" s="9">
        <f>IF($I34=16,$G34*$H34*$J34,"")</f>
        <v/>
      </c>
      <c r="Q34" s="9">
        <f>IF($I34=20,$G34*$H34*$J34,"")</f>
        <v/>
      </c>
      <c r="R34" s="9">
        <f>IF($I34=25,$G34*$H34*$J34,"")</f>
        <v/>
      </c>
      <c r="S34" s="9">
        <f>IF($I34=32,$G34*$H34*$J34,"")</f>
        <v/>
      </c>
    </row>
    <row r="35">
      <c r="A35" s="8" t="inlineStr">
        <is>
          <t>Armature INF X</t>
        </is>
      </c>
      <c r="B35" s="8" t="n"/>
      <c r="C35" s="8" t="n"/>
      <c r="D35" s="9" t="n"/>
      <c r="E35" s="9" t="n"/>
      <c r="F35" s="9" t="n"/>
      <c r="G35" s="9" t="n">
        <v>1</v>
      </c>
      <c r="H35" s="9" t="n">
        <v>7</v>
      </c>
      <c r="I35" s="9" t="n">
        <v>8</v>
      </c>
      <c r="J35" s="9">
        <f>(E34-0.05)+34*I35/1000</f>
        <v/>
      </c>
      <c r="K35" s="9">
        <f>IF($I35=6,$G35*$H35*$J35,"")</f>
        <v/>
      </c>
      <c r="L35" s="9">
        <f>IF($I35=8,$G35*$H35*$J35,"")</f>
        <v/>
      </c>
      <c r="M35" s="9">
        <f>IF($I35=10,$G35*$H35*$J35,"")</f>
        <v/>
      </c>
      <c r="N35" s="9">
        <f>IF($I35=12,$G35*$H35*$J35,"")</f>
        <v/>
      </c>
      <c r="O35" s="9">
        <f>IF($I35=14,$G35*$H35*$J35,"")</f>
        <v/>
      </c>
      <c r="P35" s="9">
        <f>IF($I35=16,$G35*$H35*$J35,"")</f>
        <v/>
      </c>
      <c r="Q35" s="9">
        <f>IF($I35=20,$G35*$H35*$J35,"")</f>
        <v/>
      </c>
      <c r="R35" s="9">
        <f>IF($I35=25,$G35*$H35*$J35,"")</f>
        <v/>
      </c>
      <c r="S35" s="9">
        <f>IF($I35=32,$G35*$H35*$J35,"")</f>
        <v/>
      </c>
    </row>
    <row r="36">
      <c r="A36" s="8" t="inlineStr">
        <is>
          <t>Armature INF Y</t>
        </is>
      </c>
      <c r="B36" s="8" t="n"/>
      <c r="C36" s="8" t="n"/>
      <c r="D36" s="9" t="n"/>
      <c r="E36" s="9" t="n"/>
      <c r="F36" s="9" t="n"/>
      <c r="G36" s="9" t="n">
        <v>1</v>
      </c>
      <c r="H36" s="9" t="n">
        <v>7</v>
      </c>
      <c r="I36" s="9" t="n">
        <v>8</v>
      </c>
      <c r="J36" s="9">
        <f>(D34-0.05)+34*I36/1000</f>
        <v/>
      </c>
      <c r="K36" s="9">
        <f>IF($I36=6,$G36*$H36*$J36,"")</f>
        <v/>
      </c>
      <c r="L36" s="9">
        <f>IF($I36=8,$G36*$H36*$J36,"")</f>
        <v/>
      </c>
      <c r="M36" s="9">
        <f>IF($I36=10,$G36*$H36*$J36,"")</f>
        <v/>
      </c>
      <c r="N36" s="9">
        <f>IF($I36=12,$G36*$H36*$J36,"")</f>
        <v/>
      </c>
      <c r="O36" s="9">
        <f>IF($I36=14,$G36*$H36*$J36,"")</f>
        <v/>
      </c>
      <c r="P36" s="9">
        <f>IF($I36=16,$G36*$H36*$J36,"")</f>
        <v/>
      </c>
      <c r="Q36" s="9">
        <f>IF($I36=20,$G36*$H36*$J36,"")</f>
        <v/>
      </c>
      <c r="R36" s="9">
        <f>IF($I36=25,$G36*$H36*$J36,"")</f>
        <v/>
      </c>
      <c r="S36" s="9">
        <f>IF($I36=32,$G36*$H36*$J36,"")</f>
        <v/>
      </c>
    </row>
    <row r="37">
      <c r="A37" s="7" t="inlineStr">
        <is>
          <t>Armatures non cotées dans la table (à vérifier sur coupes)</t>
        </is>
      </c>
    </row>
    <row r="38">
      <c r="A38" s="8" t="inlineStr">
        <is>
          <t>S2_1</t>
        </is>
      </c>
      <c r="B38" s="8" t="inlineStr">
        <is>
          <t>D</t>
        </is>
      </c>
      <c r="C38" s="8" t="inlineStr">
        <is>
          <t>4</t>
        </is>
      </c>
      <c r="D38" s="9" t="n">
        <v>0.9</v>
      </c>
      <c r="E38" s="9" t="n">
        <v>1.9</v>
      </c>
      <c r="F38" s="9" t="n">
        <v>0.25</v>
      </c>
      <c r="G38" s="9" t="n"/>
      <c r="H38" s="9" t="n"/>
      <c r="I38" s="9" t="n"/>
      <c r="J38" s="9" t="n"/>
      <c r="K38" s="9">
        <f>IF($I38=6,$G38*$H38*$J38,"")</f>
        <v/>
      </c>
      <c r="L38" s="9">
        <f>IF($I38=8,$G38*$H38*$J38,"")</f>
        <v/>
      </c>
      <c r="M38" s="9">
        <f>IF($I38=10,$G38*$H38*$J38,"")</f>
        <v/>
      </c>
      <c r="N38" s="9">
        <f>IF($I38=12,$G38*$H38*$J38,"")</f>
        <v/>
      </c>
      <c r="O38" s="9">
        <f>IF($I38=14,$G38*$H38*$J38,"")</f>
        <v/>
      </c>
      <c r="P38" s="9">
        <f>IF($I38=16,$G38*$H38*$J38,"")</f>
        <v/>
      </c>
      <c r="Q38" s="9">
        <f>IF($I38=20,$G38*$H38*$J38,"")</f>
        <v/>
      </c>
      <c r="R38" s="9">
        <f>IF($I38=25,$G38*$H38*$J38,"")</f>
        <v/>
      </c>
      <c r="S38" s="9">
        <f>IF($I38=32,$G38*$H38*$J38,"")</f>
        <v/>
      </c>
    </row>
    <row r="39">
      <c r="A39" s="8" t="inlineStr">
        <is>
          <t>Armature INF X</t>
        </is>
      </c>
      <c r="B39" s="8" t="n"/>
      <c r="C39" s="8" t="n"/>
      <c r="D39" s="9" t="n"/>
      <c r="E39" s="9" t="n"/>
      <c r="F39" s="9" t="n"/>
      <c r="G39" s="9" t="n">
        <v>1</v>
      </c>
      <c r="H39" s="9" t="n">
        <v>7</v>
      </c>
      <c r="I39" s="9" t="n">
        <v>8</v>
      </c>
      <c r="J39" s="9">
        <f>(E38-0.05)+34*I39/1000</f>
        <v/>
      </c>
      <c r="K39" s="9">
        <f>IF($I39=6,$G39*$H39*$J39,"")</f>
        <v/>
      </c>
      <c r="L39" s="9">
        <f>IF($I39=8,$G39*$H39*$J39,"")</f>
        <v/>
      </c>
      <c r="M39" s="9">
        <f>IF($I39=10,$G39*$H39*$J39,"")</f>
        <v/>
      </c>
      <c r="N39" s="9">
        <f>IF($I39=12,$G39*$H39*$J39,"")</f>
        <v/>
      </c>
      <c r="O39" s="9">
        <f>IF($I39=14,$G39*$H39*$J39,"")</f>
        <v/>
      </c>
      <c r="P39" s="9">
        <f>IF($I39=16,$G39*$H39*$J39,"")</f>
        <v/>
      </c>
      <c r="Q39" s="9">
        <f>IF($I39=20,$G39*$H39*$J39,"")</f>
        <v/>
      </c>
      <c r="R39" s="9">
        <f>IF($I39=25,$G39*$H39*$J39,"")</f>
        <v/>
      </c>
      <c r="S39" s="9">
        <f>IF($I39=32,$G39*$H39*$J39,"")</f>
        <v/>
      </c>
    </row>
    <row r="40">
      <c r="A40" s="8" t="inlineStr">
        <is>
          <t>Armature INF Y</t>
        </is>
      </c>
      <c r="B40" s="8" t="n"/>
      <c r="C40" s="8" t="n"/>
      <c r="D40" s="9" t="n"/>
      <c r="E40" s="9" t="n"/>
      <c r="F40" s="9" t="n"/>
      <c r="G40" s="9" t="n">
        <v>1</v>
      </c>
      <c r="H40" s="9" t="n">
        <v>14</v>
      </c>
      <c r="I40" s="9" t="n">
        <v>10</v>
      </c>
      <c r="J40" s="9">
        <f>(D38-0.05)+34*I40/1000</f>
        <v/>
      </c>
      <c r="K40" s="9">
        <f>IF($I40=6,$G40*$H40*$J40,"")</f>
        <v/>
      </c>
      <c r="L40" s="9">
        <f>IF($I40=8,$G40*$H40*$J40,"")</f>
        <v/>
      </c>
      <c r="M40" s="9">
        <f>IF($I40=10,$G40*$H40*$J40,"")</f>
        <v/>
      </c>
      <c r="N40" s="9">
        <f>IF($I40=12,$G40*$H40*$J40,"")</f>
        <v/>
      </c>
      <c r="O40" s="9">
        <f>IF($I40=14,$G40*$H40*$J40,"")</f>
        <v/>
      </c>
      <c r="P40" s="9">
        <f>IF($I40=16,$G40*$H40*$J40,"")</f>
        <v/>
      </c>
      <c r="Q40" s="9">
        <f>IF($I40=20,$G40*$H40*$J40,"")</f>
        <v/>
      </c>
      <c r="R40" s="9">
        <f>IF($I40=25,$G40*$H40*$J40,"")</f>
        <v/>
      </c>
      <c r="S40" s="9">
        <f>IF($I40=32,$G40*$H40*$J40,"")</f>
        <v/>
      </c>
    </row>
    <row r="41">
      <c r="A41" s="7" t="inlineStr">
        <is>
          <t>Armatures non cotées dans la table (à vérifier sur coupes)</t>
        </is>
      </c>
    </row>
    <row r="42">
      <c r="A42" s="8" t="inlineStr">
        <is>
          <t>S1_9</t>
        </is>
      </c>
      <c r="B42" s="8" t="inlineStr">
        <is>
          <t>C</t>
        </is>
      </c>
      <c r="C42" s="8" t="inlineStr">
        <is>
          <t>5</t>
        </is>
      </c>
      <c r="D42" s="9" t="n">
        <v>0.9</v>
      </c>
      <c r="E42" s="9" t="n">
        <v>0.9</v>
      </c>
      <c r="F42" s="9" t="n">
        <v>0.25</v>
      </c>
      <c r="G42" s="9" t="n"/>
      <c r="H42" s="9" t="n"/>
      <c r="I42" s="9" t="n"/>
      <c r="J42" s="9" t="n"/>
      <c r="K42" s="9">
        <f>IF($I42=6,$G42*$H42*$J42,"")</f>
        <v/>
      </c>
      <c r="L42" s="9">
        <f>IF($I42=8,$G42*$H42*$J42,"")</f>
        <v/>
      </c>
      <c r="M42" s="9">
        <f>IF($I42=10,$G42*$H42*$J42,"")</f>
        <v/>
      </c>
      <c r="N42" s="9">
        <f>IF($I42=12,$G42*$H42*$J42,"")</f>
        <v/>
      </c>
      <c r="O42" s="9">
        <f>IF($I42=14,$G42*$H42*$J42,"")</f>
        <v/>
      </c>
      <c r="P42" s="9">
        <f>IF($I42=16,$G42*$H42*$J42,"")</f>
        <v/>
      </c>
      <c r="Q42" s="9">
        <f>IF($I42=20,$G42*$H42*$J42,"")</f>
        <v/>
      </c>
      <c r="R42" s="9">
        <f>IF($I42=25,$G42*$H42*$J42,"")</f>
        <v/>
      </c>
      <c r="S42" s="9">
        <f>IF($I42=32,$G42*$H42*$J42,"")</f>
        <v/>
      </c>
    </row>
    <row r="43">
      <c r="A43" s="8" t="inlineStr">
        <is>
          <t>Armature INF X</t>
        </is>
      </c>
      <c r="B43" s="8" t="n"/>
      <c r="C43" s="8" t="n"/>
      <c r="D43" s="9" t="n"/>
      <c r="E43" s="9" t="n"/>
      <c r="F43" s="9" t="n"/>
      <c r="G43" s="9" t="n">
        <v>1</v>
      </c>
      <c r="H43" s="9" t="n">
        <v>7</v>
      </c>
      <c r="I43" s="9" t="n">
        <v>8</v>
      </c>
      <c r="J43" s="9">
        <f>(E42-0.05)+34*I43/1000</f>
        <v/>
      </c>
      <c r="K43" s="9">
        <f>IF($I43=6,$G43*$H43*$J43,"")</f>
        <v/>
      </c>
      <c r="L43" s="9">
        <f>IF($I43=8,$G43*$H43*$J43,"")</f>
        <v/>
      </c>
      <c r="M43" s="9">
        <f>IF($I43=10,$G43*$H43*$J43,"")</f>
        <v/>
      </c>
      <c r="N43" s="9">
        <f>IF($I43=12,$G43*$H43*$J43,"")</f>
        <v/>
      </c>
      <c r="O43" s="9">
        <f>IF($I43=14,$G43*$H43*$J43,"")</f>
        <v/>
      </c>
      <c r="P43" s="9">
        <f>IF($I43=16,$G43*$H43*$J43,"")</f>
        <v/>
      </c>
      <c r="Q43" s="9">
        <f>IF($I43=20,$G43*$H43*$J43,"")</f>
        <v/>
      </c>
      <c r="R43" s="9">
        <f>IF($I43=25,$G43*$H43*$J43,"")</f>
        <v/>
      </c>
      <c r="S43" s="9">
        <f>IF($I43=32,$G43*$H43*$J43,"")</f>
        <v/>
      </c>
    </row>
    <row r="44">
      <c r="A44" s="8" t="inlineStr">
        <is>
          <t>Armature INF Y</t>
        </is>
      </c>
      <c r="B44" s="8" t="n"/>
      <c r="C44" s="8" t="n"/>
      <c r="D44" s="9" t="n"/>
      <c r="E44" s="9" t="n"/>
      <c r="F44" s="9" t="n"/>
      <c r="G44" s="9" t="n">
        <v>1</v>
      </c>
      <c r="H44" s="9" t="n">
        <v>7</v>
      </c>
      <c r="I44" s="9" t="n">
        <v>8</v>
      </c>
      <c r="J44" s="9">
        <f>(D42-0.05)+34*I44/1000</f>
        <v/>
      </c>
      <c r="K44" s="9">
        <f>IF($I44=6,$G44*$H44*$J44,"")</f>
        <v/>
      </c>
      <c r="L44" s="9">
        <f>IF($I44=8,$G44*$H44*$J44,"")</f>
        <v/>
      </c>
      <c r="M44" s="9">
        <f>IF($I44=10,$G44*$H44*$J44,"")</f>
        <v/>
      </c>
      <c r="N44" s="9">
        <f>IF($I44=12,$G44*$H44*$J44,"")</f>
        <v/>
      </c>
      <c r="O44" s="9">
        <f>IF($I44=14,$G44*$H44*$J44,"")</f>
        <v/>
      </c>
      <c r="P44" s="9">
        <f>IF($I44=16,$G44*$H44*$J44,"")</f>
        <v/>
      </c>
      <c r="Q44" s="9">
        <f>IF($I44=20,$G44*$H44*$J44,"")</f>
        <v/>
      </c>
      <c r="R44" s="9">
        <f>IF($I44=25,$G44*$H44*$J44,"")</f>
        <v/>
      </c>
      <c r="S44" s="9">
        <f>IF($I44=32,$G44*$H44*$J44,"")</f>
        <v/>
      </c>
    </row>
    <row r="45">
      <c r="A45" s="7" t="inlineStr">
        <is>
          <t>Armatures non cotées dans la table (à vérifier sur coupes)</t>
        </is>
      </c>
    </row>
    <row r="46">
      <c r="A46" s="8" t="inlineStr">
        <is>
          <t>S1_10</t>
        </is>
      </c>
      <c r="B46" s="8" t="inlineStr">
        <is>
          <t>B</t>
        </is>
      </c>
      <c r="C46" s="8" t="inlineStr">
        <is>
          <t>5</t>
        </is>
      </c>
      <c r="D46" s="9" t="n">
        <v>0.9</v>
      </c>
      <c r="E46" s="9" t="n">
        <v>0.9</v>
      </c>
      <c r="F46" s="9" t="n">
        <v>0.25</v>
      </c>
      <c r="G46" s="9" t="n"/>
      <c r="H46" s="9" t="n"/>
      <c r="I46" s="9" t="n"/>
      <c r="J46" s="9" t="n"/>
      <c r="K46" s="9">
        <f>IF($I46=6,$G46*$H46*$J46,"")</f>
        <v/>
      </c>
      <c r="L46" s="9">
        <f>IF($I46=8,$G46*$H46*$J46,"")</f>
        <v/>
      </c>
      <c r="M46" s="9">
        <f>IF($I46=10,$G46*$H46*$J46,"")</f>
        <v/>
      </c>
      <c r="N46" s="9">
        <f>IF($I46=12,$G46*$H46*$J46,"")</f>
        <v/>
      </c>
      <c r="O46" s="9">
        <f>IF($I46=14,$G46*$H46*$J46,"")</f>
        <v/>
      </c>
      <c r="P46" s="9">
        <f>IF($I46=16,$G46*$H46*$J46,"")</f>
        <v/>
      </c>
      <c r="Q46" s="9">
        <f>IF($I46=20,$G46*$H46*$J46,"")</f>
        <v/>
      </c>
      <c r="R46" s="9">
        <f>IF($I46=25,$G46*$H46*$J46,"")</f>
        <v/>
      </c>
      <c r="S46" s="9">
        <f>IF($I46=32,$G46*$H46*$J46,"")</f>
        <v/>
      </c>
    </row>
    <row r="47">
      <c r="A47" s="8" t="inlineStr">
        <is>
          <t>Armature INF X</t>
        </is>
      </c>
      <c r="B47" s="8" t="n"/>
      <c r="C47" s="8" t="n"/>
      <c r="D47" s="9" t="n"/>
      <c r="E47" s="9" t="n"/>
      <c r="F47" s="9" t="n"/>
      <c r="G47" s="9" t="n">
        <v>1</v>
      </c>
      <c r="H47" s="9" t="n">
        <v>7</v>
      </c>
      <c r="I47" s="9" t="n">
        <v>8</v>
      </c>
      <c r="J47" s="9">
        <f>(E46-0.05)+34*I47/1000</f>
        <v/>
      </c>
      <c r="K47" s="9">
        <f>IF($I47=6,$G47*$H47*$J47,"")</f>
        <v/>
      </c>
      <c r="L47" s="9">
        <f>IF($I47=8,$G47*$H47*$J47,"")</f>
        <v/>
      </c>
      <c r="M47" s="9">
        <f>IF($I47=10,$G47*$H47*$J47,"")</f>
        <v/>
      </c>
      <c r="N47" s="9">
        <f>IF($I47=12,$G47*$H47*$J47,"")</f>
        <v/>
      </c>
      <c r="O47" s="9">
        <f>IF($I47=14,$G47*$H47*$J47,"")</f>
        <v/>
      </c>
      <c r="P47" s="9">
        <f>IF($I47=16,$G47*$H47*$J47,"")</f>
        <v/>
      </c>
      <c r="Q47" s="9">
        <f>IF($I47=20,$G47*$H47*$J47,"")</f>
        <v/>
      </c>
      <c r="R47" s="9">
        <f>IF($I47=25,$G47*$H47*$J47,"")</f>
        <v/>
      </c>
      <c r="S47" s="9">
        <f>IF($I47=32,$G47*$H47*$J47,"")</f>
        <v/>
      </c>
    </row>
    <row r="48">
      <c r="A48" s="8" t="inlineStr">
        <is>
          <t>Armature INF Y</t>
        </is>
      </c>
      <c r="B48" s="8" t="n"/>
      <c r="C48" s="8" t="n"/>
      <c r="D48" s="9" t="n"/>
      <c r="E48" s="9" t="n"/>
      <c r="F48" s="9" t="n"/>
      <c r="G48" s="9" t="n">
        <v>1</v>
      </c>
      <c r="H48" s="9" t="n">
        <v>7</v>
      </c>
      <c r="I48" s="9" t="n">
        <v>8</v>
      </c>
      <c r="J48" s="9">
        <f>(D46-0.05)+34*I48/1000</f>
        <v/>
      </c>
      <c r="K48" s="9">
        <f>IF($I48=6,$G48*$H48*$J48,"")</f>
        <v/>
      </c>
      <c r="L48" s="9">
        <f>IF($I48=8,$G48*$H48*$J48,"")</f>
        <v/>
      </c>
      <c r="M48" s="9">
        <f>IF($I48=10,$G48*$H48*$J48,"")</f>
        <v/>
      </c>
      <c r="N48" s="9">
        <f>IF($I48=12,$G48*$H48*$J48,"")</f>
        <v/>
      </c>
      <c r="O48" s="9">
        <f>IF($I48=14,$G48*$H48*$J48,"")</f>
        <v/>
      </c>
      <c r="P48" s="9">
        <f>IF($I48=16,$G48*$H48*$J48,"")</f>
        <v/>
      </c>
      <c r="Q48" s="9">
        <f>IF($I48=20,$G48*$H48*$J48,"")</f>
        <v/>
      </c>
      <c r="R48" s="9">
        <f>IF($I48=25,$G48*$H48*$J48,"")</f>
        <v/>
      </c>
      <c r="S48" s="9">
        <f>IF($I48=32,$G48*$H48*$J48,"")</f>
        <v/>
      </c>
    </row>
    <row r="49">
      <c r="A49" s="7" t="inlineStr">
        <is>
          <t>Armatures non cotées dans la table (à vérifier sur coupes)</t>
        </is>
      </c>
    </row>
    <row r="50">
      <c r="A50" s="8" t="inlineStr">
        <is>
          <t>S1_11</t>
        </is>
      </c>
      <c r="B50" s="8" t="inlineStr">
        <is>
          <t>F</t>
        </is>
      </c>
      <c r="C50" s="8" t="inlineStr">
        <is>
          <t>4</t>
        </is>
      </c>
      <c r="D50" s="9" t="n">
        <v>0.9</v>
      </c>
      <c r="E50" s="9" t="n">
        <v>0.9</v>
      </c>
      <c r="F50" s="9" t="n">
        <v>0.25</v>
      </c>
      <c r="G50" s="9" t="n"/>
      <c r="H50" s="9" t="n"/>
      <c r="I50" s="9" t="n"/>
      <c r="J50" s="9" t="n"/>
      <c r="K50" s="9">
        <f>IF($I50=6,$G50*$H50*$J50,"")</f>
        <v/>
      </c>
      <c r="L50" s="9">
        <f>IF($I50=8,$G50*$H50*$J50,"")</f>
        <v/>
      </c>
      <c r="M50" s="9">
        <f>IF($I50=10,$G50*$H50*$J50,"")</f>
        <v/>
      </c>
      <c r="N50" s="9">
        <f>IF($I50=12,$G50*$H50*$J50,"")</f>
        <v/>
      </c>
      <c r="O50" s="9">
        <f>IF($I50=14,$G50*$H50*$J50,"")</f>
        <v/>
      </c>
      <c r="P50" s="9">
        <f>IF($I50=16,$G50*$H50*$J50,"")</f>
        <v/>
      </c>
      <c r="Q50" s="9">
        <f>IF($I50=20,$G50*$H50*$J50,"")</f>
        <v/>
      </c>
      <c r="R50" s="9">
        <f>IF($I50=25,$G50*$H50*$J50,"")</f>
        <v/>
      </c>
      <c r="S50" s="9">
        <f>IF($I50=32,$G50*$H50*$J50,"")</f>
        <v/>
      </c>
    </row>
    <row r="51">
      <c r="A51" s="8" t="inlineStr">
        <is>
          <t>Armature INF X</t>
        </is>
      </c>
      <c r="B51" s="8" t="n"/>
      <c r="C51" s="8" t="n"/>
      <c r="D51" s="9" t="n"/>
      <c r="E51" s="9" t="n"/>
      <c r="F51" s="9" t="n"/>
      <c r="G51" s="9" t="n">
        <v>1</v>
      </c>
      <c r="H51" s="9" t="n">
        <v>7</v>
      </c>
      <c r="I51" s="9" t="n">
        <v>8</v>
      </c>
      <c r="J51" s="9">
        <f>(E50-0.05)+34*I51/1000</f>
        <v/>
      </c>
      <c r="K51" s="9">
        <f>IF($I51=6,$G51*$H51*$J51,"")</f>
        <v/>
      </c>
      <c r="L51" s="9">
        <f>IF($I51=8,$G51*$H51*$J51,"")</f>
        <v/>
      </c>
      <c r="M51" s="9">
        <f>IF($I51=10,$G51*$H51*$J51,"")</f>
        <v/>
      </c>
      <c r="N51" s="9">
        <f>IF($I51=12,$G51*$H51*$J51,"")</f>
        <v/>
      </c>
      <c r="O51" s="9">
        <f>IF($I51=14,$G51*$H51*$J51,"")</f>
        <v/>
      </c>
      <c r="P51" s="9">
        <f>IF($I51=16,$G51*$H51*$J51,"")</f>
        <v/>
      </c>
      <c r="Q51" s="9">
        <f>IF($I51=20,$G51*$H51*$J51,"")</f>
        <v/>
      </c>
      <c r="R51" s="9">
        <f>IF($I51=25,$G51*$H51*$J51,"")</f>
        <v/>
      </c>
      <c r="S51" s="9">
        <f>IF($I51=32,$G51*$H51*$J51,"")</f>
        <v/>
      </c>
    </row>
    <row r="52">
      <c r="A52" s="8" t="inlineStr">
        <is>
          <t>Armature INF Y</t>
        </is>
      </c>
      <c r="B52" s="8" t="n"/>
      <c r="C52" s="8" t="n"/>
      <c r="D52" s="9" t="n"/>
      <c r="E52" s="9" t="n"/>
      <c r="F52" s="9" t="n"/>
      <c r="G52" s="9" t="n">
        <v>1</v>
      </c>
      <c r="H52" s="9" t="n">
        <v>7</v>
      </c>
      <c r="I52" s="9" t="n">
        <v>8</v>
      </c>
      <c r="J52" s="9">
        <f>(D50-0.05)+34*I52/1000</f>
        <v/>
      </c>
      <c r="K52" s="9">
        <f>IF($I52=6,$G52*$H52*$J52,"")</f>
        <v/>
      </c>
      <c r="L52" s="9">
        <f>IF($I52=8,$G52*$H52*$J52,"")</f>
        <v/>
      </c>
      <c r="M52" s="9">
        <f>IF($I52=10,$G52*$H52*$J52,"")</f>
        <v/>
      </c>
      <c r="N52" s="9">
        <f>IF($I52=12,$G52*$H52*$J52,"")</f>
        <v/>
      </c>
      <c r="O52" s="9">
        <f>IF($I52=14,$G52*$H52*$J52,"")</f>
        <v/>
      </c>
      <c r="P52" s="9">
        <f>IF($I52=16,$G52*$H52*$J52,"")</f>
        <v/>
      </c>
      <c r="Q52" s="9">
        <f>IF($I52=20,$G52*$H52*$J52,"")</f>
        <v/>
      </c>
      <c r="R52" s="9">
        <f>IF($I52=25,$G52*$H52*$J52,"")</f>
        <v/>
      </c>
      <c r="S52" s="9">
        <f>IF($I52=32,$G52*$H52*$J52,"")</f>
        <v/>
      </c>
    </row>
    <row r="53">
      <c r="A53" s="7" t="inlineStr">
        <is>
          <t>Armatures non cotées dans la table (à vérifier sur coupes)</t>
        </is>
      </c>
    </row>
    <row r="54">
      <c r="A54" s="8" t="inlineStr">
        <is>
          <t>S1_12</t>
        </is>
      </c>
      <c r="B54" s="8" t="inlineStr">
        <is>
          <t>L</t>
        </is>
      </c>
      <c r="C54" s="8" t="inlineStr">
        <is>
          <t>8</t>
        </is>
      </c>
      <c r="D54" s="9" t="n">
        <v>0.9</v>
      </c>
      <c r="E54" s="9" t="n">
        <v>0.9</v>
      </c>
      <c r="F54" s="9" t="n">
        <v>0.25</v>
      </c>
      <c r="G54" s="9" t="n"/>
      <c r="H54" s="9" t="n"/>
      <c r="I54" s="9" t="n"/>
      <c r="J54" s="9" t="n"/>
      <c r="K54" s="9">
        <f>IF($I54=6,$G54*$H54*$J54,"")</f>
        <v/>
      </c>
      <c r="L54" s="9">
        <f>IF($I54=8,$G54*$H54*$J54,"")</f>
        <v/>
      </c>
      <c r="M54" s="9">
        <f>IF($I54=10,$G54*$H54*$J54,"")</f>
        <v/>
      </c>
      <c r="N54" s="9">
        <f>IF($I54=12,$G54*$H54*$J54,"")</f>
        <v/>
      </c>
      <c r="O54" s="9">
        <f>IF($I54=14,$G54*$H54*$J54,"")</f>
        <v/>
      </c>
      <c r="P54" s="9">
        <f>IF($I54=16,$G54*$H54*$J54,"")</f>
        <v/>
      </c>
      <c r="Q54" s="9">
        <f>IF($I54=20,$G54*$H54*$J54,"")</f>
        <v/>
      </c>
      <c r="R54" s="9">
        <f>IF($I54=25,$G54*$H54*$J54,"")</f>
        <v/>
      </c>
      <c r="S54" s="9">
        <f>IF($I54=32,$G54*$H54*$J54,"")</f>
        <v/>
      </c>
    </row>
    <row r="55">
      <c r="A55" s="8" t="inlineStr">
        <is>
          <t>Armature INF X</t>
        </is>
      </c>
      <c r="B55" s="8" t="n"/>
      <c r="C55" s="8" t="n"/>
      <c r="D55" s="9" t="n"/>
      <c r="E55" s="9" t="n"/>
      <c r="F55" s="9" t="n"/>
      <c r="G55" s="9" t="n">
        <v>1</v>
      </c>
      <c r="H55" s="9" t="n">
        <v>7</v>
      </c>
      <c r="I55" s="9" t="n">
        <v>8</v>
      </c>
      <c r="J55" s="9">
        <f>(E54-0.05)+34*I55/1000</f>
        <v/>
      </c>
      <c r="K55" s="9">
        <f>IF($I55=6,$G55*$H55*$J55,"")</f>
        <v/>
      </c>
      <c r="L55" s="9">
        <f>IF($I55=8,$G55*$H55*$J55,"")</f>
        <v/>
      </c>
      <c r="M55" s="9">
        <f>IF($I55=10,$G55*$H55*$J55,"")</f>
        <v/>
      </c>
      <c r="N55" s="9">
        <f>IF($I55=12,$G55*$H55*$J55,"")</f>
        <v/>
      </c>
      <c r="O55" s="9">
        <f>IF($I55=14,$G55*$H55*$J55,"")</f>
        <v/>
      </c>
      <c r="P55" s="9">
        <f>IF($I55=16,$G55*$H55*$J55,"")</f>
        <v/>
      </c>
      <c r="Q55" s="9">
        <f>IF($I55=20,$G55*$H55*$J55,"")</f>
        <v/>
      </c>
      <c r="R55" s="9">
        <f>IF($I55=25,$G55*$H55*$J55,"")</f>
        <v/>
      </c>
      <c r="S55" s="9">
        <f>IF($I55=32,$G55*$H55*$J55,"")</f>
        <v/>
      </c>
    </row>
    <row r="56">
      <c r="A56" s="8" t="inlineStr">
        <is>
          <t>Armature INF Y</t>
        </is>
      </c>
      <c r="B56" s="8" t="n"/>
      <c r="C56" s="8" t="n"/>
      <c r="D56" s="9" t="n"/>
      <c r="E56" s="9" t="n"/>
      <c r="F56" s="9" t="n"/>
      <c r="G56" s="9" t="n">
        <v>1</v>
      </c>
      <c r="H56" s="9" t="n">
        <v>7</v>
      </c>
      <c r="I56" s="9" t="n">
        <v>8</v>
      </c>
      <c r="J56" s="9">
        <f>(D54-0.05)+34*I56/1000</f>
        <v/>
      </c>
      <c r="K56" s="9">
        <f>IF($I56=6,$G56*$H56*$J56,"")</f>
        <v/>
      </c>
      <c r="L56" s="9">
        <f>IF($I56=8,$G56*$H56*$J56,"")</f>
        <v/>
      </c>
      <c r="M56" s="9">
        <f>IF($I56=10,$G56*$H56*$J56,"")</f>
        <v/>
      </c>
      <c r="N56" s="9">
        <f>IF($I56=12,$G56*$H56*$J56,"")</f>
        <v/>
      </c>
      <c r="O56" s="9">
        <f>IF($I56=14,$G56*$H56*$J56,"")</f>
        <v/>
      </c>
      <c r="P56" s="9">
        <f>IF($I56=16,$G56*$H56*$J56,"")</f>
        <v/>
      </c>
      <c r="Q56" s="9">
        <f>IF($I56=20,$G56*$H56*$J56,"")</f>
        <v/>
      </c>
      <c r="R56" s="9">
        <f>IF($I56=25,$G56*$H56*$J56,"")</f>
        <v/>
      </c>
      <c r="S56" s="9">
        <f>IF($I56=32,$G56*$H56*$J56,"")</f>
        <v/>
      </c>
    </row>
    <row r="57">
      <c r="A57" s="7" t="inlineStr">
        <is>
          <t>Armatures non cotées dans la table (à vérifier sur coupes)</t>
        </is>
      </c>
    </row>
    <row r="58">
      <c r="A58" s="8" t="inlineStr">
        <is>
          <t>S1_13</t>
        </is>
      </c>
      <c r="B58" s="8" t="inlineStr">
        <is>
          <t>S</t>
        </is>
      </c>
      <c r="C58" s="8" t="inlineStr">
        <is>
          <t>8</t>
        </is>
      </c>
      <c r="D58" s="9" t="n">
        <v>0.9</v>
      </c>
      <c r="E58" s="9" t="n">
        <v>0.9</v>
      </c>
      <c r="F58" s="9" t="n">
        <v>0.25</v>
      </c>
      <c r="G58" s="9" t="n"/>
      <c r="H58" s="9" t="n"/>
      <c r="I58" s="9" t="n"/>
      <c r="J58" s="9" t="n"/>
      <c r="K58" s="9">
        <f>IF($I58=6,$G58*$H58*$J58,"")</f>
        <v/>
      </c>
      <c r="L58" s="9">
        <f>IF($I58=8,$G58*$H58*$J58,"")</f>
        <v/>
      </c>
      <c r="M58" s="9">
        <f>IF($I58=10,$G58*$H58*$J58,"")</f>
        <v/>
      </c>
      <c r="N58" s="9">
        <f>IF($I58=12,$G58*$H58*$J58,"")</f>
        <v/>
      </c>
      <c r="O58" s="9">
        <f>IF($I58=14,$G58*$H58*$J58,"")</f>
        <v/>
      </c>
      <c r="P58" s="9">
        <f>IF($I58=16,$G58*$H58*$J58,"")</f>
        <v/>
      </c>
      <c r="Q58" s="9">
        <f>IF($I58=20,$G58*$H58*$J58,"")</f>
        <v/>
      </c>
      <c r="R58" s="9">
        <f>IF($I58=25,$G58*$H58*$J58,"")</f>
        <v/>
      </c>
      <c r="S58" s="9">
        <f>IF($I58=32,$G58*$H58*$J58,"")</f>
        <v/>
      </c>
    </row>
    <row r="59">
      <c r="A59" s="8" t="inlineStr">
        <is>
          <t>Armature INF X</t>
        </is>
      </c>
      <c r="B59" s="8" t="n"/>
      <c r="C59" s="8" t="n"/>
      <c r="D59" s="9" t="n"/>
      <c r="E59" s="9" t="n"/>
      <c r="F59" s="9" t="n"/>
      <c r="G59" s="9" t="n">
        <v>1</v>
      </c>
      <c r="H59" s="9" t="n">
        <v>7</v>
      </c>
      <c r="I59" s="9" t="n">
        <v>8</v>
      </c>
      <c r="J59" s="9">
        <f>(E58-0.05)+34*I59/1000</f>
        <v/>
      </c>
      <c r="K59" s="9">
        <f>IF($I59=6,$G59*$H59*$J59,"")</f>
        <v/>
      </c>
      <c r="L59" s="9">
        <f>IF($I59=8,$G59*$H59*$J59,"")</f>
        <v/>
      </c>
      <c r="M59" s="9">
        <f>IF($I59=10,$G59*$H59*$J59,"")</f>
        <v/>
      </c>
      <c r="N59" s="9">
        <f>IF($I59=12,$G59*$H59*$J59,"")</f>
        <v/>
      </c>
      <c r="O59" s="9">
        <f>IF($I59=14,$G59*$H59*$J59,"")</f>
        <v/>
      </c>
      <c r="P59" s="9">
        <f>IF($I59=16,$G59*$H59*$J59,"")</f>
        <v/>
      </c>
      <c r="Q59" s="9">
        <f>IF($I59=20,$G59*$H59*$J59,"")</f>
        <v/>
      </c>
      <c r="R59" s="9">
        <f>IF($I59=25,$G59*$H59*$J59,"")</f>
        <v/>
      </c>
      <c r="S59" s="9">
        <f>IF($I59=32,$G59*$H59*$J59,"")</f>
        <v/>
      </c>
    </row>
    <row r="60">
      <c r="A60" s="8" t="inlineStr">
        <is>
          <t>Armature INF Y</t>
        </is>
      </c>
      <c r="B60" s="8" t="n"/>
      <c r="C60" s="8" t="n"/>
      <c r="D60" s="9" t="n"/>
      <c r="E60" s="9" t="n"/>
      <c r="F60" s="9" t="n"/>
      <c r="G60" s="9" t="n">
        <v>1</v>
      </c>
      <c r="H60" s="9" t="n">
        <v>7</v>
      </c>
      <c r="I60" s="9" t="n">
        <v>8</v>
      </c>
      <c r="J60" s="9">
        <f>(D58-0.05)+34*I60/1000</f>
        <v/>
      </c>
      <c r="K60" s="9">
        <f>IF($I60=6,$G60*$H60*$J60,"")</f>
        <v/>
      </c>
      <c r="L60" s="9">
        <f>IF($I60=8,$G60*$H60*$J60,"")</f>
        <v/>
      </c>
      <c r="M60" s="9">
        <f>IF($I60=10,$G60*$H60*$J60,"")</f>
        <v/>
      </c>
      <c r="N60" s="9">
        <f>IF($I60=12,$G60*$H60*$J60,"")</f>
        <v/>
      </c>
      <c r="O60" s="9">
        <f>IF($I60=14,$G60*$H60*$J60,"")</f>
        <v/>
      </c>
      <c r="P60" s="9">
        <f>IF($I60=16,$G60*$H60*$J60,"")</f>
        <v/>
      </c>
      <c r="Q60" s="9">
        <f>IF($I60=20,$G60*$H60*$J60,"")</f>
        <v/>
      </c>
      <c r="R60" s="9">
        <f>IF($I60=25,$G60*$H60*$J60,"")</f>
        <v/>
      </c>
      <c r="S60" s="9">
        <f>IF($I60=32,$G60*$H60*$J60,"")</f>
        <v/>
      </c>
    </row>
    <row r="61">
      <c r="A61" s="7" t="inlineStr">
        <is>
          <t>Armatures non cotées dans la table (à vérifier sur coupes)</t>
        </is>
      </c>
    </row>
    <row r="62">
      <c r="A62" s="8" t="inlineStr">
        <is>
          <t>S1_14</t>
        </is>
      </c>
      <c r="B62" s="8" t="inlineStr">
        <is>
          <t>F</t>
        </is>
      </c>
      <c r="C62" s="8" t="inlineStr">
        <is>
          <t>17</t>
        </is>
      </c>
      <c r="D62" s="9" t="n">
        <v>0.9</v>
      </c>
      <c r="E62" s="9" t="n">
        <v>0.9</v>
      </c>
      <c r="F62" s="9" t="n">
        <v>0.25</v>
      </c>
      <c r="G62" s="9" t="n"/>
      <c r="H62" s="9" t="n"/>
      <c r="I62" s="9" t="n"/>
      <c r="J62" s="9" t="n"/>
      <c r="K62" s="9">
        <f>IF($I62=6,$G62*$H62*$J62,"")</f>
        <v/>
      </c>
      <c r="L62" s="9">
        <f>IF($I62=8,$G62*$H62*$J62,"")</f>
        <v/>
      </c>
      <c r="M62" s="9">
        <f>IF($I62=10,$G62*$H62*$J62,"")</f>
        <v/>
      </c>
      <c r="N62" s="9">
        <f>IF($I62=12,$G62*$H62*$J62,"")</f>
        <v/>
      </c>
      <c r="O62" s="9">
        <f>IF($I62=14,$G62*$H62*$J62,"")</f>
        <v/>
      </c>
      <c r="P62" s="9">
        <f>IF($I62=16,$G62*$H62*$J62,"")</f>
        <v/>
      </c>
      <c r="Q62" s="9">
        <f>IF($I62=20,$G62*$H62*$J62,"")</f>
        <v/>
      </c>
      <c r="R62" s="9">
        <f>IF($I62=25,$G62*$H62*$J62,"")</f>
        <v/>
      </c>
      <c r="S62" s="9">
        <f>IF($I62=32,$G62*$H62*$J62,"")</f>
        <v/>
      </c>
    </row>
    <row r="63">
      <c r="A63" s="8" t="inlineStr">
        <is>
          <t>Armature INF X</t>
        </is>
      </c>
      <c r="B63" s="8" t="n"/>
      <c r="C63" s="8" t="n"/>
      <c r="D63" s="9" t="n"/>
      <c r="E63" s="9" t="n"/>
      <c r="F63" s="9" t="n"/>
      <c r="G63" s="9" t="n">
        <v>1</v>
      </c>
      <c r="H63" s="9" t="n">
        <v>7</v>
      </c>
      <c r="I63" s="9" t="n">
        <v>8</v>
      </c>
      <c r="J63" s="9">
        <f>(E62-0.05)+34*I63/1000</f>
        <v/>
      </c>
      <c r="K63" s="9">
        <f>IF($I63=6,$G63*$H63*$J63,"")</f>
        <v/>
      </c>
      <c r="L63" s="9">
        <f>IF($I63=8,$G63*$H63*$J63,"")</f>
        <v/>
      </c>
      <c r="M63" s="9">
        <f>IF($I63=10,$G63*$H63*$J63,"")</f>
        <v/>
      </c>
      <c r="N63" s="9">
        <f>IF($I63=12,$G63*$H63*$J63,"")</f>
        <v/>
      </c>
      <c r="O63" s="9">
        <f>IF($I63=14,$G63*$H63*$J63,"")</f>
        <v/>
      </c>
      <c r="P63" s="9">
        <f>IF($I63=16,$G63*$H63*$J63,"")</f>
        <v/>
      </c>
      <c r="Q63" s="9">
        <f>IF($I63=20,$G63*$H63*$J63,"")</f>
        <v/>
      </c>
      <c r="R63" s="9">
        <f>IF($I63=25,$G63*$H63*$J63,"")</f>
        <v/>
      </c>
      <c r="S63" s="9">
        <f>IF($I63=32,$G63*$H63*$J63,"")</f>
        <v/>
      </c>
    </row>
    <row r="64">
      <c r="A64" s="8" t="inlineStr">
        <is>
          <t>Armature INF Y</t>
        </is>
      </c>
      <c r="B64" s="8" t="n"/>
      <c r="C64" s="8" t="n"/>
      <c r="D64" s="9" t="n"/>
      <c r="E64" s="9" t="n"/>
      <c r="F64" s="9" t="n"/>
      <c r="G64" s="9" t="n">
        <v>1</v>
      </c>
      <c r="H64" s="9" t="n">
        <v>7</v>
      </c>
      <c r="I64" s="9" t="n">
        <v>8</v>
      </c>
      <c r="J64" s="9">
        <f>(D62-0.05)+34*I64/1000</f>
        <v/>
      </c>
      <c r="K64" s="9">
        <f>IF($I64=6,$G64*$H64*$J64,"")</f>
        <v/>
      </c>
      <c r="L64" s="9">
        <f>IF($I64=8,$G64*$H64*$J64,"")</f>
        <v/>
      </c>
      <c r="M64" s="9">
        <f>IF($I64=10,$G64*$H64*$J64,"")</f>
        <v/>
      </c>
      <c r="N64" s="9">
        <f>IF($I64=12,$G64*$H64*$J64,"")</f>
        <v/>
      </c>
      <c r="O64" s="9">
        <f>IF($I64=14,$G64*$H64*$J64,"")</f>
        <v/>
      </c>
      <c r="P64" s="9">
        <f>IF($I64=16,$G64*$H64*$J64,"")</f>
        <v/>
      </c>
      <c r="Q64" s="9">
        <f>IF($I64=20,$G64*$H64*$J64,"")</f>
        <v/>
      </c>
      <c r="R64" s="9">
        <f>IF($I64=25,$G64*$H64*$J64,"")</f>
        <v/>
      </c>
      <c r="S64" s="9">
        <f>IF($I64=32,$G64*$H64*$J64,"")</f>
        <v/>
      </c>
    </row>
    <row r="65">
      <c r="A65" s="7" t="inlineStr">
        <is>
          <t>Armatures non cotées dans la table (à vérifier sur coupes)</t>
        </is>
      </c>
    </row>
    <row r="66">
      <c r="A66" s="8" t="inlineStr">
        <is>
          <t>S1_15</t>
        </is>
      </c>
      <c r="B66" s="8" t="inlineStr">
        <is>
          <t>S</t>
        </is>
      </c>
      <c r="C66" s="8" t="inlineStr">
        <is>
          <t>14</t>
        </is>
      </c>
      <c r="D66" s="9" t="n">
        <v>0.9</v>
      </c>
      <c r="E66" s="9" t="n">
        <v>0.9</v>
      </c>
      <c r="F66" s="9" t="n">
        <v>0.25</v>
      </c>
      <c r="G66" s="9" t="n"/>
      <c r="H66" s="9" t="n"/>
      <c r="I66" s="9" t="n"/>
      <c r="J66" s="9" t="n"/>
      <c r="K66" s="9">
        <f>IF($I66=6,$G66*$H66*$J66,"")</f>
        <v/>
      </c>
      <c r="L66" s="9">
        <f>IF($I66=8,$G66*$H66*$J66,"")</f>
        <v/>
      </c>
      <c r="M66" s="9">
        <f>IF($I66=10,$G66*$H66*$J66,"")</f>
        <v/>
      </c>
      <c r="N66" s="9">
        <f>IF($I66=12,$G66*$H66*$J66,"")</f>
        <v/>
      </c>
      <c r="O66" s="9">
        <f>IF($I66=14,$G66*$H66*$J66,"")</f>
        <v/>
      </c>
      <c r="P66" s="9">
        <f>IF($I66=16,$G66*$H66*$J66,"")</f>
        <v/>
      </c>
      <c r="Q66" s="9">
        <f>IF($I66=20,$G66*$H66*$J66,"")</f>
        <v/>
      </c>
      <c r="R66" s="9">
        <f>IF($I66=25,$G66*$H66*$J66,"")</f>
        <v/>
      </c>
      <c r="S66" s="9">
        <f>IF($I66=32,$G66*$H66*$J66,"")</f>
        <v/>
      </c>
    </row>
    <row r="67">
      <c r="A67" s="8" t="inlineStr">
        <is>
          <t>Armature INF X</t>
        </is>
      </c>
      <c r="B67" s="8" t="n"/>
      <c r="C67" s="8" t="n"/>
      <c r="D67" s="9" t="n"/>
      <c r="E67" s="9" t="n"/>
      <c r="F67" s="9" t="n"/>
      <c r="G67" s="9" t="n">
        <v>1</v>
      </c>
      <c r="H67" s="9" t="n">
        <v>7</v>
      </c>
      <c r="I67" s="9" t="n">
        <v>8</v>
      </c>
      <c r="J67" s="9">
        <f>(E66-0.05)+34*I67/1000</f>
        <v/>
      </c>
      <c r="K67" s="9">
        <f>IF($I67=6,$G67*$H67*$J67,"")</f>
        <v/>
      </c>
      <c r="L67" s="9">
        <f>IF($I67=8,$G67*$H67*$J67,"")</f>
        <v/>
      </c>
      <c r="M67" s="9">
        <f>IF($I67=10,$G67*$H67*$J67,"")</f>
        <v/>
      </c>
      <c r="N67" s="9">
        <f>IF($I67=12,$G67*$H67*$J67,"")</f>
        <v/>
      </c>
      <c r="O67" s="9">
        <f>IF($I67=14,$G67*$H67*$J67,"")</f>
        <v/>
      </c>
      <c r="P67" s="9">
        <f>IF($I67=16,$G67*$H67*$J67,"")</f>
        <v/>
      </c>
      <c r="Q67" s="9">
        <f>IF($I67=20,$G67*$H67*$J67,"")</f>
        <v/>
      </c>
      <c r="R67" s="9">
        <f>IF($I67=25,$G67*$H67*$J67,"")</f>
        <v/>
      </c>
      <c r="S67" s="9">
        <f>IF($I67=32,$G67*$H67*$J67,"")</f>
        <v/>
      </c>
    </row>
    <row r="68">
      <c r="A68" s="8" t="inlineStr">
        <is>
          <t>Armature INF Y</t>
        </is>
      </c>
      <c r="B68" s="8" t="n"/>
      <c r="C68" s="8" t="n"/>
      <c r="D68" s="9" t="n"/>
      <c r="E68" s="9" t="n"/>
      <c r="F68" s="9" t="n"/>
      <c r="G68" s="9" t="n">
        <v>1</v>
      </c>
      <c r="H68" s="9" t="n">
        <v>7</v>
      </c>
      <c r="I68" s="9" t="n">
        <v>8</v>
      </c>
      <c r="J68" s="9">
        <f>(D66-0.05)+34*I68/1000</f>
        <v/>
      </c>
      <c r="K68" s="9">
        <f>IF($I68=6,$G68*$H68*$J68,"")</f>
        <v/>
      </c>
      <c r="L68" s="9">
        <f>IF($I68=8,$G68*$H68*$J68,"")</f>
        <v/>
      </c>
      <c r="M68" s="9">
        <f>IF($I68=10,$G68*$H68*$J68,"")</f>
        <v/>
      </c>
      <c r="N68" s="9">
        <f>IF($I68=12,$G68*$H68*$J68,"")</f>
        <v/>
      </c>
      <c r="O68" s="9">
        <f>IF($I68=14,$G68*$H68*$J68,"")</f>
        <v/>
      </c>
      <c r="P68" s="9">
        <f>IF($I68=16,$G68*$H68*$J68,"")</f>
        <v/>
      </c>
      <c r="Q68" s="9">
        <f>IF($I68=20,$G68*$H68*$J68,"")</f>
        <v/>
      </c>
      <c r="R68" s="9">
        <f>IF($I68=25,$G68*$H68*$J68,"")</f>
        <v/>
      </c>
      <c r="S68" s="9">
        <f>IF($I68=32,$G68*$H68*$J68,"")</f>
        <v/>
      </c>
    </row>
    <row r="69">
      <c r="A69" s="7" t="inlineStr">
        <is>
          <t>Armatures non cotées dans la table (à vérifier sur coupes)</t>
        </is>
      </c>
    </row>
    <row r="70">
      <c r="A70" s="8" t="inlineStr">
        <is>
          <t>S1_16</t>
        </is>
      </c>
      <c r="B70" s="8" t="inlineStr">
        <is>
          <t>F</t>
        </is>
      </c>
      <c r="C70" s="8" t="inlineStr">
        <is>
          <t>8</t>
        </is>
      </c>
      <c r="D70" s="9" t="n">
        <v>0.9</v>
      </c>
      <c r="E70" s="9" t="n">
        <v>0.9</v>
      </c>
      <c r="F70" s="9" t="n">
        <v>0.25</v>
      </c>
      <c r="G70" s="9" t="n"/>
      <c r="H70" s="9" t="n"/>
      <c r="I70" s="9" t="n"/>
      <c r="J70" s="9" t="n"/>
      <c r="K70" s="9">
        <f>IF($I70=6,$G70*$H70*$J70,"")</f>
        <v/>
      </c>
      <c r="L70" s="9">
        <f>IF($I70=8,$G70*$H70*$J70,"")</f>
        <v/>
      </c>
      <c r="M70" s="9">
        <f>IF($I70=10,$G70*$H70*$J70,"")</f>
        <v/>
      </c>
      <c r="N70" s="9">
        <f>IF($I70=12,$G70*$H70*$J70,"")</f>
        <v/>
      </c>
      <c r="O70" s="9">
        <f>IF($I70=14,$G70*$H70*$J70,"")</f>
        <v/>
      </c>
      <c r="P70" s="9">
        <f>IF($I70=16,$G70*$H70*$J70,"")</f>
        <v/>
      </c>
      <c r="Q70" s="9">
        <f>IF($I70=20,$G70*$H70*$J70,"")</f>
        <v/>
      </c>
      <c r="R70" s="9">
        <f>IF($I70=25,$G70*$H70*$J70,"")</f>
        <v/>
      </c>
      <c r="S70" s="9">
        <f>IF($I70=32,$G70*$H70*$J70,"")</f>
        <v/>
      </c>
    </row>
    <row r="71">
      <c r="A71" s="8" t="inlineStr">
        <is>
          <t>Armature INF X</t>
        </is>
      </c>
      <c r="B71" s="8" t="n"/>
      <c r="C71" s="8" t="n"/>
      <c r="D71" s="9" t="n"/>
      <c r="E71" s="9" t="n"/>
      <c r="F71" s="9" t="n"/>
      <c r="G71" s="9" t="n">
        <v>1</v>
      </c>
      <c r="H71" s="9" t="n">
        <v>7</v>
      </c>
      <c r="I71" s="9" t="n">
        <v>8</v>
      </c>
      <c r="J71" s="9">
        <f>(E70-0.05)+34*I71/1000</f>
        <v/>
      </c>
      <c r="K71" s="9">
        <f>IF($I71=6,$G71*$H71*$J71,"")</f>
        <v/>
      </c>
      <c r="L71" s="9">
        <f>IF($I71=8,$G71*$H71*$J71,"")</f>
        <v/>
      </c>
      <c r="M71" s="9">
        <f>IF($I71=10,$G71*$H71*$J71,"")</f>
        <v/>
      </c>
      <c r="N71" s="9">
        <f>IF($I71=12,$G71*$H71*$J71,"")</f>
        <v/>
      </c>
      <c r="O71" s="9">
        <f>IF($I71=14,$G71*$H71*$J71,"")</f>
        <v/>
      </c>
      <c r="P71" s="9">
        <f>IF($I71=16,$G71*$H71*$J71,"")</f>
        <v/>
      </c>
      <c r="Q71" s="9">
        <f>IF($I71=20,$G71*$H71*$J71,"")</f>
        <v/>
      </c>
      <c r="R71" s="9">
        <f>IF($I71=25,$G71*$H71*$J71,"")</f>
        <v/>
      </c>
      <c r="S71" s="9">
        <f>IF($I71=32,$G71*$H71*$J71,"")</f>
        <v/>
      </c>
    </row>
    <row r="72">
      <c r="A72" s="8" t="inlineStr">
        <is>
          <t>Armature INF Y</t>
        </is>
      </c>
      <c r="B72" s="8" t="n"/>
      <c r="C72" s="8" t="n"/>
      <c r="D72" s="9" t="n"/>
      <c r="E72" s="9" t="n"/>
      <c r="F72" s="9" t="n"/>
      <c r="G72" s="9" t="n">
        <v>1</v>
      </c>
      <c r="H72" s="9" t="n">
        <v>7</v>
      </c>
      <c r="I72" s="9" t="n">
        <v>8</v>
      </c>
      <c r="J72" s="9">
        <f>(D70-0.05)+34*I72/1000</f>
        <v/>
      </c>
      <c r="K72" s="9">
        <f>IF($I72=6,$G72*$H72*$J72,"")</f>
        <v/>
      </c>
      <c r="L72" s="9">
        <f>IF($I72=8,$G72*$H72*$J72,"")</f>
        <v/>
      </c>
      <c r="M72" s="9">
        <f>IF($I72=10,$G72*$H72*$J72,"")</f>
        <v/>
      </c>
      <c r="N72" s="9">
        <f>IF($I72=12,$G72*$H72*$J72,"")</f>
        <v/>
      </c>
      <c r="O72" s="9">
        <f>IF($I72=14,$G72*$H72*$J72,"")</f>
        <v/>
      </c>
      <c r="P72" s="9">
        <f>IF($I72=16,$G72*$H72*$J72,"")</f>
        <v/>
      </c>
      <c r="Q72" s="9">
        <f>IF($I72=20,$G72*$H72*$J72,"")</f>
        <v/>
      </c>
      <c r="R72" s="9">
        <f>IF($I72=25,$G72*$H72*$J72,"")</f>
        <v/>
      </c>
      <c r="S72" s="9">
        <f>IF($I72=32,$G72*$H72*$J72,"")</f>
        <v/>
      </c>
    </row>
    <row r="73">
      <c r="A73" s="7" t="inlineStr">
        <is>
          <t>Armatures non cotées dans la table (à vérifier sur coupes)</t>
        </is>
      </c>
    </row>
    <row r="74">
      <c r="A74" s="8" t="inlineStr">
        <is>
          <t>S2_2</t>
        </is>
      </c>
      <c r="B74" s="8" t="inlineStr">
        <is>
          <t>F</t>
        </is>
      </c>
      <c r="C74" s="8" t="inlineStr">
        <is>
          <t>14</t>
        </is>
      </c>
      <c r="D74" s="9" t="n">
        <v>0.9</v>
      </c>
      <c r="E74" s="9" t="n">
        <v>1.9</v>
      </c>
      <c r="F74" s="9" t="n">
        <v>0.25</v>
      </c>
      <c r="G74" s="9" t="n"/>
      <c r="H74" s="9" t="n"/>
      <c r="I74" s="9" t="n"/>
      <c r="J74" s="9" t="n"/>
      <c r="K74" s="9">
        <f>IF($I74=6,$G74*$H74*$J74,"")</f>
        <v/>
      </c>
      <c r="L74" s="9">
        <f>IF($I74=8,$G74*$H74*$J74,"")</f>
        <v/>
      </c>
      <c r="M74" s="9">
        <f>IF($I74=10,$G74*$H74*$J74,"")</f>
        <v/>
      </c>
      <c r="N74" s="9">
        <f>IF($I74=12,$G74*$H74*$J74,"")</f>
        <v/>
      </c>
      <c r="O74" s="9">
        <f>IF($I74=14,$G74*$H74*$J74,"")</f>
        <v/>
      </c>
      <c r="P74" s="9">
        <f>IF($I74=16,$G74*$H74*$J74,"")</f>
        <v/>
      </c>
      <c r="Q74" s="9">
        <f>IF($I74=20,$G74*$H74*$J74,"")</f>
        <v/>
      </c>
      <c r="R74" s="9">
        <f>IF($I74=25,$G74*$H74*$J74,"")</f>
        <v/>
      </c>
      <c r="S74" s="9">
        <f>IF($I74=32,$G74*$H74*$J74,"")</f>
        <v/>
      </c>
    </row>
    <row r="75">
      <c r="A75" s="8" t="inlineStr">
        <is>
          <t>Armature INF X</t>
        </is>
      </c>
      <c r="B75" s="8" t="n"/>
      <c r="C75" s="8" t="n"/>
      <c r="D75" s="9" t="n"/>
      <c r="E75" s="9" t="n"/>
      <c r="F75" s="9" t="n"/>
      <c r="G75" s="9" t="n">
        <v>1</v>
      </c>
      <c r="H75" s="9" t="n">
        <v>7</v>
      </c>
      <c r="I75" s="9" t="n">
        <v>8</v>
      </c>
      <c r="J75" s="9">
        <f>(E74-0.05)+34*I75/1000</f>
        <v/>
      </c>
      <c r="K75" s="9">
        <f>IF($I75=6,$G75*$H75*$J75,"")</f>
        <v/>
      </c>
      <c r="L75" s="9">
        <f>IF($I75=8,$G75*$H75*$J75,"")</f>
        <v/>
      </c>
      <c r="M75" s="9">
        <f>IF($I75=10,$G75*$H75*$J75,"")</f>
        <v/>
      </c>
      <c r="N75" s="9">
        <f>IF($I75=12,$G75*$H75*$J75,"")</f>
        <v/>
      </c>
      <c r="O75" s="9">
        <f>IF($I75=14,$G75*$H75*$J75,"")</f>
        <v/>
      </c>
      <c r="P75" s="9">
        <f>IF($I75=16,$G75*$H75*$J75,"")</f>
        <v/>
      </c>
      <c r="Q75" s="9">
        <f>IF($I75=20,$G75*$H75*$J75,"")</f>
        <v/>
      </c>
      <c r="R75" s="9">
        <f>IF($I75=25,$G75*$H75*$J75,"")</f>
        <v/>
      </c>
      <c r="S75" s="9">
        <f>IF($I75=32,$G75*$H75*$J75,"")</f>
        <v/>
      </c>
    </row>
    <row r="76">
      <c r="A76" s="8" t="inlineStr">
        <is>
          <t>Armature INF Y</t>
        </is>
      </c>
      <c r="B76" s="8" t="n"/>
      <c r="C76" s="8" t="n"/>
      <c r="D76" s="9" t="n"/>
      <c r="E76" s="9" t="n"/>
      <c r="F76" s="9" t="n"/>
      <c r="G76" s="9" t="n">
        <v>1</v>
      </c>
      <c r="H76" s="9" t="n">
        <v>14</v>
      </c>
      <c r="I76" s="9" t="n">
        <v>10</v>
      </c>
      <c r="J76" s="9">
        <f>(D74-0.05)+34*I76/1000</f>
        <v/>
      </c>
      <c r="K76" s="9">
        <f>IF($I76=6,$G76*$H76*$J76,"")</f>
        <v/>
      </c>
      <c r="L76" s="9">
        <f>IF($I76=8,$G76*$H76*$J76,"")</f>
        <v/>
      </c>
      <c r="M76" s="9">
        <f>IF($I76=10,$G76*$H76*$J76,"")</f>
        <v/>
      </c>
      <c r="N76" s="9">
        <f>IF($I76=12,$G76*$H76*$J76,"")</f>
        <v/>
      </c>
      <c r="O76" s="9">
        <f>IF($I76=14,$G76*$H76*$J76,"")</f>
        <v/>
      </c>
      <c r="P76" s="9">
        <f>IF($I76=16,$G76*$H76*$J76,"")</f>
        <v/>
      </c>
      <c r="Q76" s="9">
        <f>IF($I76=20,$G76*$H76*$J76,"")</f>
        <v/>
      </c>
      <c r="R76" s="9">
        <f>IF($I76=25,$G76*$H76*$J76,"")</f>
        <v/>
      </c>
      <c r="S76" s="9">
        <f>IF($I76=32,$G76*$H76*$J76,"")</f>
        <v/>
      </c>
    </row>
    <row r="77">
      <c r="A77" s="7" t="inlineStr">
        <is>
          <t>Armatures non cotées dans la table (à vérifier sur coupes)</t>
        </is>
      </c>
    </row>
    <row r="78">
      <c r="A78" s="8" t="inlineStr">
        <is>
          <t>S1_17</t>
        </is>
      </c>
      <c r="B78" s="8" t="inlineStr">
        <is>
          <t>F</t>
        </is>
      </c>
      <c r="C78" s="8" t="inlineStr">
        <is>
          <t>14</t>
        </is>
      </c>
      <c r="D78" s="9" t="n">
        <v>0.9</v>
      </c>
      <c r="E78" s="9" t="n">
        <v>0.9</v>
      </c>
      <c r="F78" s="9" t="n">
        <v>0.25</v>
      </c>
      <c r="G78" s="9" t="n"/>
      <c r="H78" s="9" t="n"/>
      <c r="I78" s="9" t="n"/>
      <c r="J78" s="9" t="n"/>
      <c r="K78" s="9">
        <f>IF($I78=6,$G78*$H78*$J78,"")</f>
        <v/>
      </c>
      <c r="L78" s="9">
        <f>IF($I78=8,$G78*$H78*$J78,"")</f>
        <v/>
      </c>
      <c r="M78" s="9">
        <f>IF($I78=10,$G78*$H78*$J78,"")</f>
        <v/>
      </c>
      <c r="N78" s="9">
        <f>IF($I78=12,$G78*$H78*$J78,"")</f>
        <v/>
      </c>
      <c r="O78" s="9">
        <f>IF($I78=14,$G78*$H78*$J78,"")</f>
        <v/>
      </c>
      <c r="P78" s="9">
        <f>IF($I78=16,$G78*$H78*$J78,"")</f>
        <v/>
      </c>
      <c r="Q78" s="9">
        <f>IF($I78=20,$G78*$H78*$J78,"")</f>
        <v/>
      </c>
      <c r="R78" s="9">
        <f>IF($I78=25,$G78*$H78*$J78,"")</f>
        <v/>
      </c>
      <c r="S78" s="9">
        <f>IF($I78=32,$G78*$H78*$J78,"")</f>
        <v/>
      </c>
    </row>
    <row r="79">
      <c r="A79" s="8" t="inlineStr">
        <is>
          <t>Armature INF X</t>
        </is>
      </c>
      <c r="B79" s="8" t="n"/>
      <c r="C79" s="8" t="n"/>
      <c r="D79" s="9" t="n"/>
      <c r="E79" s="9" t="n"/>
      <c r="F79" s="9" t="n"/>
      <c r="G79" s="9" t="n">
        <v>1</v>
      </c>
      <c r="H79" s="9" t="n">
        <v>7</v>
      </c>
      <c r="I79" s="9" t="n">
        <v>8</v>
      </c>
      <c r="J79" s="9">
        <f>(E78-0.05)+34*I79/1000</f>
        <v/>
      </c>
      <c r="K79" s="9">
        <f>IF($I79=6,$G79*$H79*$J79,"")</f>
        <v/>
      </c>
      <c r="L79" s="9">
        <f>IF($I79=8,$G79*$H79*$J79,"")</f>
        <v/>
      </c>
      <c r="M79" s="9">
        <f>IF($I79=10,$G79*$H79*$J79,"")</f>
        <v/>
      </c>
      <c r="N79" s="9">
        <f>IF($I79=12,$G79*$H79*$J79,"")</f>
        <v/>
      </c>
      <c r="O79" s="9">
        <f>IF($I79=14,$G79*$H79*$J79,"")</f>
        <v/>
      </c>
      <c r="P79" s="9">
        <f>IF($I79=16,$G79*$H79*$J79,"")</f>
        <v/>
      </c>
      <c r="Q79" s="9">
        <f>IF($I79=20,$G79*$H79*$J79,"")</f>
        <v/>
      </c>
      <c r="R79" s="9">
        <f>IF($I79=25,$G79*$H79*$J79,"")</f>
        <v/>
      </c>
      <c r="S79" s="9">
        <f>IF($I79=32,$G79*$H79*$J79,"")</f>
        <v/>
      </c>
    </row>
    <row r="80">
      <c r="A80" s="8" t="inlineStr">
        <is>
          <t>Armature INF Y</t>
        </is>
      </c>
      <c r="B80" s="8" t="n"/>
      <c r="C80" s="8" t="n"/>
      <c r="D80" s="9" t="n"/>
      <c r="E80" s="9" t="n"/>
      <c r="F80" s="9" t="n"/>
      <c r="G80" s="9" t="n">
        <v>1</v>
      </c>
      <c r="H80" s="9" t="n">
        <v>7</v>
      </c>
      <c r="I80" s="9" t="n">
        <v>8</v>
      </c>
      <c r="J80" s="9">
        <f>(D78-0.05)+34*I80/1000</f>
        <v/>
      </c>
      <c r="K80" s="9">
        <f>IF($I80=6,$G80*$H80*$J80,"")</f>
        <v/>
      </c>
      <c r="L80" s="9">
        <f>IF($I80=8,$G80*$H80*$J80,"")</f>
        <v/>
      </c>
      <c r="M80" s="9">
        <f>IF($I80=10,$G80*$H80*$J80,"")</f>
        <v/>
      </c>
      <c r="N80" s="9">
        <f>IF($I80=12,$G80*$H80*$J80,"")</f>
        <v/>
      </c>
      <c r="O80" s="9">
        <f>IF($I80=14,$G80*$H80*$J80,"")</f>
        <v/>
      </c>
      <c r="P80" s="9">
        <f>IF($I80=16,$G80*$H80*$J80,"")</f>
        <v/>
      </c>
      <c r="Q80" s="9">
        <f>IF($I80=20,$G80*$H80*$J80,"")</f>
        <v/>
      </c>
      <c r="R80" s="9">
        <f>IF($I80=25,$G80*$H80*$J80,"")</f>
        <v/>
      </c>
      <c r="S80" s="9">
        <f>IF($I80=32,$G80*$H80*$J80,"")</f>
        <v/>
      </c>
    </row>
    <row r="81">
      <c r="A81" s="7" t="inlineStr">
        <is>
          <t>Armatures non cotées dans la table (à vérifier sur coupes)</t>
        </is>
      </c>
    </row>
    <row r="82">
      <c r="A82" s="8" t="inlineStr">
        <is>
          <t>S1_18</t>
        </is>
      </c>
      <c r="B82" s="8" t="inlineStr">
        <is>
          <t>F</t>
        </is>
      </c>
      <c r="C82" s="8" t="inlineStr">
        <is>
          <t>11</t>
        </is>
      </c>
      <c r="D82" s="9" t="n">
        <v>0.9</v>
      </c>
      <c r="E82" s="9" t="n">
        <v>0.9</v>
      </c>
      <c r="F82" s="9" t="n">
        <v>0.25</v>
      </c>
      <c r="G82" s="9" t="n"/>
      <c r="H82" s="9" t="n"/>
      <c r="I82" s="9" t="n"/>
      <c r="J82" s="9" t="n"/>
      <c r="K82" s="9">
        <f>IF($I82=6,$G82*$H82*$J82,"")</f>
        <v/>
      </c>
      <c r="L82" s="9">
        <f>IF($I82=8,$G82*$H82*$J82,"")</f>
        <v/>
      </c>
      <c r="M82" s="9">
        <f>IF($I82=10,$G82*$H82*$J82,"")</f>
        <v/>
      </c>
      <c r="N82" s="9">
        <f>IF($I82=12,$G82*$H82*$J82,"")</f>
        <v/>
      </c>
      <c r="O82" s="9">
        <f>IF($I82=14,$G82*$H82*$J82,"")</f>
        <v/>
      </c>
      <c r="P82" s="9">
        <f>IF($I82=16,$G82*$H82*$J82,"")</f>
        <v/>
      </c>
      <c r="Q82" s="9">
        <f>IF($I82=20,$G82*$H82*$J82,"")</f>
        <v/>
      </c>
      <c r="R82" s="9">
        <f>IF($I82=25,$G82*$H82*$J82,"")</f>
        <v/>
      </c>
      <c r="S82" s="9">
        <f>IF($I82=32,$G82*$H82*$J82,"")</f>
        <v/>
      </c>
    </row>
    <row r="83">
      <c r="A83" s="8" t="inlineStr">
        <is>
          <t>Armature INF X</t>
        </is>
      </c>
      <c r="B83" s="8" t="n"/>
      <c r="C83" s="8" t="n"/>
      <c r="D83" s="9" t="n"/>
      <c r="E83" s="9" t="n"/>
      <c r="F83" s="9" t="n"/>
      <c r="G83" s="9" t="n">
        <v>1</v>
      </c>
      <c r="H83" s="9" t="n">
        <v>7</v>
      </c>
      <c r="I83" s="9" t="n">
        <v>8</v>
      </c>
      <c r="J83" s="9">
        <f>(E82-0.05)+34*I83/1000</f>
        <v/>
      </c>
      <c r="K83" s="9">
        <f>IF($I83=6,$G83*$H83*$J83,"")</f>
        <v/>
      </c>
      <c r="L83" s="9">
        <f>IF($I83=8,$G83*$H83*$J83,"")</f>
        <v/>
      </c>
      <c r="M83" s="9">
        <f>IF($I83=10,$G83*$H83*$J83,"")</f>
        <v/>
      </c>
      <c r="N83" s="9">
        <f>IF($I83=12,$G83*$H83*$J83,"")</f>
        <v/>
      </c>
      <c r="O83" s="9">
        <f>IF($I83=14,$G83*$H83*$J83,"")</f>
        <v/>
      </c>
      <c r="P83" s="9">
        <f>IF($I83=16,$G83*$H83*$J83,"")</f>
        <v/>
      </c>
      <c r="Q83" s="9">
        <f>IF($I83=20,$G83*$H83*$J83,"")</f>
        <v/>
      </c>
      <c r="R83" s="9">
        <f>IF($I83=25,$G83*$H83*$J83,"")</f>
        <v/>
      </c>
      <c r="S83" s="9">
        <f>IF($I83=32,$G83*$H83*$J83,"")</f>
        <v/>
      </c>
    </row>
    <row r="84">
      <c r="A84" s="8" t="inlineStr">
        <is>
          <t>Armature INF Y</t>
        </is>
      </c>
      <c r="B84" s="8" t="n"/>
      <c r="C84" s="8" t="n"/>
      <c r="D84" s="9" t="n"/>
      <c r="E84" s="9" t="n"/>
      <c r="F84" s="9" t="n"/>
      <c r="G84" s="9" t="n">
        <v>1</v>
      </c>
      <c r="H84" s="9" t="n">
        <v>7</v>
      </c>
      <c r="I84" s="9" t="n">
        <v>8</v>
      </c>
      <c r="J84" s="9">
        <f>(D82-0.05)+34*I84/1000</f>
        <v/>
      </c>
      <c r="K84" s="9">
        <f>IF($I84=6,$G84*$H84*$J84,"")</f>
        <v/>
      </c>
      <c r="L84" s="9">
        <f>IF($I84=8,$G84*$H84*$J84,"")</f>
        <v/>
      </c>
      <c r="M84" s="9">
        <f>IF($I84=10,$G84*$H84*$J84,"")</f>
        <v/>
      </c>
      <c r="N84" s="9">
        <f>IF($I84=12,$G84*$H84*$J84,"")</f>
        <v/>
      </c>
      <c r="O84" s="9">
        <f>IF($I84=14,$G84*$H84*$J84,"")</f>
        <v/>
      </c>
      <c r="P84" s="9">
        <f>IF($I84=16,$G84*$H84*$J84,"")</f>
        <v/>
      </c>
      <c r="Q84" s="9">
        <f>IF($I84=20,$G84*$H84*$J84,"")</f>
        <v/>
      </c>
      <c r="R84" s="9">
        <f>IF($I84=25,$G84*$H84*$J84,"")</f>
        <v/>
      </c>
      <c r="S84" s="9">
        <f>IF($I84=32,$G84*$H84*$J84,"")</f>
        <v/>
      </c>
    </row>
    <row r="85">
      <c r="A85" s="7" t="inlineStr">
        <is>
          <t>Armatures non cotées dans la table (à vérifier sur coupes)</t>
        </is>
      </c>
    </row>
    <row r="86">
      <c r="A86" s="8" t="inlineStr">
        <is>
          <t>S1_19</t>
        </is>
      </c>
      <c r="B86" s="8" t="inlineStr">
        <is>
          <t>F</t>
        </is>
      </c>
      <c r="C86" s="8" t="inlineStr">
        <is>
          <t>10</t>
        </is>
      </c>
      <c r="D86" s="9" t="n">
        <v>0.9</v>
      </c>
      <c r="E86" s="9" t="n">
        <v>0.9</v>
      </c>
      <c r="F86" s="9" t="n">
        <v>0.25</v>
      </c>
      <c r="G86" s="9" t="n"/>
      <c r="H86" s="9" t="n"/>
      <c r="I86" s="9" t="n"/>
      <c r="J86" s="9" t="n"/>
      <c r="K86" s="9">
        <f>IF($I86=6,$G86*$H86*$J86,"")</f>
        <v/>
      </c>
      <c r="L86" s="9">
        <f>IF($I86=8,$G86*$H86*$J86,"")</f>
        <v/>
      </c>
      <c r="M86" s="9">
        <f>IF($I86=10,$G86*$H86*$J86,"")</f>
        <v/>
      </c>
      <c r="N86" s="9">
        <f>IF($I86=12,$G86*$H86*$J86,"")</f>
        <v/>
      </c>
      <c r="O86" s="9">
        <f>IF($I86=14,$G86*$H86*$J86,"")</f>
        <v/>
      </c>
      <c r="P86" s="9">
        <f>IF($I86=16,$G86*$H86*$J86,"")</f>
        <v/>
      </c>
      <c r="Q86" s="9">
        <f>IF($I86=20,$G86*$H86*$J86,"")</f>
        <v/>
      </c>
      <c r="R86" s="9">
        <f>IF($I86=25,$G86*$H86*$J86,"")</f>
        <v/>
      </c>
      <c r="S86" s="9">
        <f>IF($I86=32,$G86*$H86*$J86,"")</f>
        <v/>
      </c>
    </row>
    <row r="87">
      <c r="A87" s="8" t="inlineStr">
        <is>
          <t>Armature INF X</t>
        </is>
      </c>
      <c r="B87" s="8" t="n"/>
      <c r="C87" s="8" t="n"/>
      <c r="D87" s="9" t="n"/>
      <c r="E87" s="9" t="n"/>
      <c r="F87" s="9" t="n"/>
      <c r="G87" s="9" t="n">
        <v>1</v>
      </c>
      <c r="H87" s="9" t="n">
        <v>7</v>
      </c>
      <c r="I87" s="9" t="n">
        <v>8</v>
      </c>
      <c r="J87" s="9">
        <f>(E86-0.05)+34*I87/1000</f>
        <v/>
      </c>
      <c r="K87" s="9">
        <f>IF($I87=6,$G87*$H87*$J87,"")</f>
        <v/>
      </c>
      <c r="L87" s="9">
        <f>IF($I87=8,$G87*$H87*$J87,"")</f>
        <v/>
      </c>
      <c r="M87" s="9">
        <f>IF($I87=10,$G87*$H87*$J87,"")</f>
        <v/>
      </c>
      <c r="N87" s="9">
        <f>IF($I87=12,$G87*$H87*$J87,"")</f>
        <v/>
      </c>
      <c r="O87" s="9">
        <f>IF($I87=14,$G87*$H87*$J87,"")</f>
        <v/>
      </c>
      <c r="P87" s="9">
        <f>IF($I87=16,$G87*$H87*$J87,"")</f>
        <v/>
      </c>
      <c r="Q87" s="9">
        <f>IF($I87=20,$G87*$H87*$J87,"")</f>
        <v/>
      </c>
      <c r="R87" s="9">
        <f>IF($I87=25,$G87*$H87*$J87,"")</f>
        <v/>
      </c>
      <c r="S87" s="9">
        <f>IF($I87=32,$G87*$H87*$J87,"")</f>
        <v/>
      </c>
    </row>
    <row r="88">
      <c r="A88" s="8" t="inlineStr">
        <is>
          <t>Armature INF Y</t>
        </is>
      </c>
      <c r="B88" s="8" t="n"/>
      <c r="C88" s="8" t="n"/>
      <c r="D88" s="9" t="n"/>
      <c r="E88" s="9" t="n"/>
      <c r="F88" s="9" t="n"/>
      <c r="G88" s="9" t="n">
        <v>1</v>
      </c>
      <c r="H88" s="9" t="n">
        <v>7</v>
      </c>
      <c r="I88" s="9" t="n">
        <v>8</v>
      </c>
      <c r="J88" s="9">
        <f>(D86-0.05)+34*I88/1000</f>
        <v/>
      </c>
      <c r="K88" s="9">
        <f>IF($I88=6,$G88*$H88*$J88,"")</f>
        <v/>
      </c>
      <c r="L88" s="9">
        <f>IF($I88=8,$G88*$H88*$J88,"")</f>
        <v/>
      </c>
      <c r="M88" s="9">
        <f>IF($I88=10,$G88*$H88*$J88,"")</f>
        <v/>
      </c>
      <c r="N88" s="9">
        <f>IF($I88=12,$G88*$H88*$J88,"")</f>
        <v/>
      </c>
      <c r="O88" s="9">
        <f>IF($I88=14,$G88*$H88*$J88,"")</f>
        <v/>
      </c>
      <c r="P88" s="9">
        <f>IF($I88=16,$G88*$H88*$J88,"")</f>
        <v/>
      </c>
      <c r="Q88" s="9">
        <f>IF($I88=20,$G88*$H88*$J88,"")</f>
        <v/>
      </c>
      <c r="R88" s="9">
        <f>IF($I88=25,$G88*$H88*$J88,"")</f>
        <v/>
      </c>
      <c r="S88" s="9">
        <f>IF($I88=32,$G88*$H88*$J88,"")</f>
        <v/>
      </c>
    </row>
    <row r="89">
      <c r="A89" s="7" t="inlineStr">
        <is>
          <t>Armatures non cotées dans la table (à vérifier sur coupes)</t>
        </is>
      </c>
    </row>
    <row r="90">
      <c r="A90" s="8" t="inlineStr">
        <is>
          <t>S1_20</t>
        </is>
      </c>
      <c r="B90" s="8" t="inlineStr">
        <is>
          <t>F</t>
        </is>
      </c>
      <c r="C90" s="8" t="inlineStr">
        <is>
          <t>9</t>
        </is>
      </c>
      <c r="D90" s="9" t="n">
        <v>0.9</v>
      </c>
      <c r="E90" s="9" t="n">
        <v>0.9</v>
      </c>
      <c r="F90" s="9" t="n">
        <v>0.25</v>
      </c>
      <c r="G90" s="9" t="n"/>
      <c r="H90" s="9" t="n"/>
      <c r="I90" s="9" t="n"/>
      <c r="J90" s="9" t="n"/>
      <c r="K90" s="9">
        <f>IF($I90=6,$G90*$H90*$J90,"")</f>
        <v/>
      </c>
      <c r="L90" s="9">
        <f>IF($I90=8,$G90*$H90*$J90,"")</f>
        <v/>
      </c>
      <c r="M90" s="9">
        <f>IF($I90=10,$G90*$H90*$J90,"")</f>
        <v/>
      </c>
      <c r="N90" s="9">
        <f>IF($I90=12,$G90*$H90*$J90,"")</f>
        <v/>
      </c>
      <c r="O90" s="9">
        <f>IF($I90=14,$G90*$H90*$J90,"")</f>
        <v/>
      </c>
      <c r="P90" s="9">
        <f>IF($I90=16,$G90*$H90*$J90,"")</f>
        <v/>
      </c>
      <c r="Q90" s="9">
        <f>IF($I90=20,$G90*$H90*$J90,"")</f>
        <v/>
      </c>
      <c r="R90" s="9">
        <f>IF($I90=25,$G90*$H90*$J90,"")</f>
        <v/>
      </c>
      <c r="S90" s="9">
        <f>IF($I90=32,$G90*$H90*$J90,"")</f>
        <v/>
      </c>
    </row>
    <row r="91">
      <c r="A91" s="8" t="inlineStr">
        <is>
          <t>Armature INF X</t>
        </is>
      </c>
      <c r="B91" s="8" t="n"/>
      <c r="C91" s="8" t="n"/>
      <c r="D91" s="9" t="n"/>
      <c r="E91" s="9" t="n"/>
      <c r="F91" s="9" t="n"/>
      <c r="G91" s="9" t="n">
        <v>1</v>
      </c>
      <c r="H91" s="9" t="n">
        <v>7</v>
      </c>
      <c r="I91" s="9" t="n">
        <v>8</v>
      </c>
      <c r="J91" s="9">
        <f>(E90-0.05)+34*I91/1000</f>
        <v/>
      </c>
      <c r="K91" s="9">
        <f>IF($I91=6,$G91*$H91*$J91,"")</f>
        <v/>
      </c>
      <c r="L91" s="9">
        <f>IF($I91=8,$G91*$H91*$J91,"")</f>
        <v/>
      </c>
      <c r="M91" s="9">
        <f>IF($I91=10,$G91*$H91*$J91,"")</f>
        <v/>
      </c>
      <c r="N91" s="9">
        <f>IF($I91=12,$G91*$H91*$J91,"")</f>
        <v/>
      </c>
      <c r="O91" s="9">
        <f>IF($I91=14,$G91*$H91*$J91,"")</f>
        <v/>
      </c>
      <c r="P91" s="9">
        <f>IF($I91=16,$G91*$H91*$J91,"")</f>
        <v/>
      </c>
      <c r="Q91" s="9">
        <f>IF($I91=20,$G91*$H91*$J91,"")</f>
        <v/>
      </c>
      <c r="R91" s="9">
        <f>IF($I91=25,$G91*$H91*$J91,"")</f>
        <v/>
      </c>
      <c r="S91" s="9">
        <f>IF($I91=32,$G91*$H91*$J91,"")</f>
        <v/>
      </c>
    </row>
    <row r="92">
      <c r="A92" s="8" t="inlineStr">
        <is>
          <t>Armature INF Y</t>
        </is>
      </c>
      <c r="B92" s="8" t="n"/>
      <c r="C92" s="8" t="n"/>
      <c r="D92" s="9" t="n"/>
      <c r="E92" s="9" t="n"/>
      <c r="F92" s="9" t="n"/>
      <c r="G92" s="9" t="n">
        <v>1</v>
      </c>
      <c r="H92" s="9" t="n">
        <v>7</v>
      </c>
      <c r="I92" s="9" t="n">
        <v>8</v>
      </c>
      <c r="J92" s="9">
        <f>(D90-0.05)+34*I92/1000</f>
        <v/>
      </c>
      <c r="K92" s="9">
        <f>IF($I92=6,$G92*$H92*$J92,"")</f>
        <v/>
      </c>
      <c r="L92" s="9">
        <f>IF($I92=8,$G92*$H92*$J92,"")</f>
        <v/>
      </c>
      <c r="M92" s="9">
        <f>IF($I92=10,$G92*$H92*$J92,"")</f>
        <v/>
      </c>
      <c r="N92" s="9">
        <f>IF($I92=12,$G92*$H92*$J92,"")</f>
        <v/>
      </c>
      <c r="O92" s="9">
        <f>IF($I92=14,$G92*$H92*$J92,"")</f>
        <v/>
      </c>
      <c r="P92" s="9">
        <f>IF($I92=16,$G92*$H92*$J92,"")</f>
        <v/>
      </c>
      <c r="Q92" s="9">
        <f>IF($I92=20,$G92*$H92*$J92,"")</f>
        <v/>
      </c>
      <c r="R92" s="9">
        <f>IF($I92=25,$G92*$H92*$J92,"")</f>
        <v/>
      </c>
      <c r="S92" s="9">
        <f>IF($I92=32,$G92*$H92*$J92,"")</f>
        <v/>
      </c>
    </row>
    <row r="93">
      <c r="A93" s="7" t="inlineStr">
        <is>
          <t>Armatures non cotées dans la table (à vérifier sur coupes)</t>
        </is>
      </c>
    </row>
    <row r="94">
      <c r="A94" s="8" t="inlineStr">
        <is>
          <t>S1_21</t>
        </is>
      </c>
      <c r="B94" s="8" t="inlineStr">
        <is>
          <t>L</t>
        </is>
      </c>
      <c r="C94" s="8" t="inlineStr">
        <is>
          <t>7</t>
        </is>
      </c>
      <c r="D94" s="9" t="n">
        <v>0.9</v>
      </c>
      <c r="E94" s="9" t="n">
        <v>0.9</v>
      </c>
      <c r="F94" s="9" t="n">
        <v>0.25</v>
      </c>
      <c r="G94" s="9" t="n"/>
      <c r="H94" s="9" t="n"/>
      <c r="I94" s="9" t="n"/>
      <c r="J94" s="9" t="n"/>
      <c r="K94" s="9">
        <f>IF($I94=6,$G94*$H94*$J94,"")</f>
        <v/>
      </c>
      <c r="L94" s="9">
        <f>IF($I94=8,$G94*$H94*$J94,"")</f>
        <v/>
      </c>
      <c r="M94" s="9">
        <f>IF($I94=10,$G94*$H94*$J94,"")</f>
        <v/>
      </c>
      <c r="N94" s="9">
        <f>IF($I94=12,$G94*$H94*$J94,"")</f>
        <v/>
      </c>
      <c r="O94" s="9">
        <f>IF($I94=14,$G94*$H94*$J94,"")</f>
        <v/>
      </c>
      <c r="P94" s="9">
        <f>IF($I94=16,$G94*$H94*$J94,"")</f>
        <v/>
      </c>
      <c r="Q94" s="9">
        <f>IF($I94=20,$G94*$H94*$J94,"")</f>
        <v/>
      </c>
      <c r="R94" s="9">
        <f>IF($I94=25,$G94*$H94*$J94,"")</f>
        <v/>
      </c>
      <c r="S94" s="9">
        <f>IF($I94=32,$G94*$H94*$J94,"")</f>
        <v/>
      </c>
    </row>
    <row r="95">
      <c r="A95" s="8" t="inlineStr">
        <is>
          <t>Armature INF X</t>
        </is>
      </c>
      <c r="B95" s="8" t="n"/>
      <c r="C95" s="8" t="n"/>
      <c r="D95" s="9" t="n"/>
      <c r="E95" s="9" t="n"/>
      <c r="F95" s="9" t="n"/>
      <c r="G95" s="9" t="n">
        <v>1</v>
      </c>
      <c r="H95" s="9" t="n">
        <v>7</v>
      </c>
      <c r="I95" s="9" t="n">
        <v>8</v>
      </c>
      <c r="J95" s="9">
        <f>(E94-0.05)+34*I95/1000</f>
        <v/>
      </c>
      <c r="K95" s="9">
        <f>IF($I95=6,$G95*$H95*$J95,"")</f>
        <v/>
      </c>
      <c r="L95" s="9">
        <f>IF($I95=8,$G95*$H95*$J95,"")</f>
        <v/>
      </c>
      <c r="M95" s="9">
        <f>IF($I95=10,$G95*$H95*$J95,"")</f>
        <v/>
      </c>
      <c r="N95" s="9">
        <f>IF($I95=12,$G95*$H95*$J95,"")</f>
        <v/>
      </c>
      <c r="O95" s="9">
        <f>IF($I95=14,$G95*$H95*$J95,"")</f>
        <v/>
      </c>
      <c r="P95" s="9">
        <f>IF($I95=16,$G95*$H95*$J95,"")</f>
        <v/>
      </c>
      <c r="Q95" s="9">
        <f>IF($I95=20,$G95*$H95*$J95,"")</f>
        <v/>
      </c>
      <c r="R95" s="9">
        <f>IF($I95=25,$G95*$H95*$J95,"")</f>
        <v/>
      </c>
      <c r="S95" s="9">
        <f>IF($I95=32,$G95*$H95*$J95,"")</f>
        <v/>
      </c>
    </row>
    <row r="96">
      <c r="A96" s="8" t="inlineStr">
        <is>
          <t>Armature INF Y</t>
        </is>
      </c>
      <c r="B96" s="8" t="n"/>
      <c r="C96" s="8" t="n"/>
      <c r="D96" s="9" t="n"/>
      <c r="E96" s="9" t="n"/>
      <c r="F96" s="9" t="n"/>
      <c r="G96" s="9" t="n">
        <v>1</v>
      </c>
      <c r="H96" s="9" t="n">
        <v>7</v>
      </c>
      <c r="I96" s="9" t="n">
        <v>8</v>
      </c>
      <c r="J96" s="9">
        <f>(D94-0.05)+34*I96/1000</f>
        <v/>
      </c>
      <c r="K96" s="9">
        <f>IF($I96=6,$G96*$H96*$J96,"")</f>
        <v/>
      </c>
      <c r="L96" s="9">
        <f>IF($I96=8,$G96*$H96*$J96,"")</f>
        <v/>
      </c>
      <c r="M96" s="9">
        <f>IF($I96=10,$G96*$H96*$J96,"")</f>
        <v/>
      </c>
      <c r="N96" s="9">
        <f>IF($I96=12,$G96*$H96*$J96,"")</f>
        <v/>
      </c>
      <c r="O96" s="9">
        <f>IF($I96=14,$G96*$H96*$J96,"")</f>
        <v/>
      </c>
      <c r="P96" s="9">
        <f>IF($I96=16,$G96*$H96*$J96,"")</f>
        <v/>
      </c>
      <c r="Q96" s="9">
        <f>IF($I96=20,$G96*$H96*$J96,"")</f>
        <v/>
      </c>
      <c r="R96" s="9">
        <f>IF($I96=25,$G96*$H96*$J96,"")</f>
        <v/>
      </c>
      <c r="S96" s="9">
        <f>IF($I96=32,$G96*$H96*$J96,"")</f>
        <v/>
      </c>
    </row>
    <row r="97">
      <c r="A97" s="7" t="inlineStr">
        <is>
          <t>Armatures non cotées dans la table (à vérifier sur coupes)</t>
        </is>
      </c>
    </row>
    <row r="98">
      <c r="A98" s="8" t="inlineStr">
        <is>
          <t>S1_22</t>
        </is>
      </c>
      <c r="B98" s="8" t="inlineStr">
        <is>
          <t>T</t>
        </is>
      </c>
      <c r="C98" s="8" t="inlineStr">
        <is>
          <t>7</t>
        </is>
      </c>
      <c r="D98" s="9" t="n">
        <v>0.9</v>
      </c>
      <c r="E98" s="9" t="n">
        <v>0.9</v>
      </c>
      <c r="F98" s="9" t="n">
        <v>0.25</v>
      </c>
      <c r="G98" s="9" t="n"/>
      <c r="H98" s="9" t="n"/>
      <c r="I98" s="9" t="n"/>
      <c r="J98" s="9" t="n"/>
      <c r="K98" s="9">
        <f>IF($I98=6,$G98*$H98*$J98,"")</f>
        <v/>
      </c>
      <c r="L98" s="9">
        <f>IF($I98=8,$G98*$H98*$J98,"")</f>
        <v/>
      </c>
      <c r="M98" s="9">
        <f>IF($I98=10,$G98*$H98*$J98,"")</f>
        <v/>
      </c>
      <c r="N98" s="9">
        <f>IF($I98=12,$G98*$H98*$J98,"")</f>
        <v/>
      </c>
      <c r="O98" s="9">
        <f>IF($I98=14,$G98*$H98*$J98,"")</f>
        <v/>
      </c>
      <c r="P98" s="9">
        <f>IF($I98=16,$G98*$H98*$J98,"")</f>
        <v/>
      </c>
      <c r="Q98" s="9">
        <f>IF($I98=20,$G98*$H98*$J98,"")</f>
        <v/>
      </c>
      <c r="R98" s="9">
        <f>IF($I98=25,$G98*$H98*$J98,"")</f>
        <v/>
      </c>
      <c r="S98" s="9">
        <f>IF($I98=32,$G98*$H98*$J98,"")</f>
        <v/>
      </c>
    </row>
    <row r="99">
      <c r="A99" s="8" t="inlineStr">
        <is>
          <t>Armature INF X</t>
        </is>
      </c>
      <c r="B99" s="8" t="n"/>
      <c r="C99" s="8" t="n"/>
      <c r="D99" s="9" t="n"/>
      <c r="E99" s="9" t="n"/>
      <c r="F99" s="9" t="n"/>
      <c r="G99" s="9" t="n">
        <v>1</v>
      </c>
      <c r="H99" s="9" t="n">
        <v>7</v>
      </c>
      <c r="I99" s="9" t="n">
        <v>8</v>
      </c>
      <c r="J99" s="9">
        <f>(E98-0.05)+34*I99/1000</f>
        <v/>
      </c>
      <c r="K99" s="9">
        <f>IF($I99=6,$G99*$H99*$J99,"")</f>
        <v/>
      </c>
      <c r="L99" s="9">
        <f>IF($I99=8,$G99*$H99*$J99,"")</f>
        <v/>
      </c>
      <c r="M99" s="9">
        <f>IF($I99=10,$G99*$H99*$J99,"")</f>
        <v/>
      </c>
      <c r="N99" s="9">
        <f>IF($I99=12,$G99*$H99*$J99,"")</f>
        <v/>
      </c>
      <c r="O99" s="9">
        <f>IF($I99=14,$G99*$H99*$J99,"")</f>
        <v/>
      </c>
      <c r="P99" s="9">
        <f>IF($I99=16,$G99*$H99*$J99,"")</f>
        <v/>
      </c>
      <c r="Q99" s="9">
        <f>IF($I99=20,$G99*$H99*$J99,"")</f>
        <v/>
      </c>
      <c r="R99" s="9">
        <f>IF($I99=25,$G99*$H99*$J99,"")</f>
        <v/>
      </c>
      <c r="S99" s="9">
        <f>IF($I99=32,$G99*$H99*$J99,"")</f>
        <v/>
      </c>
    </row>
    <row r="100">
      <c r="A100" s="8" t="inlineStr">
        <is>
          <t>Armature INF Y</t>
        </is>
      </c>
      <c r="B100" s="8" t="n"/>
      <c r="C100" s="8" t="n"/>
      <c r="D100" s="9" t="n"/>
      <c r="E100" s="9" t="n"/>
      <c r="F100" s="9" t="n"/>
      <c r="G100" s="9" t="n">
        <v>1</v>
      </c>
      <c r="H100" s="9" t="n">
        <v>7</v>
      </c>
      <c r="I100" s="9" t="n">
        <v>8</v>
      </c>
      <c r="J100" s="9">
        <f>(D98-0.05)+34*I100/1000</f>
        <v/>
      </c>
      <c r="K100" s="9">
        <f>IF($I100=6,$G100*$H100*$J100,"")</f>
        <v/>
      </c>
      <c r="L100" s="9">
        <f>IF($I100=8,$G100*$H100*$J100,"")</f>
        <v/>
      </c>
      <c r="M100" s="9">
        <f>IF($I100=10,$G100*$H100*$J100,"")</f>
        <v/>
      </c>
      <c r="N100" s="9">
        <f>IF($I100=12,$G100*$H100*$J100,"")</f>
        <v/>
      </c>
      <c r="O100" s="9">
        <f>IF($I100=14,$G100*$H100*$J100,"")</f>
        <v/>
      </c>
      <c r="P100" s="9">
        <f>IF($I100=16,$G100*$H100*$J100,"")</f>
        <v/>
      </c>
      <c r="Q100" s="9">
        <f>IF($I100=20,$G100*$H100*$J100,"")</f>
        <v/>
      </c>
      <c r="R100" s="9">
        <f>IF($I100=25,$G100*$H100*$J100,"")</f>
        <v/>
      </c>
      <c r="S100" s="9">
        <f>IF($I100=32,$G100*$H100*$J100,"")</f>
        <v/>
      </c>
    </row>
    <row r="101">
      <c r="A101" s="7" t="inlineStr">
        <is>
          <t>Armatures non cotées dans la table (à vérifier sur coupes)</t>
        </is>
      </c>
    </row>
    <row r="102">
      <c r="A102" s="8" t="inlineStr">
        <is>
          <t>S1_23</t>
        </is>
      </c>
      <c r="B102" s="8" t="inlineStr">
        <is>
          <t>P</t>
        </is>
      </c>
      <c r="C102" s="8" t="inlineStr">
        <is>
          <t>8</t>
        </is>
      </c>
      <c r="D102" s="9" t="n">
        <v>0.9</v>
      </c>
      <c r="E102" s="9" t="n">
        <v>0.9</v>
      </c>
      <c r="F102" s="9" t="n">
        <v>0.25</v>
      </c>
      <c r="G102" s="9" t="n"/>
      <c r="H102" s="9" t="n"/>
      <c r="I102" s="9" t="n"/>
      <c r="J102" s="9" t="n"/>
      <c r="K102" s="9">
        <f>IF($I102=6,$G102*$H102*$J102,"")</f>
        <v/>
      </c>
      <c r="L102" s="9">
        <f>IF($I102=8,$G102*$H102*$J102,"")</f>
        <v/>
      </c>
      <c r="M102" s="9">
        <f>IF($I102=10,$G102*$H102*$J102,"")</f>
        <v/>
      </c>
      <c r="N102" s="9">
        <f>IF($I102=12,$G102*$H102*$J102,"")</f>
        <v/>
      </c>
      <c r="O102" s="9">
        <f>IF($I102=14,$G102*$H102*$J102,"")</f>
        <v/>
      </c>
      <c r="P102" s="9">
        <f>IF($I102=16,$G102*$H102*$J102,"")</f>
        <v/>
      </c>
      <c r="Q102" s="9">
        <f>IF($I102=20,$G102*$H102*$J102,"")</f>
        <v/>
      </c>
      <c r="R102" s="9">
        <f>IF($I102=25,$G102*$H102*$J102,"")</f>
        <v/>
      </c>
      <c r="S102" s="9">
        <f>IF($I102=32,$G102*$H102*$J102,"")</f>
        <v/>
      </c>
    </row>
    <row r="103">
      <c r="A103" s="8" t="inlineStr">
        <is>
          <t>Armature INF X</t>
        </is>
      </c>
      <c r="B103" s="8" t="n"/>
      <c r="C103" s="8" t="n"/>
      <c r="D103" s="9" t="n"/>
      <c r="E103" s="9" t="n"/>
      <c r="F103" s="9" t="n"/>
      <c r="G103" s="9" t="n">
        <v>1</v>
      </c>
      <c r="H103" s="9" t="n">
        <v>7</v>
      </c>
      <c r="I103" s="9" t="n">
        <v>8</v>
      </c>
      <c r="J103" s="9">
        <f>(E102-0.05)+34*I103/1000</f>
        <v/>
      </c>
      <c r="K103" s="9">
        <f>IF($I103=6,$G103*$H103*$J103,"")</f>
        <v/>
      </c>
      <c r="L103" s="9">
        <f>IF($I103=8,$G103*$H103*$J103,"")</f>
        <v/>
      </c>
      <c r="M103" s="9">
        <f>IF($I103=10,$G103*$H103*$J103,"")</f>
        <v/>
      </c>
      <c r="N103" s="9">
        <f>IF($I103=12,$G103*$H103*$J103,"")</f>
        <v/>
      </c>
      <c r="O103" s="9">
        <f>IF($I103=14,$G103*$H103*$J103,"")</f>
        <v/>
      </c>
      <c r="P103" s="9">
        <f>IF($I103=16,$G103*$H103*$J103,"")</f>
        <v/>
      </c>
      <c r="Q103" s="9">
        <f>IF($I103=20,$G103*$H103*$J103,"")</f>
        <v/>
      </c>
      <c r="R103" s="9">
        <f>IF($I103=25,$G103*$H103*$J103,"")</f>
        <v/>
      </c>
      <c r="S103" s="9">
        <f>IF($I103=32,$G103*$H103*$J103,"")</f>
        <v/>
      </c>
    </row>
    <row r="104">
      <c r="A104" s="8" t="inlineStr">
        <is>
          <t>Armature INF Y</t>
        </is>
      </c>
      <c r="B104" s="8" t="n"/>
      <c r="C104" s="8" t="n"/>
      <c r="D104" s="9" t="n"/>
      <c r="E104" s="9" t="n"/>
      <c r="F104" s="9" t="n"/>
      <c r="G104" s="9" t="n">
        <v>1</v>
      </c>
      <c r="H104" s="9" t="n">
        <v>7</v>
      </c>
      <c r="I104" s="9" t="n">
        <v>8</v>
      </c>
      <c r="J104" s="9">
        <f>(D102-0.05)+34*I104/1000</f>
        <v/>
      </c>
      <c r="K104" s="9">
        <f>IF($I104=6,$G104*$H104*$J104,"")</f>
        <v/>
      </c>
      <c r="L104" s="9">
        <f>IF($I104=8,$G104*$H104*$J104,"")</f>
        <v/>
      </c>
      <c r="M104" s="9">
        <f>IF($I104=10,$G104*$H104*$J104,"")</f>
        <v/>
      </c>
      <c r="N104" s="9">
        <f>IF($I104=12,$G104*$H104*$J104,"")</f>
        <v/>
      </c>
      <c r="O104" s="9">
        <f>IF($I104=14,$G104*$H104*$J104,"")</f>
        <v/>
      </c>
      <c r="P104" s="9">
        <f>IF($I104=16,$G104*$H104*$J104,"")</f>
        <v/>
      </c>
      <c r="Q104" s="9">
        <f>IF($I104=20,$G104*$H104*$J104,"")</f>
        <v/>
      </c>
      <c r="R104" s="9">
        <f>IF($I104=25,$G104*$H104*$J104,"")</f>
        <v/>
      </c>
      <c r="S104" s="9">
        <f>IF($I104=32,$G104*$H104*$J104,"")</f>
        <v/>
      </c>
    </row>
    <row r="105">
      <c r="A105" s="7" t="inlineStr">
        <is>
          <t>Armatures non cotées dans la table (à vérifier sur coupes)</t>
        </is>
      </c>
    </row>
    <row r="106">
      <c r="A106" s="8" t="inlineStr">
        <is>
          <t>S1_24</t>
        </is>
      </c>
      <c r="B106" s="8" t="inlineStr">
        <is>
          <t>B</t>
        </is>
      </c>
      <c r="C106" s="8" t="inlineStr">
        <is>
          <t>16</t>
        </is>
      </c>
      <c r="D106" s="9" t="n">
        <v>0.9</v>
      </c>
      <c r="E106" s="9" t="n">
        <v>0.9</v>
      </c>
      <c r="F106" s="9" t="n">
        <v>0.25</v>
      </c>
      <c r="G106" s="9" t="n"/>
      <c r="H106" s="9" t="n"/>
      <c r="I106" s="9" t="n"/>
      <c r="J106" s="9" t="n"/>
      <c r="K106" s="9">
        <f>IF($I106=6,$G106*$H106*$J106,"")</f>
        <v/>
      </c>
      <c r="L106" s="9">
        <f>IF($I106=8,$G106*$H106*$J106,"")</f>
        <v/>
      </c>
      <c r="M106" s="9">
        <f>IF($I106=10,$G106*$H106*$J106,"")</f>
        <v/>
      </c>
      <c r="N106" s="9">
        <f>IF($I106=12,$G106*$H106*$J106,"")</f>
        <v/>
      </c>
      <c r="O106" s="9">
        <f>IF($I106=14,$G106*$H106*$J106,"")</f>
        <v/>
      </c>
      <c r="P106" s="9">
        <f>IF($I106=16,$G106*$H106*$J106,"")</f>
        <v/>
      </c>
      <c r="Q106" s="9">
        <f>IF($I106=20,$G106*$H106*$J106,"")</f>
        <v/>
      </c>
      <c r="R106" s="9">
        <f>IF($I106=25,$G106*$H106*$J106,"")</f>
        <v/>
      </c>
      <c r="S106" s="9">
        <f>IF($I106=32,$G106*$H106*$J106,"")</f>
        <v/>
      </c>
    </row>
    <row r="107">
      <c r="A107" s="8" t="inlineStr">
        <is>
          <t>Armature INF X</t>
        </is>
      </c>
      <c r="B107" s="8" t="n"/>
      <c r="C107" s="8" t="n"/>
      <c r="D107" s="9" t="n"/>
      <c r="E107" s="9" t="n"/>
      <c r="F107" s="9" t="n"/>
      <c r="G107" s="9" t="n">
        <v>1</v>
      </c>
      <c r="H107" s="9" t="n">
        <v>7</v>
      </c>
      <c r="I107" s="9" t="n">
        <v>8</v>
      </c>
      <c r="J107" s="9">
        <f>(E106-0.05)+34*I107/1000</f>
        <v/>
      </c>
      <c r="K107" s="9">
        <f>IF($I107=6,$G107*$H107*$J107,"")</f>
        <v/>
      </c>
      <c r="L107" s="9">
        <f>IF($I107=8,$G107*$H107*$J107,"")</f>
        <v/>
      </c>
      <c r="M107" s="9">
        <f>IF($I107=10,$G107*$H107*$J107,"")</f>
        <v/>
      </c>
      <c r="N107" s="9">
        <f>IF($I107=12,$G107*$H107*$J107,"")</f>
        <v/>
      </c>
      <c r="O107" s="9">
        <f>IF($I107=14,$G107*$H107*$J107,"")</f>
        <v/>
      </c>
      <c r="P107" s="9">
        <f>IF($I107=16,$G107*$H107*$J107,"")</f>
        <v/>
      </c>
      <c r="Q107" s="9">
        <f>IF($I107=20,$G107*$H107*$J107,"")</f>
        <v/>
      </c>
      <c r="R107" s="9">
        <f>IF($I107=25,$G107*$H107*$J107,"")</f>
        <v/>
      </c>
      <c r="S107" s="9">
        <f>IF($I107=32,$G107*$H107*$J107,"")</f>
        <v/>
      </c>
    </row>
    <row r="108">
      <c r="A108" s="8" t="inlineStr">
        <is>
          <t>Armature INF Y</t>
        </is>
      </c>
      <c r="B108" s="8" t="n"/>
      <c r="C108" s="8" t="n"/>
      <c r="D108" s="9" t="n"/>
      <c r="E108" s="9" t="n"/>
      <c r="F108" s="9" t="n"/>
      <c r="G108" s="9" t="n">
        <v>1</v>
      </c>
      <c r="H108" s="9" t="n">
        <v>7</v>
      </c>
      <c r="I108" s="9" t="n">
        <v>8</v>
      </c>
      <c r="J108" s="9">
        <f>(D106-0.05)+34*I108/1000</f>
        <v/>
      </c>
      <c r="K108" s="9">
        <f>IF($I108=6,$G108*$H108*$J108,"")</f>
        <v/>
      </c>
      <c r="L108" s="9">
        <f>IF($I108=8,$G108*$H108*$J108,"")</f>
        <v/>
      </c>
      <c r="M108" s="9">
        <f>IF($I108=10,$G108*$H108*$J108,"")</f>
        <v/>
      </c>
      <c r="N108" s="9">
        <f>IF($I108=12,$G108*$H108*$J108,"")</f>
        <v/>
      </c>
      <c r="O108" s="9">
        <f>IF($I108=14,$G108*$H108*$J108,"")</f>
        <v/>
      </c>
      <c r="P108" s="9">
        <f>IF($I108=16,$G108*$H108*$J108,"")</f>
        <v/>
      </c>
      <c r="Q108" s="9">
        <f>IF($I108=20,$G108*$H108*$J108,"")</f>
        <v/>
      </c>
      <c r="R108" s="9">
        <f>IF($I108=25,$G108*$H108*$J108,"")</f>
        <v/>
      </c>
      <c r="S108" s="9">
        <f>IF($I108=32,$G108*$H108*$J108,"")</f>
        <v/>
      </c>
    </row>
    <row r="109">
      <c r="A109" s="7" t="inlineStr">
        <is>
          <t>Armatures non cotées dans la table (à vérifier sur coupes)</t>
        </is>
      </c>
    </row>
    <row r="110">
      <c r="A110" s="8" t="inlineStr">
        <is>
          <t>S1_25</t>
        </is>
      </c>
      <c r="B110" s="8" t="inlineStr">
        <is>
          <t>B</t>
        </is>
      </c>
      <c r="C110" s="8" t="inlineStr">
        <is>
          <t>18</t>
        </is>
      </c>
      <c r="D110" s="9" t="n">
        <v>0.9</v>
      </c>
      <c r="E110" s="9" t="n">
        <v>0.9</v>
      </c>
      <c r="F110" s="9" t="n">
        <v>0.25</v>
      </c>
      <c r="G110" s="9" t="n"/>
      <c r="H110" s="9" t="n"/>
      <c r="I110" s="9" t="n"/>
      <c r="J110" s="9" t="n"/>
      <c r="K110" s="9">
        <f>IF($I110=6,$G110*$H110*$J110,"")</f>
        <v/>
      </c>
      <c r="L110" s="9">
        <f>IF($I110=8,$G110*$H110*$J110,"")</f>
        <v/>
      </c>
      <c r="M110" s="9">
        <f>IF($I110=10,$G110*$H110*$J110,"")</f>
        <v/>
      </c>
      <c r="N110" s="9">
        <f>IF($I110=12,$G110*$H110*$J110,"")</f>
        <v/>
      </c>
      <c r="O110" s="9">
        <f>IF($I110=14,$G110*$H110*$J110,"")</f>
        <v/>
      </c>
      <c r="P110" s="9">
        <f>IF($I110=16,$G110*$H110*$J110,"")</f>
        <v/>
      </c>
      <c r="Q110" s="9">
        <f>IF($I110=20,$G110*$H110*$J110,"")</f>
        <v/>
      </c>
      <c r="R110" s="9">
        <f>IF($I110=25,$G110*$H110*$J110,"")</f>
        <v/>
      </c>
      <c r="S110" s="9">
        <f>IF($I110=32,$G110*$H110*$J110,"")</f>
        <v/>
      </c>
    </row>
    <row r="111">
      <c r="A111" s="8" t="inlineStr">
        <is>
          <t>Armature INF X</t>
        </is>
      </c>
      <c r="B111" s="8" t="n"/>
      <c r="C111" s="8" t="n"/>
      <c r="D111" s="9" t="n"/>
      <c r="E111" s="9" t="n"/>
      <c r="F111" s="9" t="n"/>
      <c r="G111" s="9" t="n">
        <v>1</v>
      </c>
      <c r="H111" s="9" t="n">
        <v>7</v>
      </c>
      <c r="I111" s="9" t="n">
        <v>8</v>
      </c>
      <c r="J111" s="9">
        <f>(E110-0.05)+34*I111/1000</f>
        <v/>
      </c>
      <c r="K111" s="9">
        <f>IF($I111=6,$G111*$H111*$J111,"")</f>
        <v/>
      </c>
      <c r="L111" s="9">
        <f>IF($I111=8,$G111*$H111*$J111,"")</f>
        <v/>
      </c>
      <c r="M111" s="9">
        <f>IF($I111=10,$G111*$H111*$J111,"")</f>
        <v/>
      </c>
      <c r="N111" s="9">
        <f>IF($I111=12,$G111*$H111*$J111,"")</f>
        <v/>
      </c>
      <c r="O111" s="9">
        <f>IF($I111=14,$G111*$H111*$J111,"")</f>
        <v/>
      </c>
      <c r="P111" s="9">
        <f>IF($I111=16,$G111*$H111*$J111,"")</f>
        <v/>
      </c>
      <c r="Q111" s="9">
        <f>IF($I111=20,$G111*$H111*$J111,"")</f>
        <v/>
      </c>
      <c r="R111" s="9">
        <f>IF($I111=25,$G111*$H111*$J111,"")</f>
        <v/>
      </c>
      <c r="S111" s="9">
        <f>IF($I111=32,$G111*$H111*$J111,"")</f>
        <v/>
      </c>
    </row>
    <row r="112">
      <c r="A112" s="8" t="inlineStr">
        <is>
          <t>Armature INF Y</t>
        </is>
      </c>
      <c r="B112" s="8" t="n"/>
      <c r="C112" s="8" t="n"/>
      <c r="D112" s="9" t="n"/>
      <c r="E112" s="9" t="n"/>
      <c r="F112" s="9" t="n"/>
      <c r="G112" s="9" t="n">
        <v>1</v>
      </c>
      <c r="H112" s="9" t="n">
        <v>7</v>
      </c>
      <c r="I112" s="9" t="n">
        <v>8</v>
      </c>
      <c r="J112" s="9">
        <f>(D110-0.05)+34*I112/1000</f>
        <v/>
      </c>
      <c r="K112" s="9">
        <f>IF($I112=6,$G112*$H112*$J112,"")</f>
        <v/>
      </c>
      <c r="L112" s="9">
        <f>IF($I112=8,$G112*$H112*$J112,"")</f>
        <v/>
      </c>
      <c r="M112" s="9">
        <f>IF($I112=10,$G112*$H112*$J112,"")</f>
        <v/>
      </c>
      <c r="N112" s="9">
        <f>IF($I112=12,$G112*$H112*$J112,"")</f>
        <v/>
      </c>
      <c r="O112" s="9">
        <f>IF($I112=14,$G112*$H112*$J112,"")</f>
        <v/>
      </c>
      <c r="P112" s="9">
        <f>IF($I112=16,$G112*$H112*$J112,"")</f>
        <v/>
      </c>
      <c r="Q112" s="9">
        <f>IF($I112=20,$G112*$H112*$J112,"")</f>
        <v/>
      </c>
      <c r="R112" s="9">
        <f>IF($I112=25,$G112*$H112*$J112,"")</f>
        <v/>
      </c>
      <c r="S112" s="9">
        <f>IF($I112=32,$G112*$H112*$J112,"")</f>
        <v/>
      </c>
    </row>
    <row r="113">
      <c r="A113" s="7" t="inlineStr">
        <is>
          <t>Armatures non cotées dans la table (à vérifier sur coupes)</t>
        </is>
      </c>
    </row>
    <row r="114">
      <c r="A114" s="8" t="inlineStr">
        <is>
          <t>S1_26</t>
        </is>
      </c>
      <c r="B114" s="8" t="inlineStr">
        <is>
          <t>S</t>
        </is>
      </c>
      <c r="C114" s="8" t="inlineStr">
        <is>
          <t>4</t>
        </is>
      </c>
      <c r="D114" s="9" t="n">
        <v>0.9</v>
      </c>
      <c r="E114" s="9" t="n">
        <v>0.9</v>
      </c>
      <c r="F114" s="9" t="n">
        <v>0.25</v>
      </c>
      <c r="G114" s="9" t="n"/>
      <c r="H114" s="9" t="n"/>
      <c r="I114" s="9" t="n"/>
      <c r="J114" s="9" t="n"/>
      <c r="K114" s="9">
        <f>IF($I114=6,$G114*$H114*$J114,"")</f>
        <v/>
      </c>
      <c r="L114" s="9">
        <f>IF($I114=8,$G114*$H114*$J114,"")</f>
        <v/>
      </c>
      <c r="M114" s="9">
        <f>IF($I114=10,$G114*$H114*$J114,"")</f>
        <v/>
      </c>
      <c r="N114" s="9">
        <f>IF($I114=12,$G114*$H114*$J114,"")</f>
        <v/>
      </c>
      <c r="O114" s="9">
        <f>IF($I114=14,$G114*$H114*$J114,"")</f>
        <v/>
      </c>
      <c r="P114" s="9">
        <f>IF($I114=16,$G114*$H114*$J114,"")</f>
        <v/>
      </c>
      <c r="Q114" s="9">
        <f>IF($I114=20,$G114*$H114*$J114,"")</f>
        <v/>
      </c>
      <c r="R114" s="9">
        <f>IF($I114=25,$G114*$H114*$J114,"")</f>
        <v/>
      </c>
      <c r="S114" s="9">
        <f>IF($I114=32,$G114*$H114*$J114,"")</f>
        <v/>
      </c>
    </row>
    <row r="115">
      <c r="A115" s="8" t="inlineStr">
        <is>
          <t>Armature INF X</t>
        </is>
      </c>
      <c r="B115" s="8" t="n"/>
      <c r="C115" s="8" t="n"/>
      <c r="D115" s="9" t="n"/>
      <c r="E115" s="9" t="n"/>
      <c r="F115" s="9" t="n"/>
      <c r="G115" s="9" t="n">
        <v>1</v>
      </c>
      <c r="H115" s="9" t="n">
        <v>7</v>
      </c>
      <c r="I115" s="9" t="n">
        <v>8</v>
      </c>
      <c r="J115" s="9">
        <f>(E114-0.05)+34*I115/1000</f>
        <v/>
      </c>
      <c r="K115" s="9">
        <f>IF($I115=6,$G115*$H115*$J115,"")</f>
        <v/>
      </c>
      <c r="L115" s="9">
        <f>IF($I115=8,$G115*$H115*$J115,"")</f>
        <v/>
      </c>
      <c r="M115" s="9">
        <f>IF($I115=10,$G115*$H115*$J115,"")</f>
        <v/>
      </c>
      <c r="N115" s="9">
        <f>IF($I115=12,$G115*$H115*$J115,"")</f>
        <v/>
      </c>
      <c r="O115" s="9">
        <f>IF($I115=14,$G115*$H115*$J115,"")</f>
        <v/>
      </c>
      <c r="P115" s="9">
        <f>IF($I115=16,$G115*$H115*$J115,"")</f>
        <v/>
      </c>
      <c r="Q115" s="9">
        <f>IF($I115=20,$G115*$H115*$J115,"")</f>
        <v/>
      </c>
      <c r="R115" s="9">
        <f>IF($I115=25,$G115*$H115*$J115,"")</f>
        <v/>
      </c>
      <c r="S115" s="9">
        <f>IF($I115=32,$G115*$H115*$J115,"")</f>
        <v/>
      </c>
    </row>
    <row r="116">
      <c r="A116" s="8" t="inlineStr">
        <is>
          <t>Armature INF Y</t>
        </is>
      </c>
      <c r="B116" s="8" t="n"/>
      <c r="C116" s="8" t="n"/>
      <c r="D116" s="9" t="n"/>
      <c r="E116" s="9" t="n"/>
      <c r="F116" s="9" t="n"/>
      <c r="G116" s="9" t="n">
        <v>1</v>
      </c>
      <c r="H116" s="9" t="n">
        <v>7</v>
      </c>
      <c r="I116" s="9" t="n">
        <v>8</v>
      </c>
      <c r="J116" s="9">
        <f>(D114-0.05)+34*I116/1000</f>
        <v/>
      </c>
      <c r="K116" s="9">
        <f>IF($I116=6,$G116*$H116*$J116,"")</f>
        <v/>
      </c>
      <c r="L116" s="9">
        <f>IF($I116=8,$G116*$H116*$J116,"")</f>
        <v/>
      </c>
      <c r="M116" s="9">
        <f>IF($I116=10,$G116*$H116*$J116,"")</f>
        <v/>
      </c>
      <c r="N116" s="9">
        <f>IF($I116=12,$G116*$H116*$J116,"")</f>
        <v/>
      </c>
      <c r="O116" s="9">
        <f>IF($I116=14,$G116*$H116*$J116,"")</f>
        <v/>
      </c>
      <c r="P116" s="9">
        <f>IF($I116=16,$G116*$H116*$J116,"")</f>
        <v/>
      </c>
      <c r="Q116" s="9">
        <f>IF($I116=20,$G116*$H116*$J116,"")</f>
        <v/>
      </c>
      <c r="R116" s="9">
        <f>IF($I116=25,$G116*$H116*$J116,"")</f>
        <v/>
      </c>
      <c r="S116" s="9">
        <f>IF($I116=32,$G116*$H116*$J116,"")</f>
        <v/>
      </c>
    </row>
    <row r="117">
      <c r="A117" s="7" t="inlineStr">
        <is>
          <t>Armatures non cotées dans la table (à vérifier sur coupes)</t>
        </is>
      </c>
    </row>
    <row r="118">
      <c r="A118" s="8" t="inlineStr">
        <is>
          <t>S3_1</t>
        </is>
      </c>
      <c r="B118" s="8" t="inlineStr">
        <is>
          <t>D</t>
        </is>
      </c>
      <c r="C118" s="8" t="inlineStr">
        <is>
          <t>4</t>
        </is>
      </c>
      <c r="D118" s="9" t="n">
        <v>1</v>
      </c>
      <c r="E118" s="9" t="n">
        <v>1</v>
      </c>
      <c r="F118" s="9" t="n">
        <v>0.25</v>
      </c>
      <c r="G118" s="9" t="n"/>
      <c r="H118" s="9" t="n"/>
      <c r="I118" s="9" t="n"/>
      <c r="J118" s="9" t="n"/>
      <c r="K118" s="9">
        <f>IF($I118=6,$G118*$H118*$J118,"")</f>
        <v/>
      </c>
      <c r="L118" s="9">
        <f>IF($I118=8,$G118*$H118*$J118,"")</f>
        <v/>
      </c>
      <c r="M118" s="9">
        <f>IF($I118=10,$G118*$H118*$J118,"")</f>
        <v/>
      </c>
      <c r="N118" s="9">
        <f>IF($I118=12,$G118*$H118*$J118,"")</f>
        <v/>
      </c>
      <c r="O118" s="9">
        <f>IF($I118=14,$G118*$H118*$J118,"")</f>
        <v/>
      </c>
      <c r="P118" s="9">
        <f>IF($I118=16,$G118*$H118*$J118,"")</f>
        <v/>
      </c>
      <c r="Q118" s="9">
        <f>IF($I118=20,$G118*$H118*$J118,"")</f>
        <v/>
      </c>
      <c r="R118" s="9">
        <f>IF($I118=25,$G118*$H118*$J118,"")</f>
        <v/>
      </c>
      <c r="S118" s="9">
        <f>IF($I118=32,$G118*$H118*$J118,"")</f>
        <v/>
      </c>
    </row>
    <row r="119">
      <c r="A119" s="8" t="inlineStr">
        <is>
          <t>Armature INF X</t>
        </is>
      </c>
      <c r="B119" s="8" t="n"/>
      <c r="C119" s="8" t="n"/>
      <c r="D119" s="9" t="n"/>
      <c r="E119" s="9" t="n"/>
      <c r="F119" s="9" t="n"/>
      <c r="G119" s="9" t="n">
        <v>1</v>
      </c>
      <c r="H119" s="9" t="n">
        <v>8</v>
      </c>
      <c r="I119" s="9" t="n">
        <v>10</v>
      </c>
      <c r="J119" s="9">
        <f>(E118-0.05)+34*I119/1000</f>
        <v/>
      </c>
      <c r="K119" s="9">
        <f>IF($I119=6,$G119*$H119*$J119,"")</f>
        <v/>
      </c>
      <c r="L119" s="9">
        <f>IF($I119=8,$G119*$H119*$J119,"")</f>
        <v/>
      </c>
      <c r="M119" s="9">
        <f>IF($I119=10,$G119*$H119*$J119,"")</f>
        <v/>
      </c>
      <c r="N119" s="9">
        <f>IF($I119=12,$G119*$H119*$J119,"")</f>
        <v/>
      </c>
      <c r="O119" s="9">
        <f>IF($I119=14,$G119*$H119*$J119,"")</f>
        <v/>
      </c>
      <c r="P119" s="9">
        <f>IF($I119=16,$G119*$H119*$J119,"")</f>
        <v/>
      </c>
      <c r="Q119" s="9">
        <f>IF($I119=20,$G119*$H119*$J119,"")</f>
        <v/>
      </c>
      <c r="R119" s="9">
        <f>IF($I119=25,$G119*$H119*$J119,"")</f>
        <v/>
      </c>
      <c r="S119" s="9">
        <f>IF($I119=32,$G119*$H119*$J119,"")</f>
        <v/>
      </c>
    </row>
    <row r="120">
      <c r="A120" s="8" t="inlineStr">
        <is>
          <t>Armature INF Y</t>
        </is>
      </c>
      <c r="B120" s="8" t="n"/>
      <c r="C120" s="8" t="n"/>
      <c r="D120" s="9" t="n"/>
      <c r="E120" s="9" t="n"/>
      <c r="F120" s="9" t="n"/>
      <c r="G120" s="9" t="n">
        <v>1</v>
      </c>
      <c r="H120" s="9" t="n">
        <v>8</v>
      </c>
      <c r="I120" s="9" t="n">
        <v>10</v>
      </c>
      <c r="J120" s="9">
        <f>(D118-0.05)+34*I120/1000</f>
        <v/>
      </c>
      <c r="K120" s="9">
        <f>IF($I120=6,$G120*$H120*$J120,"")</f>
        <v/>
      </c>
      <c r="L120" s="9">
        <f>IF($I120=8,$G120*$H120*$J120,"")</f>
        <v/>
      </c>
      <c r="M120" s="9">
        <f>IF($I120=10,$G120*$H120*$J120,"")</f>
        <v/>
      </c>
      <c r="N120" s="9">
        <f>IF($I120=12,$G120*$H120*$J120,"")</f>
        <v/>
      </c>
      <c r="O120" s="9">
        <f>IF($I120=14,$G120*$H120*$J120,"")</f>
        <v/>
      </c>
      <c r="P120" s="9">
        <f>IF($I120=16,$G120*$H120*$J120,"")</f>
        <v/>
      </c>
      <c r="Q120" s="9">
        <f>IF($I120=20,$G120*$H120*$J120,"")</f>
        <v/>
      </c>
      <c r="R120" s="9">
        <f>IF($I120=25,$G120*$H120*$J120,"")</f>
        <v/>
      </c>
      <c r="S120" s="9">
        <f>IF($I120=32,$G120*$H120*$J120,"")</f>
        <v/>
      </c>
    </row>
    <row r="121">
      <c r="A121" s="7" t="inlineStr">
        <is>
          <t>Armatures non cotées dans la table (à vérifier sur coupes)</t>
        </is>
      </c>
    </row>
    <row r="122">
      <c r="A122" s="8" t="inlineStr">
        <is>
          <t>S1_27</t>
        </is>
      </c>
      <c r="B122" s="8" t="inlineStr">
        <is>
          <t>D</t>
        </is>
      </c>
      <c r="C122" s="8" t="inlineStr">
        <is>
          <t>3</t>
        </is>
      </c>
      <c r="D122" s="9" t="n">
        <v>0.9</v>
      </c>
      <c r="E122" s="9" t="n">
        <v>0.9</v>
      </c>
      <c r="F122" s="9" t="n">
        <v>0.25</v>
      </c>
      <c r="G122" s="9" t="n"/>
      <c r="H122" s="9" t="n"/>
      <c r="I122" s="9" t="n"/>
      <c r="J122" s="9" t="n"/>
      <c r="K122" s="9">
        <f>IF($I122=6,$G122*$H122*$J122,"")</f>
        <v/>
      </c>
      <c r="L122" s="9">
        <f>IF($I122=8,$G122*$H122*$J122,"")</f>
        <v/>
      </c>
      <c r="M122" s="9">
        <f>IF($I122=10,$G122*$H122*$J122,"")</f>
        <v/>
      </c>
      <c r="N122" s="9">
        <f>IF($I122=12,$G122*$H122*$J122,"")</f>
        <v/>
      </c>
      <c r="O122" s="9">
        <f>IF($I122=14,$G122*$H122*$J122,"")</f>
        <v/>
      </c>
      <c r="P122" s="9">
        <f>IF($I122=16,$G122*$H122*$J122,"")</f>
        <v/>
      </c>
      <c r="Q122" s="9">
        <f>IF($I122=20,$G122*$H122*$J122,"")</f>
        <v/>
      </c>
      <c r="R122" s="9">
        <f>IF($I122=25,$G122*$H122*$J122,"")</f>
        <v/>
      </c>
      <c r="S122" s="9">
        <f>IF($I122=32,$G122*$H122*$J122,"")</f>
        <v/>
      </c>
    </row>
    <row r="123">
      <c r="A123" s="8" t="inlineStr">
        <is>
          <t>Armature INF X</t>
        </is>
      </c>
      <c r="B123" s="8" t="n"/>
      <c r="C123" s="8" t="n"/>
      <c r="D123" s="9" t="n"/>
      <c r="E123" s="9" t="n"/>
      <c r="F123" s="9" t="n"/>
      <c r="G123" s="9" t="n">
        <v>1</v>
      </c>
      <c r="H123" s="9" t="n">
        <v>7</v>
      </c>
      <c r="I123" s="9" t="n">
        <v>8</v>
      </c>
      <c r="J123" s="9">
        <f>(E122-0.05)+34*I123/1000</f>
        <v/>
      </c>
      <c r="K123" s="9">
        <f>IF($I123=6,$G123*$H123*$J123,"")</f>
        <v/>
      </c>
      <c r="L123" s="9">
        <f>IF($I123=8,$G123*$H123*$J123,"")</f>
        <v/>
      </c>
      <c r="M123" s="9">
        <f>IF($I123=10,$G123*$H123*$J123,"")</f>
        <v/>
      </c>
      <c r="N123" s="9">
        <f>IF($I123=12,$G123*$H123*$J123,"")</f>
        <v/>
      </c>
      <c r="O123" s="9">
        <f>IF($I123=14,$G123*$H123*$J123,"")</f>
        <v/>
      </c>
      <c r="P123" s="9">
        <f>IF($I123=16,$G123*$H123*$J123,"")</f>
        <v/>
      </c>
      <c r="Q123" s="9">
        <f>IF($I123=20,$G123*$H123*$J123,"")</f>
        <v/>
      </c>
      <c r="R123" s="9">
        <f>IF($I123=25,$G123*$H123*$J123,"")</f>
        <v/>
      </c>
      <c r="S123" s="9">
        <f>IF($I123=32,$G123*$H123*$J123,"")</f>
        <v/>
      </c>
    </row>
    <row r="124">
      <c r="A124" s="8" t="inlineStr">
        <is>
          <t>Armature INF Y</t>
        </is>
      </c>
      <c r="B124" s="8" t="n"/>
      <c r="C124" s="8" t="n"/>
      <c r="D124" s="9" t="n"/>
      <c r="E124" s="9" t="n"/>
      <c r="F124" s="9" t="n"/>
      <c r="G124" s="9" t="n">
        <v>1</v>
      </c>
      <c r="H124" s="9" t="n">
        <v>7</v>
      </c>
      <c r="I124" s="9" t="n">
        <v>8</v>
      </c>
      <c r="J124" s="9">
        <f>(D122-0.05)+34*I124/1000</f>
        <v/>
      </c>
      <c r="K124" s="9">
        <f>IF($I124=6,$G124*$H124*$J124,"")</f>
        <v/>
      </c>
      <c r="L124" s="9">
        <f>IF($I124=8,$G124*$H124*$J124,"")</f>
        <v/>
      </c>
      <c r="M124" s="9">
        <f>IF($I124=10,$G124*$H124*$J124,"")</f>
        <v/>
      </c>
      <c r="N124" s="9">
        <f>IF($I124=12,$G124*$H124*$J124,"")</f>
        <v/>
      </c>
      <c r="O124" s="9">
        <f>IF($I124=14,$G124*$H124*$J124,"")</f>
        <v/>
      </c>
      <c r="P124" s="9">
        <f>IF($I124=16,$G124*$H124*$J124,"")</f>
        <v/>
      </c>
      <c r="Q124" s="9">
        <f>IF($I124=20,$G124*$H124*$J124,"")</f>
        <v/>
      </c>
      <c r="R124" s="9">
        <f>IF($I124=25,$G124*$H124*$J124,"")</f>
        <v/>
      </c>
      <c r="S124" s="9">
        <f>IF($I124=32,$G124*$H124*$J124,"")</f>
        <v/>
      </c>
    </row>
    <row r="125">
      <c r="A125" s="7" t="inlineStr">
        <is>
          <t>Armatures non cotées dans la table (à vérifier sur coupes)</t>
        </is>
      </c>
    </row>
    <row r="126">
      <c r="A126" s="8" t="inlineStr">
        <is>
          <t>S1_28</t>
        </is>
      </c>
      <c r="B126" s="8" t="inlineStr">
        <is>
          <t>G</t>
        </is>
      </c>
      <c r="C126" s="8" t="inlineStr">
        <is>
          <t>3</t>
        </is>
      </c>
      <c r="D126" s="9" t="n">
        <v>0.9</v>
      </c>
      <c r="E126" s="9" t="n">
        <v>0.9</v>
      </c>
      <c r="F126" s="9" t="n">
        <v>0.25</v>
      </c>
      <c r="G126" s="9" t="n"/>
      <c r="H126" s="9" t="n"/>
      <c r="I126" s="9" t="n"/>
      <c r="J126" s="9" t="n"/>
      <c r="K126" s="9">
        <f>IF($I126=6,$G126*$H126*$J126,"")</f>
        <v/>
      </c>
      <c r="L126" s="9">
        <f>IF($I126=8,$G126*$H126*$J126,"")</f>
        <v/>
      </c>
      <c r="M126" s="9">
        <f>IF($I126=10,$G126*$H126*$J126,"")</f>
        <v/>
      </c>
      <c r="N126" s="9">
        <f>IF($I126=12,$G126*$H126*$J126,"")</f>
        <v/>
      </c>
      <c r="O126" s="9">
        <f>IF($I126=14,$G126*$H126*$J126,"")</f>
        <v/>
      </c>
      <c r="P126" s="9">
        <f>IF($I126=16,$G126*$H126*$J126,"")</f>
        <v/>
      </c>
      <c r="Q126" s="9">
        <f>IF($I126=20,$G126*$H126*$J126,"")</f>
        <v/>
      </c>
      <c r="R126" s="9">
        <f>IF($I126=25,$G126*$H126*$J126,"")</f>
        <v/>
      </c>
      <c r="S126" s="9">
        <f>IF($I126=32,$G126*$H126*$J126,"")</f>
        <v/>
      </c>
    </row>
    <row r="127">
      <c r="A127" s="8" t="inlineStr">
        <is>
          <t>Armature INF X</t>
        </is>
      </c>
      <c r="B127" s="8" t="n"/>
      <c r="C127" s="8" t="n"/>
      <c r="D127" s="9" t="n"/>
      <c r="E127" s="9" t="n"/>
      <c r="F127" s="9" t="n"/>
      <c r="G127" s="9" t="n">
        <v>1</v>
      </c>
      <c r="H127" s="9" t="n">
        <v>7</v>
      </c>
      <c r="I127" s="9" t="n">
        <v>8</v>
      </c>
      <c r="J127" s="9">
        <f>(E126-0.05)+34*I127/1000</f>
        <v/>
      </c>
      <c r="K127" s="9">
        <f>IF($I127=6,$G127*$H127*$J127,"")</f>
        <v/>
      </c>
      <c r="L127" s="9">
        <f>IF($I127=8,$G127*$H127*$J127,"")</f>
        <v/>
      </c>
      <c r="M127" s="9">
        <f>IF($I127=10,$G127*$H127*$J127,"")</f>
        <v/>
      </c>
      <c r="N127" s="9">
        <f>IF($I127=12,$G127*$H127*$J127,"")</f>
        <v/>
      </c>
      <c r="O127" s="9">
        <f>IF($I127=14,$G127*$H127*$J127,"")</f>
        <v/>
      </c>
      <c r="P127" s="9">
        <f>IF($I127=16,$G127*$H127*$J127,"")</f>
        <v/>
      </c>
      <c r="Q127" s="9">
        <f>IF($I127=20,$G127*$H127*$J127,"")</f>
        <v/>
      </c>
      <c r="R127" s="9">
        <f>IF($I127=25,$G127*$H127*$J127,"")</f>
        <v/>
      </c>
      <c r="S127" s="9">
        <f>IF($I127=32,$G127*$H127*$J127,"")</f>
        <v/>
      </c>
    </row>
    <row r="128">
      <c r="A128" s="8" t="inlineStr">
        <is>
          <t>Armature INF Y</t>
        </is>
      </c>
      <c r="B128" s="8" t="n"/>
      <c r="C128" s="8" t="n"/>
      <c r="D128" s="9" t="n"/>
      <c r="E128" s="9" t="n"/>
      <c r="F128" s="9" t="n"/>
      <c r="G128" s="9" t="n">
        <v>1</v>
      </c>
      <c r="H128" s="9" t="n">
        <v>7</v>
      </c>
      <c r="I128" s="9" t="n">
        <v>8</v>
      </c>
      <c r="J128" s="9">
        <f>(D126-0.05)+34*I128/1000</f>
        <v/>
      </c>
      <c r="K128" s="9">
        <f>IF($I128=6,$G128*$H128*$J128,"")</f>
        <v/>
      </c>
      <c r="L128" s="9">
        <f>IF($I128=8,$G128*$H128*$J128,"")</f>
        <v/>
      </c>
      <c r="M128" s="9">
        <f>IF($I128=10,$G128*$H128*$J128,"")</f>
        <v/>
      </c>
      <c r="N128" s="9">
        <f>IF($I128=12,$G128*$H128*$J128,"")</f>
        <v/>
      </c>
      <c r="O128" s="9">
        <f>IF($I128=14,$G128*$H128*$J128,"")</f>
        <v/>
      </c>
      <c r="P128" s="9">
        <f>IF($I128=16,$G128*$H128*$J128,"")</f>
        <v/>
      </c>
      <c r="Q128" s="9">
        <f>IF($I128=20,$G128*$H128*$J128,"")</f>
        <v/>
      </c>
      <c r="R128" s="9">
        <f>IF($I128=25,$G128*$H128*$J128,"")</f>
        <v/>
      </c>
      <c r="S128" s="9">
        <f>IF($I128=32,$G128*$H128*$J128,"")</f>
        <v/>
      </c>
    </row>
    <row r="129">
      <c r="A129" s="7" t="inlineStr">
        <is>
          <t>Armatures non cotées dans la table (à vérifier sur coupes)</t>
        </is>
      </c>
    </row>
    <row r="130">
      <c r="A130" s="8" t="inlineStr">
        <is>
          <t>S2_3</t>
        </is>
      </c>
      <c r="B130" s="8" t="inlineStr">
        <is>
          <t>G</t>
        </is>
      </c>
      <c r="C130" s="8" t="inlineStr">
        <is>
          <t>2</t>
        </is>
      </c>
      <c r="D130" s="9" t="n">
        <v>0.9</v>
      </c>
      <c r="E130" s="9" t="n">
        <v>1.9</v>
      </c>
      <c r="F130" s="9" t="n">
        <v>0.25</v>
      </c>
      <c r="G130" s="9" t="n"/>
      <c r="H130" s="9" t="n"/>
      <c r="I130" s="9" t="n"/>
      <c r="J130" s="9" t="n"/>
      <c r="K130" s="9">
        <f>IF($I130=6,$G130*$H130*$J130,"")</f>
        <v/>
      </c>
      <c r="L130" s="9">
        <f>IF($I130=8,$G130*$H130*$J130,"")</f>
        <v/>
      </c>
      <c r="M130" s="9">
        <f>IF($I130=10,$G130*$H130*$J130,"")</f>
        <v/>
      </c>
      <c r="N130" s="9">
        <f>IF($I130=12,$G130*$H130*$J130,"")</f>
        <v/>
      </c>
      <c r="O130" s="9">
        <f>IF($I130=14,$G130*$H130*$J130,"")</f>
        <v/>
      </c>
      <c r="P130" s="9">
        <f>IF($I130=16,$G130*$H130*$J130,"")</f>
        <v/>
      </c>
      <c r="Q130" s="9">
        <f>IF($I130=20,$G130*$H130*$J130,"")</f>
        <v/>
      </c>
      <c r="R130" s="9">
        <f>IF($I130=25,$G130*$H130*$J130,"")</f>
        <v/>
      </c>
      <c r="S130" s="9">
        <f>IF($I130=32,$G130*$H130*$J130,"")</f>
        <v/>
      </c>
    </row>
    <row r="131">
      <c r="A131" s="8" t="inlineStr">
        <is>
          <t>Armature INF X</t>
        </is>
      </c>
      <c r="B131" s="8" t="n"/>
      <c r="C131" s="8" t="n"/>
      <c r="D131" s="9" t="n"/>
      <c r="E131" s="9" t="n"/>
      <c r="F131" s="9" t="n"/>
      <c r="G131" s="9" t="n">
        <v>1</v>
      </c>
      <c r="H131" s="9" t="n">
        <v>7</v>
      </c>
      <c r="I131" s="9" t="n">
        <v>8</v>
      </c>
      <c r="J131" s="9">
        <f>(E130-0.05)+34*I131/1000</f>
        <v/>
      </c>
      <c r="K131" s="9">
        <f>IF($I131=6,$G131*$H131*$J131,"")</f>
        <v/>
      </c>
      <c r="L131" s="9">
        <f>IF($I131=8,$G131*$H131*$J131,"")</f>
        <v/>
      </c>
      <c r="M131" s="9">
        <f>IF($I131=10,$G131*$H131*$J131,"")</f>
        <v/>
      </c>
      <c r="N131" s="9">
        <f>IF($I131=12,$G131*$H131*$J131,"")</f>
        <v/>
      </c>
      <c r="O131" s="9">
        <f>IF($I131=14,$G131*$H131*$J131,"")</f>
        <v/>
      </c>
      <c r="P131" s="9">
        <f>IF($I131=16,$G131*$H131*$J131,"")</f>
        <v/>
      </c>
      <c r="Q131" s="9">
        <f>IF($I131=20,$G131*$H131*$J131,"")</f>
        <v/>
      </c>
      <c r="R131" s="9">
        <f>IF($I131=25,$G131*$H131*$J131,"")</f>
        <v/>
      </c>
      <c r="S131" s="9">
        <f>IF($I131=32,$G131*$H131*$J131,"")</f>
        <v/>
      </c>
    </row>
    <row r="132">
      <c r="A132" s="8" t="inlineStr">
        <is>
          <t>Armature INF Y</t>
        </is>
      </c>
      <c r="B132" s="8" t="n"/>
      <c r="C132" s="8" t="n"/>
      <c r="D132" s="9" t="n"/>
      <c r="E132" s="9" t="n"/>
      <c r="F132" s="9" t="n"/>
      <c r="G132" s="9" t="n">
        <v>1</v>
      </c>
      <c r="H132" s="9" t="n">
        <v>14</v>
      </c>
      <c r="I132" s="9" t="n">
        <v>10</v>
      </c>
      <c r="J132" s="9">
        <f>(D130-0.05)+34*I132/1000</f>
        <v/>
      </c>
      <c r="K132" s="9">
        <f>IF($I132=6,$G132*$H132*$J132,"")</f>
        <v/>
      </c>
      <c r="L132" s="9">
        <f>IF($I132=8,$G132*$H132*$J132,"")</f>
        <v/>
      </c>
      <c r="M132" s="9">
        <f>IF($I132=10,$G132*$H132*$J132,"")</f>
        <v/>
      </c>
      <c r="N132" s="9">
        <f>IF($I132=12,$G132*$H132*$J132,"")</f>
        <v/>
      </c>
      <c r="O132" s="9">
        <f>IF($I132=14,$G132*$H132*$J132,"")</f>
        <v/>
      </c>
      <c r="P132" s="9">
        <f>IF($I132=16,$G132*$H132*$J132,"")</f>
        <v/>
      </c>
      <c r="Q132" s="9">
        <f>IF($I132=20,$G132*$H132*$J132,"")</f>
        <v/>
      </c>
      <c r="R132" s="9">
        <f>IF($I132=25,$G132*$H132*$J132,"")</f>
        <v/>
      </c>
      <c r="S132" s="9">
        <f>IF($I132=32,$G132*$H132*$J132,"")</f>
        <v/>
      </c>
    </row>
    <row r="133">
      <c r="A133" s="7" t="inlineStr">
        <is>
          <t>Armatures non cotées dans la table (à vérifier sur coupes)</t>
        </is>
      </c>
    </row>
    <row r="134">
      <c r="A134" s="8" t="inlineStr">
        <is>
          <t>S3_2</t>
        </is>
      </c>
      <c r="B134" s="8" t="inlineStr">
        <is>
          <t>G</t>
        </is>
      </c>
      <c r="C134" s="8" t="inlineStr">
        <is>
          <t>4</t>
        </is>
      </c>
      <c r="D134" s="9" t="n">
        <v>1</v>
      </c>
      <c r="E134" s="9" t="n">
        <v>1</v>
      </c>
      <c r="F134" s="9" t="n">
        <v>0.25</v>
      </c>
      <c r="G134" s="9" t="n"/>
      <c r="H134" s="9" t="n"/>
      <c r="I134" s="9" t="n"/>
      <c r="J134" s="9" t="n"/>
      <c r="K134" s="9">
        <f>IF($I134=6,$G134*$H134*$J134,"")</f>
        <v/>
      </c>
      <c r="L134" s="9">
        <f>IF($I134=8,$G134*$H134*$J134,"")</f>
        <v/>
      </c>
      <c r="M134" s="9">
        <f>IF($I134=10,$G134*$H134*$J134,"")</f>
        <v/>
      </c>
      <c r="N134" s="9">
        <f>IF($I134=12,$G134*$H134*$J134,"")</f>
        <v/>
      </c>
      <c r="O134" s="9">
        <f>IF($I134=14,$G134*$H134*$J134,"")</f>
        <v/>
      </c>
      <c r="P134" s="9">
        <f>IF($I134=16,$G134*$H134*$J134,"")</f>
        <v/>
      </c>
      <c r="Q134" s="9">
        <f>IF($I134=20,$G134*$H134*$J134,"")</f>
        <v/>
      </c>
      <c r="R134" s="9">
        <f>IF($I134=25,$G134*$H134*$J134,"")</f>
        <v/>
      </c>
      <c r="S134" s="9">
        <f>IF($I134=32,$G134*$H134*$J134,"")</f>
        <v/>
      </c>
    </row>
    <row r="135">
      <c r="A135" s="8" t="inlineStr">
        <is>
          <t>Armature INF X</t>
        </is>
      </c>
      <c r="B135" s="8" t="n"/>
      <c r="C135" s="8" t="n"/>
      <c r="D135" s="9" t="n"/>
      <c r="E135" s="9" t="n"/>
      <c r="F135" s="9" t="n"/>
      <c r="G135" s="9" t="n">
        <v>1</v>
      </c>
      <c r="H135" s="9" t="n">
        <v>8</v>
      </c>
      <c r="I135" s="9" t="n">
        <v>10</v>
      </c>
      <c r="J135" s="9">
        <f>(E134-0.05)+34*I135/1000</f>
        <v/>
      </c>
      <c r="K135" s="9">
        <f>IF($I135=6,$G135*$H135*$J135,"")</f>
        <v/>
      </c>
      <c r="L135" s="9">
        <f>IF($I135=8,$G135*$H135*$J135,"")</f>
        <v/>
      </c>
      <c r="M135" s="9">
        <f>IF($I135=10,$G135*$H135*$J135,"")</f>
        <v/>
      </c>
      <c r="N135" s="9">
        <f>IF($I135=12,$G135*$H135*$J135,"")</f>
        <v/>
      </c>
      <c r="O135" s="9">
        <f>IF($I135=14,$G135*$H135*$J135,"")</f>
        <v/>
      </c>
      <c r="P135" s="9">
        <f>IF($I135=16,$G135*$H135*$J135,"")</f>
        <v/>
      </c>
      <c r="Q135" s="9">
        <f>IF($I135=20,$G135*$H135*$J135,"")</f>
        <v/>
      </c>
      <c r="R135" s="9">
        <f>IF($I135=25,$G135*$H135*$J135,"")</f>
        <v/>
      </c>
      <c r="S135" s="9">
        <f>IF($I135=32,$G135*$H135*$J135,"")</f>
        <v/>
      </c>
    </row>
    <row r="136">
      <c r="A136" s="8" t="inlineStr">
        <is>
          <t>Armature INF Y</t>
        </is>
      </c>
      <c r="B136" s="8" t="n"/>
      <c r="C136" s="8" t="n"/>
      <c r="D136" s="9" t="n"/>
      <c r="E136" s="9" t="n"/>
      <c r="F136" s="9" t="n"/>
      <c r="G136" s="9" t="n">
        <v>1</v>
      </c>
      <c r="H136" s="9" t="n">
        <v>8</v>
      </c>
      <c r="I136" s="9" t="n">
        <v>10</v>
      </c>
      <c r="J136" s="9">
        <f>(D134-0.05)+34*I136/1000</f>
        <v/>
      </c>
      <c r="K136" s="9">
        <f>IF($I136=6,$G136*$H136*$J136,"")</f>
        <v/>
      </c>
      <c r="L136" s="9">
        <f>IF($I136=8,$G136*$H136*$J136,"")</f>
        <v/>
      </c>
      <c r="M136" s="9">
        <f>IF($I136=10,$G136*$H136*$J136,"")</f>
        <v/>
      </c>
      <c r="N136" s="9">
        <f>IF($I136=12,$G136*$H136*$J136,"")</f>
        <v/>
      </c>
      <c r="O136" s="9">
        <f>IF($I136=14,$G136*$H136*$J136,"")</f>
        <v/>
      </c>
      <c r="P136" s="9">
        <f>IF($I136=16,$G136*$H136*$J136,"")</f>
        <v/>
      </c>
      <c r="Q136" s="9">
        <f>IF($I136=20,$G136*$H136*$J136,"")</f>
        <v/>
      </c>
      <c r="R136" s="9">
        <f>IF($I136=25,$G136*$H136*$J136,"")</f>
        <v/>
      </c>
      <c r="S136" s="9">
        <f>IF($I136=32,$G136*$H136*$J136,"")</f>
        <v/>
      </c>
    </row>
    <row r="137">
      <c r="A137" s="7" t="inlineStr">
        <is>
          <t>Armatures non cotées dans la table (à vérifier sur coupes)</t>
        </is>
      </c>
    </row>
    <row r="138">
      <c r="A138" s="8" t="inlineStr">
        <is>
          <t>S1_29</t>
        </is>
      </c>
      <c r="B138" s="8" t="inlineStr">
        <is>
          <t>C</t>
        </is>
      </c>
      <c r="C138" s="8" t="inlineStr">
        <is>
          <t>4</t>
        </is>
      </c>
      <c r="D138" s="9" t="n">
        <v>0.9</v>
      </c>
      <c r="E138" s="9" t="n">
        <v>0.9</v>
      </c>
      <c r="F138" s="9" t="n">
        <v>0.25</v>
      </c>
      <c r="G138" s="9" t="n"/>
      <c r="H138" s="9" t="n"/>
      <c r="I138" s="9" t="n"/>
      <c r="J138" s="9" t="n"/>
      <c r="K138" s="9">
        <f>IF($I138=6,$G138*$H138*$J138,"")</f>
        <v/>
      </c>
      <c r="L138" s="9">
        <f>IF($I138=8,$G138*$H138*$J138,"")</f>
        <v/>
      </c>
      <c r="M138" s="9">
        <f>IF($I138=10,$G138*$H138*$J138,"")</f>
        <v/>
      </c>
      <c r="N138" s="9">
        <f>IF($I138=12,$G138*$H138*$J138,"")</f>
        <v/>
      </c>
      <c r="O138" s="9">
        <f>IF($I138=14,$G138*$H138*$J138,"")</f>
        <v/>
      </c>
      <c r="P138" s="9">
        <f>IF($I138=16,$G138*$H138*$J138,"")</f>
        <v/>
      </c>
      <c r="Q138" s="9">
        <f>IF($I138=20,$G138*$H138*$J138,"")</f>
        <v/>
      </c>
      <c r="R138" s="9">
        <f>IF($I138=25,$G138*$H138*$J138,"")</f>
        <v/>
      </c>
      <c r="S138" s="9">
        <f>IF($I138=32,$G138*$H138*$J138,"")</f>
        <v/>
      </c>
    </row>
    <row r="139">
      <c r="A139" s="8" t="inlineStr">
        <is>
          <t>Armature INF X</t>
        </is>
      </c>
      <c r="B139" s="8" t="n"/>
      <c r="C139" s="8" t="n"/>
      <c r="D139" s="9" t="n"/>
      <c r="E139" s="9" t="n"/>
      <c r="F139" s="9" t="n"/>
      <c r="G139" s="9" t="n">
        <v>1</v>
      </c>
      <c r="H139" s="9" t="n">
        <v>7</v>
      </c>
      <c r="I139" s="9" t="n">
        <v>8</v>
      </c>
      <c r="J139" s="9">
        <f>(E138-0.05)+34*I139/1000</f>
        <v/>
      </c>
      <c r="K139" s="9">
        <f>IF($I139=6,$G139*$H139*$J139,"")</f>
        <v/>
      </c>
      <c r="L139" s="9">
        <f>IF($I139=8,$G139*$H139*$J139,"")</f>
        <v/>
      </c>
      <c r="M139" s="9">
        <f>IF($I139=10,$G139*$H139*$J139,"")</f>
        <v/>
      </c>
      <c r="N139" s="9">
        <f>IF($I139=12,$G139*$H139*$J139,"")</f>
        <v/>
      </c>
      <c r="O139" s="9">
        <f>IF($I139=14,$G139*$H139*$J139,"")</f>
        <v/>
      </c>
      <c r="P139" s="9">
        <f>IF($I139=16,$G139*$H139*$J139,"")</f>
        <v/>
      </c>
      <c r="Q139" s="9">
        <f>IF($I139=20,$G139*$H139*$J139,"")</f>
        <v/>
      </c>
      <c r="R139" s="9">
        <f>IF($I139=25,$G139*$H139*$J139,"")</f>
        <v/>
      </c>
      <c r="S139" s="9">
        <f>IF($I139=32,$G139*$H139*$J139,"")</f>
        <v/>
      </c>
    </row>
    <row r="140">
      <c r="A140" s="8" t="inlineStr">
        <is>
          <t>Armature INF Y</t>
        </is>
      </c>
      <c r="B140" s="8" t="n"/>
      <c r="C140" s="8" t="n"/>
      <c r="D140" s="9" t="n"/>
      <c r="E140" s="9" t="n"/>
      <c r="F140" s="9" t="n"/>
      <c r="G140" s="9" t="n">
        <v>1</v>
      </c>
      <c r="H140" s="9" t="n">
        <v>7</v>
      </c>
      <c r="I140" s="9" t="n">
        <v>8</v>
      </c>
      <c r="J140" s="9">
        <f>(D138-0.05)+34*I140/1000</f>
        <v/>
      </c>
      <c r="K140" s="9">
        <f>IF($I140=6,$G140*$H140*$J140,"")</f>
        <v/>
      </c>
      <c r="L140" s="9">
        <f>IF($I140=8,$G140*$H140*$J140,"")</f>
        <v/>
      </c>
      <c r="M140" s="9">
        <f>IF($I140=10,$G140*$H140*$J140,"")</f>
        <v/>
      </c>
      <c r="N140" s="9">
        <f>IF($I140=12,$G140*$H140*$J140,"")</f>
        <v/>
      </c>
      <c r="O140" s="9">
        <f>IF($I140=14,$G140*$H140*$J140,"")</f>
        <v/>
      </c>
      <c r="P140" s="9">
        <f>IF($I140=16,$G140*$H140*$J140,"")</f>
        <v/>
      </c>
      <c r="Q140" s="9">
        <f>IF($I140=20,$G140*$H140*$J140,"")</f>
        <v/>
      </c>
      <c r="R140" s="9">
        <f>IF($I140=25,$G140*$H140*$J140,"")</f>
        <v/>
      </c>
      <c r="S140" s="9">
        <f>IF($I140=32,$G140*$H140*$J140,"")</f>
        <v/>
      </c>
    </row>
    <row r="141">
      <c r="A141" s="7" t="inlineStr">
        <is>
          <t>Armatures non cotées dans la table (à vérifier sur coupes)</t>
        </is>
      </c>
    </row>
    <row r="142">
      <c r="A142" s="8" t="inlineStr">
        <is>
          <t>S1_30</t>
        </is>
      </c>
      <c r="B142" s="8" t="inlineStr">
        <is>
          <t>E</t>
        </is>
      </c>
      <c r="C142" s="8" t="inlineStr">
        <is>
          <t>4</t>
        </is>
      </c>
      <c r="D142" s="9" t="n">
        <v>0.9</v>
      </c>
      <c r="E142" s="9" t="n">
        <v>0.9</v>
      </c>
      <c r="F142" s="9" t="n">
        <v>0.25</v>
      </c>
      <c r="G142" s="9" t="n"/>
      <c r="H142" s="9" t="n"/>
      <c r="I142" s="9" t="n"/>
      <c r="J142" s="9" t="n"/>
      <c r="K142" s="9">
        <f>IF($I142=6,$G142*$H142*$J142,"")</f>
        <v/>
      </c>
      <c r="L142" s="9">
        <f>IF($I142=8,$G142*$H142*$J142,"")</f>
        <v/>
      </c>
      <c r="M142" s="9">
        <f>IF($I142=10,$G142*$H142*$J142,"")</f>
        <v/>
      </c>
      <c r="N142" s="9">
        <f>IF($I142=12,$G142*$H142*$J142,"")</f>
        <v/>
      </c>
      <c r="O142" s="9">
        <f>IF($I142=14,$G142*$H142*$J142,"")</f>
        <v/>
      </c>
      <c r="P142" s="9">
        <f>IF($I142=16,$G142*$H142*$J142,"")</f>
        <v/>
      </c>
      <c r="Q142" s="9">
        <f>IF($I142=20,$G142*$H142*$J142,"")</f>
        <v/>
      </c>
      <c r="R142" s="9">
        <f>IF($I142=25,$G142*$H142*$J142,"")</f>
        <v/>
      </c>
      <c r="S142" s="9">
        <f>IF($I142=32,$G142*$H142*$J142,"")</f>
        <v/>
      </c>
    </row>
    <row r="143">
      <c r="A143" s="8" t="inlineStr">
        <is>
          <t>Armature INF X</t>
        </is>
      </c>
      <c r="B143" s="8" t="n"/>
      <c r="C143" s="8" t="n"/>
      <c r="D143" s="9" t="n"/>
      <c r="E143" s="9" t="n"/>
      <c r="F143" s="9" t="n"/>
      <c r="G143" s="9" t="n">
        <v>1</v>
      </c>
      <c r="H143" s="9" t="n">
        <v>7</v>
      </c>
      <c r="I143" s="9" t="n">
        <v>8</v>
      </c>
      <c r="J143" s="9">
        <f>(E142-0.05)+34*I143/1000</f>
        <v/>
      </c>
      <c r="K143" s="9">
        <f>IF($I143=6,$G143*$H143*$J143,"")</f>
        <v/>
      </c>
      <c r="L143" s="9">
        <f>IF($I143=8,$G143*$H143*$J143,"")</f>
        <v/>
      </c>
      <c r="M143" s="9">
        <f>IF($I143=10,$G143*$H143*$J143,"")</f>
        <v/>
      </c>
      <c r="N143" s="9">
        <f>IF($I143=12,$G143*$H143*$J143,"")</f>
        <v/>
      </c>
      <c r="O143" s="9">
        <f>IF($I143=14,$G143*$H143*$J143,"")</f>
        <v/>
      </c>
      <c r="P143" s="9">
        <f>IF($I143=16,$G143*$H143*$J143,"")</f>
        <v/>
      </c>
      <c r="Q143" s="9">
        <f>IF($I143=20,$G143*$H143*$J143,"")</f>
        <v/>
      </c>
      <c r="R143" s="9">
        <f>IF($I143=25,$G143*$H143*$J143,"")</f>
        <v/>
      </c>
      <c r="S143" s="9">
        <f>IF($I143=32,$G143*$H143*$J143,"")</f>
        <v/>
      </c>
    </row>
    <row r="144">
      <c r="A144" s="8" t="inlineStr">
        <is>
          <t>Armature INF Y</t>
        </is>
      </c>
      <c r="B144" s="8" t="n"/>
      <c r="C144" s="8" t="n"/>
      <c r="D144" s="9" t="n"/>
      <c r="E144" s="9" t="n"/>
      <c r="F144" s="9" t="n"/>
      <c r="G144" s="9" t="n">
        <v>1</v>
      </c>
      <c r="H144" s="9" t="n">
        <v>7</v>
      </c>
      <c r="I144" s="9" t="n">
        <v>8</v>
      </c>
      <c r="J144" s="9">
        <f>(D142-0.05)+34*I144/1000</f>
        <v/>
      </c>
      <c r="K144" s="9">
        <f>IF($I144=6,$G144*$H144*$J144,"")</f>
        <v/>
      </c>
      <c r="L144" s="9">
        <f>IF($I144=8,$G144*$H144*$J144,"")</f>
        <v/>
      </c>
      <c r="M144" s="9">
        <f>IF($I144=10,$G144*$H144*$J144,"")</f>
        <v/>
      </c>
      <c r="N144" s="9">
        <f>IF($I144=12,$G144*$H144*$J144,"")</f>
        <v/>
      </c>
      <c r="O144" s="9">
        <f>IF($I144=14,$G144*$H144*$J144,"")</f>
        <v/>
      </c>
      <c r="P144" s="9">
        <f>IF($I144=16,$G144*$H144*$J144,"")</f>
        <v/>
      </c>
      <c r="Q144" s="9">
        <f>IF($I144=20,$G144*$H144*$J144,"")</f>
        <v/>
      </c>
      <c r="R144" s="9">
        <f>IF($I144=25,$G144*$H144*$J144,"")</f>
        <v/>
      </c>
      <c r="S144" s="9">
        <f>IF($I144=32,$G144*$H144*$J144,"")</f>
        <v/>
      </c>
    </row>
    <row r="145">
      <c r="A145" s="7" t="inlineStr">
        <is>
          <t>Armatures non cotées dans la table (à vérifier sur coupes)</t>
        </is>
      </c>
    </row>
    <row r="146">
      <c r="A146" s="8" t="inlineStr">
        <is>
          <t>S1_31</t>
        </is>
      </c>
      <c r="B146" s="8" t="inlineStr">
        <is>
          <t>F</t>
        </is>
      </c>
      <c r="C146" s="8" t="inlineStr">
        <is>
          <t>4</t>
        </is>
      </c>
      <c r="D146" s="9" t="n">
        <v>0.9</v>
      </c>
      <c r="E146" s="9" t="n">
        <v>0.9</v>
      </c>
      <c r="F146" s="9" t="n">
        <v>0.25</v>
      </c>
      <c r="G146" s="9" t="n"/>
      <c r="H146" s="9" t="n"/>
      <c r="I146" s="9" t="n"/>
      <c r="J146" s="9" t="n"/>
      <c r="K146" s="9">
        <f>IF($I146=6,$G146*$H146*$J146,"")</f>
        <v/>
      </c>
      <c r="L146" s="9">
        <f>IF($I146=8,$G146*$H146*$J146,"")</f>
        <v/>
      </c>
      <c r="M146" s="9">
        <f>IF($I146=10,$G146*$H146*$J146,"")</f>
        <v/>
      </c>
      <c r="N146" s="9">
        <f>IF($I146=12,$G146*$H146*$J146,"")</f>
        <v/>
      </c>
      <c r="O146" s="9">
        <f>IF($I146=14,$G146*$H146*$J146,"")</f>
        <v/>
      </c>
      <c r="P146" s="9">
        <f>IF($I146=16,$G146*$H146*$J146,"")</f>
        <v/>
      </c>
      <c r="Q146" s="9">
        <f>IF($I146=20,$G146*$H146*$J146,"")</f>
        <v/>
      </c>
      <c r="R146" s="9">
        <f>IF($I146=25,$G146*$H146*$J146,"")</f>
        <v/>
      </c>
      <c r="S146" s="9">
        <f>IF($I146=32,$G146*$H146*$J146,"")</f>
        <v/>
      </c>
    </row>
    <row r="147">
      <c r="A147" s="8" t="inlineStr">
        <is>
          <t>Armature INF X</t>
        </is>
      </c>
      <c r="B147" s="8" t="n"/>
      <c r="C147" s="8" t="n"/>
      <c r="D147" s="9" t="n"/>
      <c r="E147" s="9" t="n"/>
      <c r="F147" s="9" t="n"/>
      <c r="G147" s="9" t="n">
        <v>1</v>
      </c>
      <c r="H147" s="9" t="n">
        <v>7</v>
      </c>
      <c r="I147" s="9" t="n">
        <v>8</v>
      </c>
      <c r="J147" s="9">
        <f>(E146-0.05)+34*I147/1000</f>
        <v/>
      </c>
      <c r="K147" s="9">
        <f>IF($I147=6,$G147*$H147*$J147,"")</f>
        <v/>
      </c>
      <c r="L147" s="9">
        <f>IF($I147=8,$G147*$H147*$J147,"")</f>
        <v/>
      </c>
      <c r="M147" s="9">
        <f>IF($I147=10,$G147*$H147*$J147,"")</f>
        <v/>
      </c>
      <c r="N147" s="9">
        <f>IF($I147=12,$G147*$H147*$J147,"")</f>
        <v/>
      </c>
      <c r="O147" s="9">
        <f>IF($I147=14,$G147*$H147*$J147,"")</f>
        <v/>
      </c>
      <c r="P147" s="9">
        <f>IF($I147=16,$G147*$H147*$J147,"")</f>
        <v/>
      </c>
      <c r="Q147" s="9">
        <f>IF($I147=20,$G147*$H147*$J147,"")</f>
        <v/>
      </c>
      <c r="R147" s="9">
        <f>IF($I147=25,$G147*$H147*$J147,"")</f>
        <v/>
      </c>
      <c r="S147" s="9">
        <f>IF($I147=32,$G147*$H147*$J147,"")</f>
        <v/>
      </c>
    </row>
    <row r="148">
      <c r="A148" s="8" t="inlineStr">
        <is>
          <t>Armature INF Y</t>
        </is>
      </c>
      <c r="B148" s="8" t="n"/>
      <c r="C148" s="8" t="n"/>
      <c r="D148" s="9" t="n"/>
      <c r="E148" s="9" t="n"/>
      <c r="F148" s="9" t="n"/>
      <c r="G148" s="9" t="n">
        <v>1</v>
      </c>
      <c r="H148" s="9" t="n">
        <v>7</v>
      </c>
      <c r="I148" s="9" t="n">
        <v>8</v>
      </c>
      <c r="J148" s="9">
        <f>(D146-0.05)+34*I148/1000</f>
        <v/>
      </c>
      <c r="K148" s="9">
        <f>IF($I148=6,$G148*$H148*$J148,"")</f>
        <v/>
      </c>
      <c r="L148" s="9">
        <f>IF($I148=8,$G148*$H148*$J148,"")</f>
        <v/>
      </c>
      <c r="M148" s="9">
        <f>IF($I148=10,$G148*$H148*$J148,"")</f>
        <v/>
      </c>
      <c r="N148" s="9">
        <f>IF($I148=12,$G148*$H148*$J148,"")</f>
        <v/>
      </c>
      <c r="O148" s="9">
        <f>IF($I148=14,$G148*$H148*$J148,"")</f>
        <v/>
      </c>
      <c r="P148" s="9">
        <f>IF($I148=16,$G148*$H148*$J148,"")</f>
        <v/>
      </c>
      <c r="Q148" s="9">
        <f>IF($I148=20,$G148*$H148*$J148,"")</f>
        <v/>
      </c>
      <c r="R148" s="9">
        <f>IF($I148=25,$G148*$H148*$J148,"")</f>
        <v/>
      </c>
      <c r="S148" s="9">
        <f>IF($I148=32,$G148*$H148*$J148,"")</f>
        <v/>
      </c>
    </row>
    <row r="149">
      <c r="A149" s="7" t="inlineStr">
        <is>
          <t>Armatures non cotées dans la table (à vérifier sur coupes)</t>
        </is>
      </c>
    </row>
    <row r="150">
      <c r="A150" s="8" t="inlineStr">
        <is>
          <t>S1_32</t>
        </is>
      </c>
      <c r="B150" s="8" t="inlineStr">
        <is>
          <t>H</t>
        </is>
      </c>
      <c r="C150" s="8" t="inlineStr">
        <is>
          <t>4</t>
        </is>
      </c>
      <c r="D150" s="9" t="n">
        <v>0.9</v>
      </c>
      <c r="E150" s="9" t="n">
        <v>0.9</v>
      </c>
      <c r="F150" s="9" t="n">
        <v>0.25</v>
      </c>
      <c r="G150" s="9" t="n"/>
      <c r="H150" s="9" t="n"/>
      <c r="I150" s="9" t="n"/>
      <c r="J150" s="9" t="n"/>
      <c r="K150" s="9">
        <f>IF($I150=6,$G150*$H150*$J150,"")</f>
        <v/>
      </c>
      <c r="L150" s="9">
        <f>IF($I150=8,$G150*$H150*$J150,"")</f>
        <v/>
      </c>
      <c r="M150" s="9">
        <f>IF($I150=10,$G150*$H150*$J150,"")</f>
        <v/>
      </c>
      <c r="N150" s="9">
        <f>IF($I150=12,$G150*$H150*$J150,"")</f>
        <v/>
      </c>
      <c r="O150" s="9">
        <f>IF($I150=14,$G150*$H150*$J150,"")</f>
        <v/>
      </c>
      <c r="P150" s="9">
        <f>IF($I150=16,$G150*$H150*$J150,"")</f>
        <v/>
      </c>
      <c r="Q150" s="9">
        <f>IF($I150=20,$G150*$H150*$J150,"")</f>
        <v/>
      </c>
      <c r="R150" s="9">
        <f>IF($I150=25,$G150*$H150*$J150,"")</f>
        <v/>
      </c>
      <c r="S150" s="9">
        <f>IF($I150=32,$G150*$H150*$J150,"")</f>
        <v/>
      </c>
    </row>
    <row r="151">
      <c r="A151" s="8" t="inlineStr">
        <is>
          <t>Armature INF X</t>
        </is>
      </c>
      <c r="B151" s="8" t="n"/>
      <c r="C151" s="8" t="n"/>
      <c r="D151" s="9" t="n"/>
      <c r="E151" s="9" t="n"/>
      <c r="F151" s="9" t="n"/>
      <c r="G151" s="9" t="n">
        <v>1</v>
      </c>
      <c r="H151" s="9" t="n">
        <v>7</v>
      </c>
      <c r="I151" s="9" t="n">
        <v>8</v>
      </c>
      <c r="J151" s="9">
        <f>(E150-0.05)+34*I151/1000</f>
        <v/>
      </c>
      <c r="K151" s="9">
        <f>IF($I151=6,$G151*$H151*$J151,"")</f>
        <v/>
      </c>
      <c r="L151" s="9">
        <f>IF($I151=8,$G151*$H151*$J151,"")</f>
        <v/>
      </c>
      <c r="M151" s="9">
        <f>IF($I151=10,$G151*$H151*$J151,"")</f>
        <v/>
      </c>
      <c r="N151" s="9">
        <f>IF($I151=12,$G151*$H151*$J151,"")</f>
        <v/>
      </c>
      <c r="O151" s="9">
        <f>IF($I151=14,$G151*$H151*$J151,"")</f>
        <v/>
      </c>
      <c r="P151" s="9">
        <f>IF($I151=16,$G151*$H151*$J151,"")</f>
        <v/>
      </c>
      <c r="Q151" s="9">
        <f>IF($I151=20,$G151*$H151*$J151,"")</f>
        <v/>
      </c>
      <c r="R151" s="9">
        <f>IF($I151=25,$G151*$H151*$J151,"")</f>
        <v/>
      </c>
      <c r="S151" s="9">
        <f>IF($I151=32,$G151*$H151*$J151,"")</f>
        <v/>
      </c>
    </row>
    <row r="152">
      <c r="A152" s="8" t="inlineStr">
        <is>
          <t>Armature INF Y</t>
        </is>
      </c>
      <c r="B152" s="8" t="n"/>
      <c r="C152" s="8" t="n"/>
      <c r="D152" s="9" t="n"/>
      <c r="E152" s="9" t="n"/>
      <c r="F152" s="9" t="n"/>
      <c r="G152" s="9" t="n">
        <v>1</v>
      </c>
      <c r="H152" s="9" t="n">
        <v>7</v>
      </c>
      <c r="I152" s="9" t="n">
        <v>8</v>
      </c>
      <c r="J152" s="9">
        <f>(D150-0.05)+34*I152/1000</f>
        <v/>
      </c>
      <c r="K152" s="9">
        <f>IF($I152=6,$G152*$H152*$J152,"")</f>
        <v/>
      </c>
      <c r="L152" s="9">
        <f>IF($I152=8,$G152*$H152*$J152,"")</f>
        <v/>
      </c>
      <c r="M152" s="9">
        <f>IF($I152=10,$G152*$H152*$J152,"")</f>
        <v/>
      </c>
      <c r="N152" s="9">
        <f>IF($I152=12,$G152*$H152*$J152,"")</f>
        <v/>
      </c>
      <c r="O152" s="9">
        <f>IF($I152=14,$G152*$H152*$J152,"")</f>
        <v/>
      </c>
      <c r="P152" s="9">
        <f>IF($I152=16,$G152*$H152*$J152,"")</f>
        <v/>
      </c>
      <c r="Q152" s="9">
        <f>IF($I152=20,$G152*$H152*$J152,"")</f>
        <v/>
      </c>
      <c r="R152" s="9">
        <f>IF($I152=25,$G152*$H152*$J152,"")</f>
        <v/>
      </c>
      <c r="S152" s="9">
        <f>IF($I152=32,$G152*$H152*$J152,"")</f>
        <v/>
      </c>
    </row>
    <row r="153">
      <c r="A153" s="7" t="inlineStr">
        <is>
          <t>Armatures non cotées dans la table (à vérifier sur coupes)</t>
        </is>
      </c>
    </row>
    <row r="154">
      <c r="A154" s="8" t="inlineStr">
        <is>
          <t>S1_33</t>
        </is>
      </c>
      <c r="B154" s="8" t="inlineStr">
        <is>
          <t>I</t>
        </is>
      </c>
      <c r="C154" s="8" t="inlineStr">
        <is>
          <t>4</t>
        </is>
      </c>
      <c r="D154" s="9" t="n">
        <v>0.9</v>
      </c>
      <c r="E154" s="9" t="n">
        <v>0.9</v>
      </c>
      <c r="F154" s="9" t="n">
        <v>0.25</v>
      </c>
      <c r="G154" s="9" t="n"/>
      <c r="H154" s="9" t="n"/>
      <c r="I154" s="9" t="n"/>
      <c r="J154" s="9" t="n"/>
      <c r="K154" s="9">
        <f>IF($I154=6,$G154*$H154*$J154,"")</f>
        <v/>
      </c>
      <c r="L154" s="9">
        <f>IF($I154=8,$G154*$H154*$J154,"")</f>
        <v/>
      </c>
      <c r="M154" s="9">
        <f>IF($I154=10,$G154*$H154*$J154,"")</f>
        <v/>
      </c>
      <c r="N154" s="9">
        <f>IF($I154=12,$G154*$H154*$J154,"")</f>
        <v/>
      </c>
      <c r="O154" s="9">
        <f>IF($I154=14,$G154*$H154*$J154,"")</f>
        <v/>
      </c>
      <c r="P154" s="9">
        <f>IF($I154=16,$G154*$H154*$J154,"")</f>
        <v/>
      </c>
      <c r="Q154" s="9">
        <f>IF($I154=20,$G154*$H154*$J154,"")</f>
        <v/>
      </c>
      <c r="R154" s="9">
        <f>IF($I154=25,$G154*$H154*$J154,"")</f>
        <v/>
      </c>
      <c r="S154" s="9">
        <f>IF($I154=32,$G154*$H154*$J154,"")</f>
        <v/>
      </c>
    </row>
    <row r="155">
      <c r="A155" s="8" t="inlineStr">
        <is>
          <t>Armature INF X</t>
        </is>
      </c>
      <c r="B155" s="8" t="n"/>
      <c r="C155" s="8" t="n"/>
      <c r="D155" s="9" t="n"/>
      <c r="E155" s="9" t="n"/>
      <c r="F155" s="9" t="n"/>
      <c r="G155" s="9" t="n">
        <v>1</v>
      </c>
      <c r="H155" s="9" t="n">
        <v>7</v>
      </c>
      <c r="I155" s="9" t="n">
        <v>8</v>
      </c>
      <c r="J155" s="9">
        <f>(E154-0.05)+34*I155/1000</f>
        <v/>
      </c>
      <c r="K155" s="9">
        <f>IF($I155=6,$G155*$H155*$J155,"")</f>
        <v/>
      </c>
      <c r="L155" s="9">
        <f>IF($I155=8,$G155*$H155*$J155,"")</f>
        <v/>
      </c>
      <c r="M155" s="9">
        <f>IF($I155=10,$G155*$H155*$J155,"")</f>
        <v/>
      </c>
      <c r="N155" s="9">
        <f>IF($I155=12,$G155*$H155*$J155,"")</f>
        <v/>
      </c>
      <c r="O155" s="9">
        <f>IF($I155=14,$G155*$H155*$J155,"")</f>
        <v/>
      </c>
      <c r="P155" s="9">
        <f>IF($I155=16,$G155*$H155*$J155,"")</f>
        <v/>
      </c>
      <c r="Q155" s="9">
        <f>IF($I155=20,$G155*$H155*$J155,"")</f>
        <v/>
      </c>
      <c r="R155" s="9">
        <f>IF($I155=25,$G155*$H155*$J155,"")</f>
        <v/>
      </c>
      <c r="S155" s="9">
        <f>IF($I155=32,$G155*$H155*$J155,"")</f>
        <v/>
      </c>
    </row>
    <row r="156">
      <c r="A156" s="8" t="inlineStr">
        <is>
          <t>Armature INF Y</t>
        </is>
      </c>
      <c r="B156" s="8" t="n"/>
      <c r="C156" s="8" t="n"/>
      <c r="D156" s="9" t="n"/>
      <c r="E156" s="9" t="n"/>
      <c r="F156" s="9" t="n"/>
      <c r="G156" s="9" t="n">
        <v>1</v>
      </c>
      <c r="H156" s="9" t="n">
        <v>7</v>
      </c>
      <c r="I156" s="9" t="n">
        <v>8</v>
      </c>
      <c r="J156" s="9">
        <f>(D154-0.05)+34*I156/1000</f>
        <v/>
      </c>
      <c r="K156" s="9">
        <f>IF($I156=6,$G156*$H156*$J156,"")</f>
        <v/>
      </c>
      <c r="L156" s="9">
        <f>IF($I156=8,$G156*$H156*$J156,"")</f>
        <v/>
      </c>
      <c r="M156" s="9">
        <f>IF($I156=10,$G156*$H156*$J156,"")</f>
        <v/>
      </c>
      <c r="N156" s="9">
        <f>IF($I156=12,$G156*$H156*$J156,"")</f>
        <v/>
      </c>
      <c r="O156" s="9">
        <f>IF($I156=14,$G156*$H156*$J156,"")</f>
        <v/>
      </c>
      <c r="P156" s="9">
        <f>IF($I156=16,$G156*$H156*$J156,"")</f>
        <v/>
      </c>
      <c r="Q156" s="9">
        <f>IF($I156=20,$G156*$H156*$J156,"")</f>
        <v/>
      </c>
      <c r="R156" s="9">
        <f>IF($I156=25,$G156*$H156*$J156,"")</f>
        <v/>
      </c>
      <c r="S156" s="9">
        <f>IF($I156=32,$G156*$H156*$J156,"")</f>
        <v/>
      </c>
    </row>
    <row r="157">
      <c r="A157" s="7" t="inlineStr">
        <is>
          <t>Armatures non cotées dans la table (à vérifier sur coupes)</t>
        </is>
      </c>
    </row>
    <row r="158">
      <c r="A158" s="8" t="inlineStr">
        <is>
          <t>S2_4</t>
        </is>
      </c>
      <c r="B158" s="8" t="inlineStr">
        <is>
          <t>D</t>
        </is>
      </c>
      <c r="C158" s="8" t="inlineStr">
        <is>
          <t>2</t>
        </is>
      </c>
      <c r="D158" s="9" t="n">
        <v>0.9</v>
      </c>
      <c r="E158" s="9" t="n">
        <v>1.9</v>
      </c>
      <c r="F158" s="9" t="n">
        <v>0.25</v>
      </c>
      <c r="G158" s="9" t="n"/>
      <c r="H158" s="9" t="n"/>
      <c r="I158" s="9" t="n"/>
      <c r="J158" s="9" t="n"/>
      <c r="K158" s="9">
        <f>IF($I158=6,$G158*$H158*$J158,"")</f>
        <v/>
      </c>
      <c r="L158" s="9">
        <f>IF($I158=8,$G158*$H158*$J158,"")</f>
        <v/>
      </c>
      <c r="M158" s="9">
        <f>IF($I158=10,$G158*$H158*$J158,"")</f>
        <v/>
      </c>
      <c r="N158" s="9">
        <f>IF($I158=12,$G158*$H158*$J158,"")</f>
        <v/>
      </c>
      <c r="O158" s="9">
        <f>IF($I158=14,$G158*$H158*$J158,"")</f>
        <v/>
      </c>
      <c r="P158" s="9">
        <f>IF($I158=16,$G158*$H158*$J158,"")</f>
        <v/>
      </c>
      <c r="Q158" s="9">
        <f>IF($I158=20,$G158*$H158*$J158,"")</f>
        <v/>
      </c>
      <c r="R158" s="9">
        <f>IF($I158=25,$G158*$H158*$J158,"")</f>
        <v/>
      </c>
      <c r="S158" s="9">
        <f>IF($I158=32,$G158*$H158*$J158,"")</f>
        <v/>
      </c>
    </row>
    <row r="159">
      <c r="A159" s="8" t="inlineStr">
        <is>
          <t>Armature INF X</t>
        </is>
      </c>
      <c r="B159" s="8" t="n"/>
      <c r="C159" s="8" t="n"/>
      <c r="D159" s="9" t="n"/>
      <c r="E159" s="9" t="n"/>
      <c r="F159" s="9" t="n"/>
      <c r="G159" s="9" t="n">
        <v>1</v>
      </c>
      <c r="H159" s="9" t="n">
        <v>7</v>
      </c>
      <c r="I159" s="9" t="n">
        <v>8</v>
      </c>
      <c r="J159" s="9">
        <f>(E158-0.05)+34*I159/1000</f>
        <v/>
      </c>
      <c r="K159" s="9">
        <f>IF($I159=6,$G159*$H159*$J159,"")</f>
        <v/>
      </c>
      <c r="L159" s="9">
        <f>IF($I159=8,$G159*$H159*$J159,"")</f>
        <v/>
      </c>
      <c r="M159" s="9">
        <f>IF($I159=10,$G159*$H159*$J159,"")</f>
        <v/>
      </c>
      <c r="N159" s="9">
        <f>IF($I159=12,$G159*$H159*$J159,"")</f>
        <v/>
      </c>
      <c r="O159" s="9">
        <f>IF($I159=14,$G159*$H159*$J159,"")</f>
        <v/>
      </c>
      <c r="P159" s="9">
        <f>IF($I159=16,$G159*$H159*$J159,"")</f>
        <v/>
      </c>
      <c r="Q159" s="9">
        <f>IF($I159=20,$G159*$H159*$J159,"")</f>
        <v/>
      </c>
      <c r="R159" s="9">
        <f>IF($I159=25,$G159*$H159*$J159,"")</f>
        <v/>
      </c>
      <c r="S159" s="9">
        <f>IF($I159=32,$G159*$H159*$J159,"")</f>
        <v/>
      </c>
    </row>
    <row r="160">
      <c r="A160" s="8" t="inlineStr">
        <is>
          <t>Armature INF Y</t>
        </is>
      </c>
      <c r="B160" s="8" t="n"/>
      <c r="C160" s="8" t="n"/>
      <c r="D160" s="9" t="n"/>
      <c r="E160" s="9" t="n"/>
      <c r="F160" s="9" t="n"/>
      <c r="G160" s="9" t="n">
        <v>1</v>
      </c>
      <c r="H160" s="9" t="n">
        <v>14</v>
      </c>
      <c r="I160" s="9" t="n">
        <v>10</v>
      </c>
      <c r="J160" s="9">
        <f>(D158-0.05)+34*I160/1000</f>
        <v/>
      </c>
      <c r="K160" s="9">
        <f>IF($I160=6,$G160*$H160*$J160,"")</f>
        <v/>
      </c>
      <c r="L160" s="9">
        <f>IF($I160=8,$G160*$H160*$J160,"")</f>
        <v/>
      </c>
      <c r="M160" s="9">
        <f>IF($I160=10,$G160*$H160*$J160,"")</f>
        <v/>
      </c>
      <c r="N160" s="9">
        <f>IF($I160=12,$G160*$H160*$J160,"")</f>
        <v/>
      </c>
      <c r="O160" s="9">
        <f>IF($I160=14,$G160*$H160*$J160,"")</f>
        <v/>
      </c>
      <c r="P160" s="9">
        <f>IF($I160=16,$G160*$H160*$J160,"")</f>
        <v/>
      </c>
      <c r="Q160" s="9">
        <f>IF($I160=20,$G160*$H160*$J160,"")</f>
        <v/>
      </c>
      <c r="R160" s="9">
        <f>IF($I160=25,$G160*$H160*$J160,"")</f>
        <v/>
      </c>
      <c r="S160" s="9">
        <f>IF($I160=32,$G160*$H160*$J160,"")</f>
        <v/>
      </c>
    </row>
    <row r="161">
      <c r="A161" s="7" t="inlineStr">
        <is>
          <t>Armatures non cotées dans la table (à vérifier sur coupes)</t>
        </is>
      </c>
    </row>
    <row r="162">
      <c r="A162" s="8" t="inlineStr">
        <is>
          <t>S1_34</t>
        </is>
      </c>
      <c r="B162" s="8" t="inlineStr">
        <is>
          <t>E</t>
        </is>
      </c>
      <c r="C162" s="8" t="inlineStr">
        <is>
          <t>6</t>
        </is>
      </c>
      <c r="D162" s="9" t="n">
        <v>0.9</v>
      </c>
      <c r="E162" s="9" t="n">
        <v>0.9</v>
      </c>
      <c r="F162" s="9" t="n">
        <v>0.25</v>
      </c>
      <c r="G162" s="9" t="n"/>
      <c r="H162" s="9" t="n"/>
      <c r="I162" s="9" t="n"/>
      <c r="J162" s="9" t="n"/>
      <c r="K162" s="9">
        <f>IF($I162=6,$G162*$H162*$J162,"")</f>
        <v/>
      </c>
      <c r="L162" s="9">
        <f>IF($I162=8,$G162*$H162*$J162,"")</f>
        <v/>
      </c>
      <c r="M162" s="9">
        <f>IF($I162=10,$G162*$H162*$J162,"")</f>
        <v/>
      </c>
      <c r="N162" s="9">
        <f>IF($I162=12,$G162*$H162*$J162,"")</f>
        <v/>
      </c>
      <c r="O162" s="9">
        <f>IF($I162=14,$G162*$H162*$J162,"")</f>
        <v/>
      </c>
      <c r="P162" s="9">
        <f>IF($I162=16,$G162*$H162*$J162,"")</f>
        <v/>
      </c>
      <c r="Q162" s="9">
        <f>IF($I162=20,$G162*$H162*$J162,"")</f>
        <v/>
      </c>
      <c r="R162" s="9">
        <f>IF($I162=25,$G162*$H162*$J162,"")</f>
        <v/>
      </c>
      <c r="S162" s="9">
        <f>IF($I162=32,$G162*$H162*$J162,"")</f>
        <v/>
      </c>
    </row>
    <row r="163">
      <c r="A163" s="8" t="inlineStr">
        <is>
          <t>Armature INF X</t>
        </is>
      </c>
      <c r="B163" s="8" t="n"/>
      <c r="C163" s="8" t="n"/>
      <c r="D163" s="9" t="n"/>
      <c r="E163" s="9" t="n"/>
      <c r="F163" s="9" t="n"/>
      <c r="G163" s="9" t="n">
        <v>1</v>
      </c>
      <c r="H163" s="9" t="n">
        <v>7</v>
      </c>
      <c r="I163" s="9" t="n">
        <v>8</v>
      </c>
      <c r="J163" s="9">
        <f>(E162-0.05)+34*I163/1000</f>
        <v/>
      </c>
      <c r="K163" s="9">
        <f>IF($I163=6,$G163*$H163*$J163,"")</f>
        <v/>
      </c>
      <c r="L163" s="9">
        <f>IF($I163=8,$G163*$H163*$J163,"")</f>
        <v/>
      </c>
      <c r="M163" s="9">
        <f>IF($I163=10,$G163*$H163*$J163,"")</f>
        <v/>
      </c>
      <c r="N163" s="9">
        <f>IF($I163=12,$G163*$H163*$J163,"")</f>
        <v/>
      </c>
      <c r="O163" s="9">
        <f>IF($I163=14,$G163*$H163*$J163,"")</f>
        <v/>
      </c>
      <c r="P163" s="9">
        <f>IF($I163=16,$G163*$H163*$J163,"")</f>
        <v/>
      </c>
      <c r="Q163" s="9">
        <f>IF($I163=20,$G163*$H163*$J163,"")</f>
        <v/>
      </c>
      <c r="R163" s="9">
        <f>IF($I163=25,$G163*$H163*$J163,"")</f>
        <v/>
      </c>
      <c r="S163" s="9">
        <f>IF($I163=32,$G163*$H163*$J163,"")</f>
        <v/>
      </c>
    </row>
    <row r="164">
      <c r="A164" s="8" t="inlineStr">
        <is>
          <t>Armature INF Y</t>
        </is>
      </c>
      <c r="B164" s="8" t="n"/>
      <c r="C164" s="8" t="n"/>
      <c r="D164" s="9" t="n"/>
      <c r="E164" s="9" t="n"/>
      <c r="F164" s="9" t="n"/>
      <c r="G164" s="9" t="n">
        <v>1</v>
      </c>
      <c r="H164" s="9" t="n">
        <v>7</v>
      </c>
      <c r="I164" s="9" t="n">
        <v>8</v>
      </c>
      <c r="J164" s="9">
        <f>(D162-0.05)+34*I164/1000</f>
        <v/>
      </c>
      <c r="K164" s="9">
        <f>IF($I164=6,$G164*$H164*$J164,"")</f>
        <v/>
      </c>
      <c r="L164" s="9">
        <f>IF($I164=8,$G164*$H164*$J164,"")</f>
        <v/>
      </c>
      <c r="M164" s="9">
        <f>IF($I164=10,$G164*$H164*$J164,"")</f>
        <v/>
      </c>
      <c r="N164" s="9">
        <f>IF($I164=12,$G164*$H164*$J164,"")</f>
        <v/>
      </c>
      <c r="O164" s="9">
        <f>IF($I164=14,$G164*$H164*$J164,"")</f>
        <v/>
      </c>
      <c r="P164" s="9">
        <f>IF($I164=16,$G164*$H164*$J164,"")</f>
        <v/>
      </c>
      <c r="Q164" s="9">
        <f>IF($I164=20,$G164*$H164*$J164,"")</f>
        <v/>
      </c>
      <c r="R164" s="9">
        <f>IF($I164=25,$G164*$H164*$J164,"")</f>
        <v/>
      </c>
      <c r="S164" s="9">
        <f>IF($I164=32,$G164*$H164*$J164,"")</f>
        <v/>
      </c>
    </row>
    <row r="165">
      <c r="A165" s="7" t="inlineStr">
        <is>
          <t>Armatures non cotées dans la table (à vérifier sur coupes)</t>
        </is>
      </c>
    </row>
    <row r="166">
      <c r="A166" s="8" t="inlineStr">
        <is>
          <t>S3_3</t>
        </is>
      </c>
      <c r="B166" s="8" t="inlineStr">
        <is>
          <t>F</t>
        </is>
      </c>
      <c r="C166" s="8" t="inlineStr">
        <is>
          <t>7</t>
        </is>
      </c>
      <c r="D166" s="9" t="n">
        <v>1</v>
      </c>
      <c r="E166" s="9" t="n">
        <v>1</v>
      </c>
      <c r="F166" s="9" t="n">
        <v>0.25</v>
      </c>
      <c r="G166" s="9" t="n"/>
      <c r="H166" s="9" t="n"/>
      <c r="I166" s="9" t="n"/>
      <c r="J166" s="9" t="n"/>
      <c r="K166" s="9">
        <f>IF($I166=6,$G166*$H166*$J166,"")</f>
        <v/>
      </c>
      <c r="L166" s="9">
        <f>IF($I166=8,$G166*$H166*$J166,"")</f>
        <v/>
      </c>
      <c r="M166" s="9">
        <f>IF($I166=10,$G166*$H166*$J166,"")</f>
        <v/>
      </c>
      <c r="N166" s="9">
        <f>IF($I166=12,$G166*$H166*$J166,"")</f>
        <v/>
      </c>
      <c r="O166" s="9">
        <f>IF($I166=14,$G166*$H166*$J166,"")</f>
        <v/>
      </c>
      <c r="P166" s="9">
        <f>IF($I166=16,$G166*$H166*$J166,"")</f>
        <v/>
      </c>
      <c r="Q166" s="9">
        <f>IF($I166=20,$G166*$H166*$J166,"")</f>
        <v/>
      </c>
      <c r="R166" s="9">
        <f>IF($I166=25,$G166*$H166*$J166,"")</f>
        <v/>
      </c>
      <c r="S166" s="9">
        <f>IF($I166=32,$G166*$H166*$J166,"")</f>
        <v/>
      </c>
    </row>
    <row r="167">
      <c r="A167" s="8" t="inlineStr">
        <is>
          <t>Armature INF X</t>
        </is>
      </c>
      <c r="B167" s="8" t="n"/>
      <c r="C167" s="8" t="n"/>
      <c r="D167" s="9" t="n"/>
      <c r="E167" s="9" t="n"/>
      <c r="F167" s="9" t="n"/>
      <c r="G167" s="9" t="n">
        <v>1</v>
      </c>
      <c r="H167" s="9" t="n">
        <v>8</v>
      </c>
      <c r="I167" s="9" t="n">
        <v>10</v>
      </c>
      <c r="J167" s="9">
        <f>(E166-0.05)+34*I167/1000</f>
        <v/>
      </c>
      <c r="K167" s="9">
        <f>IF($I167=6,$G167*$H167*$J167,"")</f>
        <v/>
      </c>
      <c r="L167" s="9">
        <f>IF($I167=8,$G167*$H167*$J167,"")</f>
        <v/>
      </c>
      <c r="M167" s="9">
        <f>IF($I167=10,$G167*$H167*$J167,"")</f>
        <v/>
      </c>
      <c r="N167" s="9">
        <f>IF($I167=12,$G167*$H167*$J167,"")</f>
        <v/>
      </c>
      <c r="O167" s="9">
        <f>IF($I167=14,$G167*$H167*$J167,"")</f>
        <v/>
      </c>
      <c r="P167" s="9">
        <f>IF($I167=16,$G167*$H167*$J167,"")</f>
        <v/>
      </c>
      <c r="Q167" s="9">
        <f>IF($I167=20,$G167*$H167*$J167,"")</f>
        <v/>
      </c>
      <c r="R167" s="9">
        <f>IF($I167=25,$G167*$H167*$J167,"")</f>
        <v/>
      </c>
      <c r="S167" s="9">
        <f>IF($I167=32,$G167*$H167*$J167,"")</f>
        <v/>
      </c>
    </row>
    <row r="168">
      <c r="A168" s="8" t="inlineStr">
        <is>
          <t>Armature INF Y</t>
        </is>
      </c>
      <c r="B168" s="8" t="n"/>
      <c r="C168" s="8" t="n"/>
      <c r="D168" s="9" t="n"/>
      <c r="E168" s="9" t="n"/>
      <c r="F168" s="9" t="n"/>
      <c r="G168" s="9" t="n">
        <v>1</v>
      </c>
      <c r="H168" s="9" t="n">
        <v>8</v>
      </c>
      <c r="I168" s="9" t="n">
        <v>10</v>
      </c>
      <c r="J168" s="9">
        <f>(D166-0.05)+34*I168/1000</f>
        <v/>
      </c>
      <c r="K168" s="9">
        <f>IF($I168=6,$G168*$H168*$J168,"")</f>
        <v/>
      </c>
      <c r="L168" s="9">
        <f>IF($I168=8,$G168*$H168*$J168,"")</f>
        <v/>
      </c>
      <c r="M168" s="9">
        <f>IF($I168=10,$G168*$H168*$J168,"")</f>
        <v/>
      </c>
      <c r="N168" s="9">
        <f>IF($I168=12,$G168*$H168*$J168,"")</f>
        <v/>
      </c>
      <c r="O168" s="9">
        <f>IF($I168=14,$G168*$H168*$J168,"")</f>
        <v/>
      </c>
      <c r="P168" s="9">
        <f>IF($I168=16,$G168*$H168*$J168,"")</f>
        <v/>
      </c>
      <c r="Q168" s="9">
        <f>IF($I168=20,$G168*$H168*$J168,"")</f>
        <v/>
      </c>
      <c r="R168" s="9">
        <f>IF($I168=25,$G168*$H168*$J168,"")</f>
        <v/>
      </c>
      <c r="S168" s="9">
        <f>IF($I168=32,$G168*$H168*$J168,"")</f>
        <v/>
      </c>
    </row>
    <row r="169">
      <c r="A169" s="7" t="inlineStr">
        <is>
          <t>Armatures non cotées dans la table (à vérifier sur coupes)</t>
        </is>
      </c>
    </row>
    <row r="170">
      <c r="A170" s="8" t="inlineStr">
        <is>
          <t>S1_35</t>
        </is>
      </c>
      <c r="B170" s="8" t="inlineStr">
        <is>
          <t>E</t>
        </is>
      </c>
      <c r="C170" s="8" t="inlineStr">
        <is>
          <t>4</t>
        </is>
      </c>
      <c r="D170" s="9" t="n">
        <v>0.9</v>
      </c>
      <c r="E170" s="9" t="n">
        <v>0.9</v>
      </c>
      <c r="F170" s="9" t="n">
        <v>0.25</v>
      </c>
      <c r="G170" s="9" t="n"/>
      <c r="H170" s="9" t="n"/>
      <c r="I170" s="9" t="n"/>
      <c r="J170" s="9" t="n"/>
      <c r="K170" s="9">
        <f>IF($I170=6,$G170*$H170*$J170,"")</f>
        <v/>
      </c>
      <c r="L170" s="9">
        <f>IF($I170=8,$G170*$H170*$J170,"")</f>
        <v/>
      </c>
      <c r="M170" s="9">
        <f>IF($I170=10,$G170*$H170*$J170,"")</f>
        <v/>
      </c>
      <c r="N170" s="9">
        <f>IF($I170=12,$G170*$H170*$J170,"")</f>
        <v/>
      </c>
      <c r="O170" s="9">
        <f>IF($I170=14,$G170*$H170*$J170,"")</f>
        <v/>
      </c>
      <c r="P170" s="9">
        <f>IF($I170=16,$G170*$H170*$J170,"")</f>
        <v/>
      </c>
      <c r="Q170" s="9">
        <f>IF($I170=20,$G170*$H170*$J170,"")</f>
        <v/>
      </c>
      <c r="R170" s="9">
        <f>IF($I170=25,$G170*$H170*$J170,"")</f>
        <v/>
      </c>
      <c r="S170" s="9">
        <f>IF($I170=32,$G170*$H170*$J170,"")</f>
        <v/>
      </c>
    </row>
    <row r="171">
      <c r="A171" s="8" t="inlineStr">
        <is>
          <t>Armature INF X</t>
        </is>
      </c>
      <c r="B171" s="8" t="n"/>
      <c r="C171" s="8" t="n"/>
      <c r="D171" s="9" t="n"/>
      <c r="E171" s="9" t="n"/>
      <c r="F171" s="9" t="n"/>
      <c r="G171" s="9" t="n">
        <v>1</v>
      </c>
      <c r="H171" s="9" t="n">
        <v>7</v>
      </c>
      <c r="I171" s="9" t="n">
        <v>8</v>
      </c>
      <c r="J171" s="9">
        <f>(E170-0.05)+34*I171/1000</f>
        <v/>
      </c>
      <c r="K171" s="9">
        <f>IF($I171=6,$G171*$H171*$J171,"")</f>
        <v/>
      </c>
      <c r="L171" s="9">
        <f>IF($I171=8,$G171*$H171*$J171,"")</f>
        <v/>
      </c>
      <c r="M171" s="9">
        <f>IF($I171=10,$G171*$H171*$J171,"")</f>
        <v/>
      </c>
      <c r="N171" s="9">
        <f>IF($I171=12,$G171*$H171*$J171,"")</f>
        <v/>
      </c>
      <c r="O171" s="9">
        <f>IF($I171=14,$G171*$H171*$J171,"")</f>
        <v/>
      </c>
      <c r="P171" s="9">
        <f>IF($I171=16,$G171*$H171*$J171,"")</f>
        <v/>
      </c>
      <c r="Q171" s="9">
        <f>IF($I171=20,$G171*$H171*$J171,"")</f>
        <v/>
      </c>
      <c r="R171" s="9">
        <f>IF($I171=25,$G171*$H171*$J171,"")</f>
        <v/>
      </c>
      <c r="S171" s="9">
        <f>IF($I171=32,$G171*$H171*$J171,"")</f>
        <v/>
      </c>
    </row>
    <row r="172">
      <c r="A172" s="8" t="inlineStr">
        <is>
          <t>Armature INF Y</t>
        </is>
      </c>
      <c r="B172" s="8" t="n"/>
      <c r="C172" s="8" t="n"/>
      <c r="D172" s="9" t="n"/>
      <c r="E172" s="9" t="n"/>
      <c r="F172" s="9" t="n"/>
      <c r="G172" s="9" t="n">
        <v>1</v>
      </c>
      <c r="H172" s="9" t="n">
        <v>7</v>
      </c>
      <c r="I172" s="9" t="n">
        <v>8</v>
      </c>
      <c r="J172" s="9">
        <f>(D170-0.05)+34*I172/1000</f>
        <v/>
      </c>
      <c r="K172" s="9">
        <f>IF($I172=6,$G172*$H172*$J172,"")</f>
        <v/>
      </c>
      <c r="L172" s="9">
        <f>IF($I172=8,$G172*$H172*$J172,"")</f>
        <v/>
      </c>
      <c r="M172" s="9">
        <f>IF($I172=10,$G172*$H172*$J172,"")</f>
        <v/>
      </c>
      <c r="N172" s="9">
        <f>IF($I172=12,$G172*$H172*$J172,"")</f>
        <v/>
      </c>
      <c r="O172" s="9">
        <f>IF($I172=14,$G172*$H172*$J172,"")</f>
        <v/>
      </c>
      <c r="P172" s="9">
        <f>IF($I172=16,$G172*$H172*$J172,"")</f>
        <v/>
      </c>
      <c r="Q172" s="9">
        <f>IF($I172=20,$G172*$H172*$J172,"")</f>
        <v/>
      </c>
      <c r="R172" s="9">
        <f>IF($I172=25,$G172*$H172*$J172,"")</f>
        <v/>
      </c>
      <c r="S172" s="9">
        <f>IF($I172=32,$G172*$H172*$J172,"")</f>
        <v/>
      </c>
    </row>
    <row r="173">
      <c r="A173" s="7" t="inlineStr">
        <is>
          <t>Armatures non cotées dans la table (à vérifier sur coupes)</t>
        </is>
      </c>
    </row>
    <row r="174">
      <c r="A174" s="8" t="inlineStr">
        <is>
          <t>S1_36</t>
        </is>
      </c>
      <c r="B174" s="8" t="inlineStr">
        <is>
          <t>F</t>
        </is>
      </c>
      <c r="C174" s="8" t="inlineStr">
        <is>
          <t>4</t>
        </is>
      </c>
      <c r="D174" s="9" t="n">
        <v>0.9</v>
      </c>
      <c r="E174" s="9" t="n">
        <v>0.9</v>
      </c>
      <c r="F174" s="9" t="n">
        <v>0.25</v>
      </c>
      <c r="G174" s="9" t="n"/>
      <c r="H174" s="9" t="n"/>
      <c r="I174" s="9" t="n"/>
      <c r="J174" s="9" t="n"/>
      <c r="K174" s="9">
        <f>IF($I174=6,$G174*$H174*$J174,"")</f>
        <v/>
      </c>
      <c r="L174" s="9">
        <f>IF($I174=8,$G174*$H174*$J174,"")</f>
        <v/>
      </c>
      <c r="M174" s="9">
        <f>IF($I174=10,$G174*$H174*$J174,"")</f>
        <v/>
      </c>
      <c r="N174" s="9">
        <f>IF($I174=12,$G174*$H174*$J174,"")</f>
        <v/>
      </c>
      <c r="O174" s="9">
        <f>IF($I174=14,$G174*$H174*$J174,"")</f>
        <v/>
      </c>
      <c r="P174" s="9">
        <f>IF($I174=16,$G174*$H174*$J174,"")</f>
        <v/>
      </c>
      <c r="Q174" s="9">
        <f>IF($I174=20,$G174*$H174*$J174,"")</f>
        <v/>
      </c>
      <c r="R174" s="9">
        <f>IF($I174=25,$G174*$H174*$J174,"")</f>
        <v/>
      </c>
      <c r="S174" s="9">
        <f>IF($I174=32,$G174*$H174*$J174,"")</f>
        <v/>
      </c>
    </row>
    <row r="175">
      <c r="A175" s="8" t="inlineStr">
        <is>
          <t>Armature INF X</t>
        </is>
      </c>
      <c r="B175" s="8" t="n"/>
      <c r="C175" s="8" t="n"/>
      <c r="D175" s="9" t="n"/>
      <c r="E175" s="9" t="n"/>
      <c r="F175" s="9" t="n"/>
      <c r="G175" s="9" t="n">
        <v>1</v>
      </c>
      <c r="H175" s="9" t="n">
        <v>7</v>
      </c>
      <c r="I175" s="9" t="n">
        <v>8</v>
      </c>
      <c r="J175" s="9">
        <f>(E174-0.05)+34*I175/1000</f>
        <v/>
      </c>
      <c r="K175" s="9">
        <f>IF($I175=6,$G175*$H175*$J175,"")</f>
        <v/>
      </c>
      <c r="L175" s="9">
        <f>IF($I175=8,$G175*$H175*$J175,"")</f>
        <v/>
      </c>
      <c r="M175" s="9">
        <f>IF($I175=10,$G175*$H175*$J175,"")</f>
        <v/>
      </c>
      <c r="N175" s="9">
        <f>IF($I175=12,$G175*$H175*$J175,"")</f>
        <v/>
      </c>
      <c r="O175" s="9">
        <f>IF($I175=14,$G175*$H175*$J175,"")</f>
        <v/>
      </c>
      <c r="P175" s="9">
        <f>IF($I175=16,$G175*$H175*$J175,"")</f>
        <v/>
      </c>
      <c r="Q175" s="9">
        <f>IF($I175=20,$G175*$H175*$J175,"")</f>
        <v/>
      </c>
      <c r="R175" s="9">
        <f>IF($I175=25,$G175*$H175*$J175,"")</f>
        <v/>
      </c>
      <c r="S175" s="9">
        <f>IF($I175=32,$G175*$H175*$J175,"")</f>
        <v/>
      </c>
    </row>
    <row r="176">
      <c r="A176" s="8" t="inlineStr">
        <is>
          <t>Armature INF Y</t>
        </is>
      </c>
      <c r="B176" s="8" t="n"/>
      <c r="C176" s="8" t="n"/>
      <c r="D176" s="9" t="n"/>
      <c r="E176" s="9" t="n"/>
      <c r="F176" s="9" t="n"/>
      <c r="G176" s="9" t="n">
        <v>1</v>
      </c>
      <c r="H176" s="9" t="n">
        <v>7</v>
      </c>
      <c r="I176" s="9" t="n">
        <v>8</v>
      </c>
      <c r="J176" s="9">
        <f>(D174-0.05)+34*I176/1000</f>
        <v/>
      </c>
      <c r="K176" s="9">
        <f>IF($I176=6,$G176*$H176*$J176,"")</f>
        <v/>
      </c>
      <c r="L176" s="9">
        <f>IF($I176=8,$G176*$H176*$J176,"")</f>
        <v/>
      </c>
      <c r="M176" s="9">
        <f>IF($I176=10,$G176*$H176*$J176,"")</f>
        <v/>
      </c>
      <c r="N176" s="9">
        <f>IF($I176=12,$G176*$H176*$J176,"")</f>
        <v/>
      </c>
      <c r="O176" s="9">
        <f>IF($I176=14,$G176*$H176*$J176,"")</f>
        <v/>
      </c>
      <c r="P176" s="9">
        <f>IF($I176=16,$G176*$H176*$J176,"")</f>
        <v/>
      </c>
      <c r="Q176" s="9">
        <f>IF($I176=20,$G176*$H176*$J176,"")</f>
        <v/>
      </c>
      <c r="R176" s="9">
        <f>IF($I176=25,$G176*$H176*$J176,"")</f>
        <v/>
      </c>
      <c r="S176" s="9">
        <f>IF($I176=32,$G176*$H176*$J176,"")</f>
        <v/>
      </c>
    </row>
    <row r="177">
      <c r="A177" s="7" t="inlineStr">
        <is>
          <t>Armatures non cotées dans la table (à vérifier sur coupes)</t>
        </is>
      </c>
    </row>
    <row r="178">
      <c r="A178" s="8" t="inlineStr">
        <is>
          <t>S1_37</t>
        </is>
      </c>
      <c r="B178" s="8" t="inlineStr">
        <is>
          <t>I</t>
        </is>
      </c>
      <c r="C178" s="8" t="inlineStr">
        <is>
          <t>6</t>
        </is>
      </c>
      <c r="D178" s="9" t="n">
        <v>0.9</v>
      </c>
      <c r="E178" s="9" t="n">
        <v>0.9</v>
      </c>
      <c r="F178" s="9" t="n">
        <v>0.25</v>
      </c>
      <c r="G178" s="9" t="n"/>
      <c r="H178" s="9" t="n"/>
      <c r="I178" s="9" t="n"/>
      <c r="J178" s="9" t="n"/>
      <c r="K178" s="9">
        <f>IF($I178=6,$G178*$H178*$J178,"")</f>
        <v/>
      </c>
      <c r="L178" s="9">
        <f>IF($I178=8,$G178*$H178*$J178,"")</f>
        <v/>
      </c>
      <c r="M178" s="9">
        <f>IF($I178=10,$G178*$H178*$J178,"")</f>
        <v/>
      </c>
      <c r="N178" s="9">
        <f>IF($I178=12,$G178*$H178*$J178,"")</f>
        <v/>
      </c>
      <c r="O178" s="9">
        <f>IF($I178=14,$G178*$H178*$J178,"")</f>
        <v/>
      </c>
      <c r="P178" s="9">
        <f>IF($I178=16,$G178*$H178*$J178,"")</f>
        <v/>
      </c>
      <c r="Q178" s="9">
        <f>IF($I178=20,$G178*$H178*$J178,"")</f>
        <v/>
      </c>
      <c r="R178" s="9">
        <f>IF($I178=25,$G178*$H178*$J178,"")</f>
        <v/>
      </c>
      <c r="S178" s="9">
        <f>IF($I178=32,$G178*$H178*$J178,"")</f>
        <v/>
      </c>
    </row>
    <row r="179">
      <c r="A179" s="8" t="inlineStr">
        <is>
          <t>Armature INF X</t>
        </is>
      </c>
      <c r="B179" s="8" t="n"/>
      <c r="C179" s="8" t="n"/>
      <c r="D179" s="9" t="n"/>
      <c r="E179" s="9" t="n"/>
      <c r="F179" s="9" t="n"/>
      <c r="G179" s="9" t="n">
        <v>1</v>
      </c>
      <c r="H179" s="9" t="n">
        <v>7</v>
      </c>
      <c r="I179" s="9" t="n">
        <v>8</v>
      </c>
      <c r="J179" s="9">
        <f>(E178-0.05)+34*I179/1000</f>
        <v/>
      </c>
      <c r="K179" s="9">
        <f>IF($I179=6,$G179*$H179*$J179,"")</f>
        <v/>
      </c>
      <c r="L179" s="9">
        <f>IF($I179=8,$G179*$H179*$J179,"")</f>
        <v/>
      </c>
      <c r="M179" s="9">
        <f>IF($I179=10,$G179*$H179*$J179,"")</f>
        <v/>
      </c>
      <c r="N179" s="9">
        <f>IF($I179=12,$G179*$H179*$J179,"")</f>
        <v/>
      </c>
      <c r="O179" s="9">
        <f>IF($I179=14,$G179*$H179*$J179,"")</f>
        <v/>
      </c>
      <c r="P179" s="9">
        <f>IF($I179=16,$G179*$H179*$J179,"")</f>
        <v/>
      </c>
      <c r="Q179" s="9">
        <f>IF($I179=20,$G179*$H179*$J179,"")</f>
        <v/>
      </c>
      <c r="R179" s="9">
        <f>IF($I179=25,$G179*$H179*$J179,"")</f>
        <v/>
      </c>
      <c r="S179" s="9">
        <f>IF($I179=32,$G179*$H179*$J179,"")</f>
        <v/>
      </c>
    </row>
    <row r="180">
      <c r="A180" s="8" t="inlineStr">
        <is>
          <t>Armature INF Y</t>
        </is>
      </c>
      <c r="B180" s="8" t="n"/>
      <c r="C180" s="8" t="n"/>
      <c r="D180" s="9" t="n"/>
      <c r="E180" s="9" t="n"/>
      <c r="F180" s="9" t="n"/>
      <c r="G180" s="9" t="n">
        <v>1</v>
      </c>
      <c r="H180" s="9" t="n">
        <v>7</v>
      </c>
      <c r="I180" s="9" t="n">
        <v>8</v>
      </c>
      <c r="J180" s="9">
        <f>(D178-0.05)+34*I180/1000</f>
        <v/>
      </c>
      <c r="K180" s="9">
        <f>IF($I180=6,$G180*$H180*$J180,"")</f>
        <v/>
      </c>
      <c r="L180" s="9">
        <f>IF($I180=8,$G180*$H180*$J180,"")</f>
        <v/>
      </c>
      <c r="M180" s="9">
        <f>IF($I180=10,$G180*$H180*$J180,"")</f>
        <v/>
      </c>
      <c r="N180" s="9">
        <f>IF($I180=12,$G180*$H180*$J180,"")</f>
        <v/>
      </c>
      <c r="O180" s="9">
        <f>IF($I180=14,$G180*$H180*$J180,"")</f>
        <v/>
      </c>
      <c r="P180" s="9">
        <f>IF($I180=16,$G180*$H180*$J180,"")</f>
        <v/>
      </c>
      <c r="Q180" s="9">
        <f>IF($I180=20,$G180*$H180*$J180,"")</f>
        <v/>
      </c>
      <c r="R180" s="9">
        <f>IF($I180=25,$G180*$H180*$J180,"")</f>
        <v/>
      </c>
      <c r="S180" s="9">
        <f>IF($I180=32,$G180*$H180*$J180,"")</f>
        <v/>
      </c>
    </row>
    <row r="181">
      <c r="A181" s="7" t="inlineStr">
        <is>
          <t>Armatures non cotées dans la table (à vérifier sur coupes)</t>
        </is>
      </c>
    </row>
    <row r="182">
      <c r="A182" s="8" t="inlineStr">
        <is>
          <t>S2_5</t>
        </is>
      </c>
      <c r="B182" s="8" t="inlineStr">
        <is>
          <t>H</t>
        </is>
      </c>
      <c r="C182" s="8" t="inlineStr">
        <is>
          <t>3</t>
        </is>
      </c>
      <c r="D182" s="9" t="n">
        <v>0.9</v>
      </c>
      <c r="E182" s="9" t="n">
        <v>1.9</v>
      </c>
      <c r="F182" s="9" t="n">
        <v>0.25</v>
      </c>
      <c r="G182" s="9" t="n"/>
      <c r="H182" s="9" t="n"/>
      <c r="I182" s="9" t="n"/>
      <c r="J182" s="9" t="n"/>
      <c r="K182" s="9">
        <f>IF($I182=6,$G182*$H182*$J182,"")</f>
        <v/>
      </c>
      <c r="L182" s="9">
        <f>IF($I182=8,$G182*$H182*$J182,"")</f>
        <v/>
      </c>
      <c r="M182" s="9">
        <f>IF($I182=10,$G182*$H182*$J182,"")</f>
        <v/>
      </c>
      <c r="N182" s="9">
        <f>IF($I182=12,$G182*$H182*$J182,"")</f>
        <v/>
      </c>
      <c r="O182" s="9">
        <f>IF($I182=14,$G182*$H182*$J182,"")</f>
        <v/>
      </c>
      <c r="P182" s="9">
        <f>IF($I182=16,$G182*$H182*$J182,"")</f>
        <v/>
      </c>
      <c r="Q182" s="9">
        <f>IF($I182=20,$G182*$H182*$J182,"")</f>
        <v/>
      </c>
      <c r="R182" s="9">
        <f>IF($I182=25,$G182*$H182*$J182,"")</f>
        <v/>
      </c>
      <c r="S182" s="9">
        <f>IF($I182=32,$G182*$H182*$J182,"")</f>
        <v/>
      </c>
    </row>
    <row r="183">
      <c r="A183" s="8" t="inlineStr">
        <is>
          <t>Armature INF X</t>
        </is>
      </c>
      <c r="B183" s="8" t="n"/>
      <c r="C183" s="8" t="n"/>
      <c r="D183" s="9" t="n"/>
      <c r="E183" s="9" t="n"/>
      <c r="F183" s="9" t="n"/>
      <c r="G183" s="9" t="n">
        <v>1</v>
      </c>
      <c r="H183" s="9" t="n">
        <v>7</v>
      </c>
      <c r="I183" s="9" t="n">
        <v>8</v>
      </c>
      <c r="J183" s="9">
        <f>(E182-0.05)+34*I183/1000</f>
        <v/>
      </c>
      <c r="K183" s="9">
        <f>IF($I183=6,$G183*$H183*$J183,"")</f>
        <v/>
      </c>
      <c r="L183" s="9">
        <f>IF($I183=8,$G183*$H183*$J183,"")</f>
        <v/>
      </c>
      <c r="M183" s="9">
        <f>IF($I183=10,$G183*$H183*$J183,"")</f>
        <v/>
      </c>
      <c r="N183" s="9">
        <f>IF($I183=12,$G183*$H183*$J183,"")</f>
        <v/>
      </c>
      <c r="O183" s="9">
        <f>IF($I183=14,$G183*$H183*$J183,"")</f>
        <v/>
      </c>
      <c r="P183" s="9">
        <f>IF($I183=16,$G183*$H183*$J183,"")</f>
        <v/>
      </c>
      <c r="Q183" s="9">
        <f>IF($I183=20,$G183*$H183*$J183,"")</f>
        <v/>
      </c>
      <c r="R183" s="9">
        <f>IF($I183=25,$G183*$H183*$J183,"")</f>
        <v/>
      </c>
      <c r="S183" s="9">
        <f>IF($I183=32,$G183*$H183*$J183,"")</f>
        <v/>
      </c>
    </row>
    <row r="184">
      <c r="A184" s="8" t="inlineStr">
        <is>
          <t>Armature INF Y</t>
        </is>
      </c>
      <c r="B184" s="8" t="n"/>
      <c r="C184" s="8" t="n"/>
      <c r="D184" s="9" t="n"/>
      <c r="E184" s="9" t="n"/>
      <c r="F184" s="9" t="n"/>
      <c r="G184" s="9" t="n">
        <v>1</v>
      </c>
      <c r="H184" s="9" t="n">
        <v>14</v>
      </c>
      <c r="I184" s="9" t="n">
        <v>10</v>
      </c>
      <c r="J184" s="9">
        <f>(D182-0.05)+34*I184/1000</f>
        <v/>
      </c>
      <c r="K184" s="9">
        <f>IF($I184=6,$G184*$H184*$J184,"")</f>
        <v/>
      </c>
      <c r="L184" s="9">
        <f>IF($I184=8,$G184*$H184*$J184,"")</f>
        <v/>
      </c>
      <c r="M184" s="9">
        <f>IF($I184=10,$G184*$H184*$J184,"")</f>
        <v/>
      </c>
      <c r="N184" s="9">
        <f>IF($I184=12,$G184*$H184*$J184,"")</f>
        <v/>
      </c>
      <c r="O184" s="9">
        <f>IF($I184=14,$G184*$H184*$J184,"")</f>
        <v/>
      </c>
      <c r="P184" s="9">
        <f>IF($I184=16,$G184*$H184*$J184,"")</f>
        <v/>
      </c>
      <c r="Q184" s="9">
        <f>IF($I184=20,$G184*$H184*$J184,"")</f>
        <v/>
      </c>
      <c r="R184" s="9">
        <f>IF($I184=25,$G184*$H184*$J184,"")</f>
        <v/>
      </c>
      <c r="S184" s="9">
        <f>IF($I184=32,$G184*$H184*$J184,"")</f>
        <v/>
      </c>
    </row>
    <row r="185">
      <c r="A185" s="7" t="inlineStr">
        <is>
          <t>Armatures non cotées dans la table (à vérifier sur coupes)</t>
        </is>
      </c>
    </row>
    <row r="186">
      <c r="A186" s="8" t="inlineStr">
        <is>
          <t>S1_38</t>
        </is>
      </c>
      <c r="B186" s="8" t="inlineStr">
        <is>
          <t>E</t>
        </is>
      </c>
      <c r="C186" s="8" t="inlineStr">
        <is>
          <t>3</t>
        </is>
      </c>
      <c r="D186" s="9" t="n">
        <v>0.9</v>
      </c>
      <c r="E186" s="9" t="n">
        <v>0.9</v>
      </c>
      <c r="F186" s="9" t="n">
        <v>0.25</v>
      </c>
      <c r="G186" s="9" t="n"/>
      <c r="H186" s="9" t="n"/>
      <c r="I186" s="9" t="n"/>
      <c r="J186" s="9" t="n"/>
      <c r="K186" s="9">
        <f>IF($I186=6,$G186*$H186*$J186,"")</f>
        <v/>
      </c>
      <c r="L186" s="9">
        <f>IF($I186=8,$G186*$H186*$J186,"")</f>
        <v/>
      </c>
      <c r="M186" s="9">
        <f>IF($I186=10,$G186*$H186*$J186,"")</f>
        <v/>
      </c>
      <c r="N186" s="9">
        <f>IF($I186=12,$G186*$H186*$J186,"")</f>
        <v/>
      </c>
      <c r="O186" s="9">
        <f>IF($I186=14,$G186*$H186*$J186,"")</f>
        <v/>
      </c>
      <c r="P186" s="9">
        <f>IF($I186=16,$G186*$H186*$J186,"")</f>
        <v/>
      </c>
      <c r="Q186" s="9">
        <f>IF($I186=20,$G186*$H186*$J186,"")</f>
        <v/>
      </c>
      <c r="R186" s="9">
        <f>IF($I186=25,$G186*$H186*$J186,"")</f>
        <v/>
      </c>
      <c r="S186" s="9">
        <f>IF($I186=32,$G186*$H186*$J186,"")</f>
        <v/>
      </c>
    </row>
    <row r="187">
      <c r="A187" s="8" t="inlineStr">
        <is>
          <t>Armature INF X</t>
        </is>
      </c>
      <c r="B187" s="8" t="n"/>
      <c r="C187" s="8" t="n"/>
      <c r="D187" s="9" t="n"/>
      <c r="E187" s="9" t="n"/>
      <c r="F187" s="9" t="n"/>
      <c r="G187" s="9" t="n">
        <v>1</v>
      </c>
      <c r="H187" s="9" t="n">
        <v>7</v>
      </c>
      <c r="I187" s="9" t="n">
        <v>8</v>
      </c>
      <c r="J187" s="9">
        <f>(E186-0.05)+34*I187/1000</f>
        <v/>
      </c>
      <c r="K187" s="9">
        <f>IF($I187=6,$G187*$H187*$J187,"")</f>
        <v/>
      </c>
      <c r="L187" s="9">
        <f>IF($I187=8,$G187*$H187*$J187,"")</f>
        <v/>
      </c>
      <c r="M187" s="9">
        <f>IF($I187=10,$G187*$H187*$J187,"")</f>
        <v/>
      </c>
      <c r="N187" s="9">
        <f>IF($I187=12,$G187*$H187*$J187,"")</f>
        <v/>
      </c>
      <c r="O187" s="9">
        <f>IF($I187=14,$G187*$H187*$J187,"")</f>
        <v/>
      </c>
      <c r="P187" s="9">
        <f>IF($I187=16,$G187*$H187*$J187,"")</f>
        <v/>
      </c>
      <c r="Q187" s="9">
        <f>IF($I187=20,$G187*$H187*$J187,"")</f>
        <v/>
      </c>
      <c r="R187" s="9">
        <f>IF($I187=25,$G187*$H187*$J187,"")</f>
        <v/>
      </c>
      <c r="S187" s="9">
        <f>IF($I187=32,$G187*$H187*$J187,"")</f>
        <v/>
      </c>
    </row>
    <row r="188">
      <c r="A188" s="8" t="inlineStr">
        <is>
          <t>Armature INF Y</t>
        </is>
      </c>
      <c r="B188" s="8" t="n"/>
      <c r="C188" s="8" t="n"/>
      <c r="D188" s="9" t="n"/>
      <c r="E188" s="9" t="n"/>
      <c r="F188" s="9" t="n"/>
      <c r="G188" s="9" t="n">
        <v>1</v>
      </c>
      <c r="H188" s="9" t="n">
        <v>7</v>
      </c>
      <c r="I188" s="9" t="n">
        <v>8</v>
      </c>
      <c r="J188" s="9">
        <f>(D186-0.05)+34*I188/1000</f>
        <v/>
      </c>
      <c r="K188" s="9">
        <f>IF($I188=6,$G188*$H188*$J188,"")</f>
        <v/>
      </c>
      <c r="L188" s="9">
        <f>IF($I188=8,$G188*$H188*$J188,"")</f>
        <v/>
      </c>
      <c r="M188" s="9">
        <f>IF($I188=10,$G188*$H188*$J188,"")</f>
        <v/>
      </c>
      <c r="N188" s="9">
        <f>IF($I188=12,$G188*$H188*$J188,"")</f>
        <v/>
      </c>
      <c r="O188" s="9">
        <f>IF($I188=14,$G188*$H188*$J188,"")</f>
        <v/>
      </c>
      <c r="P188" s="9">
        <f>IF($I188=16,$G188*$H188*$J188,"")</f>
        <v/>
      </c>
      <c r="Q188" s="9">
        <f>IF($I188=20,$G188*$H188*$J188,"")</f>
        <v/>
      </c>
      <c r="R188" s="9">
        <f>IF($I188=25,$G188*$H188*$J188,"")</f>
        <v/>
      </c>
      <c r="S188" s="9">
        <f>IF($I188=32,$G188*$H188*$J188,"")</f>
        <v/>
      </c>
    </row>
    <row r="189">
      <c r="A189" s="7" t="inlineStr">
        <is>
          <t>Armatures non cotées dans la table (à vérifier sur coupes)</t>
        </is>
      </c>
    </row>
    <row r="190">
      <c r="A190" s="8" t="inlineStr">
        <is>
          <t>S1_39</t>
        </is>
      </c>
      <c r="B190" s="8" t="inlineStr">
        <is>
          <t>I</t>
        </is>
      </c>
      <c r="C190" s="8" t="inlineStr">
        <is>
          <t>3</t>
        </is>
      </c>
      <c r="D190" s="9" t="n">
        <v>0.9</v>
      </c>
      <c r="E190" s="9" t="n">
        <v>0.9</v>
      </c>
      <c r="F190" s="9" t="n">
        <v>0.25</v>
      </c>
      <c r="G190" s="9" t="n"/>
      <c r="H190" s="9" t="n"/>
      <c r="I190" s="9" t="n"/>
      <c r="J190" s="9" t="n"/>
      <c r="K190" s="9">
        <f>IF($I190=6,$G190*$H190*$J190,"")</f>
        <v/>
      </c>
      <c r="L190" s="9">
        <f>IF($I190=8,$G190*$H190*$J190,"")</f>
        <v/>
      </c>
      <c r="M190" s="9">
        <f>IF($I190=10,$G190*$H190*$J190,"")</f>
        <v/>
      </c>
      <c r="N190" s="9">
        <f>IF($I190=12,$G190*$H190*$J190,"")</f>
        <v/>
      </c>
      <c r="O190" s="9">
        <f>IF($I190=14,$G190*$H190*$J190,"")</f>
        <v/>
      </c>
      <c r="P190" s="9">
        <f>IF($I190=16,$G190*$H190*$J190,"")</f>
        <v/>
      </c>
      <c r="Q190" s="9">
        <f>IF($I190=20,$G190*$H190*$J190,"")</f>
        <v/>
      </c>
      <c r="R190" s="9">
        <f>IF($I190=25,$G190*$H190*$J190,"")</f>
        <v/>
      </c>
      <c r="S190" s="9">
        <f>IF($I190=32,$G190*$H190*$J190,"")</f>
        <v/>
      </c>
    </row>
    <row r="191">
      <c r="A191" s="8" t="inlineStr">
        <is>
          <t>Armature INF X</t>
        </is>
      </c>
      <c r="B191" s="8" t="n"/>
      <c r="C191" s="8" t="n"/>
      <c r="D191" s="9" t="n"/>
      <c r="E191" s="9" t="n"/>
      <c r="F191" s="9" t="n"/>
      <c r="G191" s="9" t="n">
        <v>1</v>
      </c>
      <c r="H191" s="9" t="n">
        <v>7</v>
      </c>
      <c r="I191" s="9" t="n">
        <v>8</v>
      </c>
      <c r="J191" s="9">
        <f>(E190-0.05)+34*I191/1000</f>
        <v/>
      </c>
      <c r="K191" s="9">
        <f>IF($I191=6,$G191*$H191*$J191,"")</f>
        <v/>
      </c>
      <c r="L191" s="9">
        <f>IF($I191=8,$G191*$H191*$J191,"")</f>
        <v/>
      </c>
      <c r="M191" s="9">
        <f>IF($I191=10,$G191*$H191*$J191,"")</f>
        <v/>
      </c>
      <c r="N191" s="9">
        <f>IF($I191=12,$G191*$H191*$J191,"")</f>
        <v/>
      </c>
      <c r="O191" s="9">
        <f>IF($I191=14,$G191*$H191*$J191,"")</f>
        <v/>
      </c>
      <c r="P191" s="9">
        <f>IF($I191=16,$G191*$H191*$J191,"")</f>
        <v/>
      </c>
      <c r="Q191" s="9">
        <f>IF($I191=20,$G191*$H191*$J191,"")</f>
        <v/>
      </c>
      <c r="R191" s="9">
        <f>IF($I191=25,$G191*$H191*$J191,"")</f>
        <v/>
      </c>
      <c r="S191" s="9">
        <f>IF($I191=32,$G191*$H191*$J191,"")</f>
        <v/>
      </c>
    </row>
    <row r="192">
      <c r="A192" s="8" t="inlineStr">
        <is>
          <t>Armature INF Y</t>
        </is>
      </c>
      <c r="B192" s="8" t="n"/>
      <c r="C192" s="8" t="n"/>
      <c r="D192" s="9" t="n"/>
      <c r="E192" s="9" t="n"/>
      <c r="F192" s="9" t="n"/>
      <c r="G192" s="9" t="n">
        <v>1</v>
      </c>
      <c r="H192" s="9" t="n">
        <v>7</v>
      </c>
      <c r="I192" s="9" t="n">
        <v>8</v>
      </c>
      <c r="J192" s="9">
        <f>(D190-0.05)+34*I192/1000</f>
        <v/>
      </c>
      <c r="K192" s="9">
        <f>IF($I192=6,$G192*$H192*$J192,"")</f>
        <v/>
      </c>
      <c r="L192" s="9">
        <f>IF($I192=8,$G192*$H192*$J192,"")</f>
        <v/>
      </c>
      <c r="M192" s="9">
        <f>IF($I192=10,$G192*$H192*$J192,"")</f>
        <v/>
      </c>
      <c r="N192" s="9">
        <f>IF($I192=12,$G192*$H192*$J192,"")</f>
        <v/>
      </c>
      <c r="O192" s="9">
        <f>IF($I192=14,$G192*$H192*$J192,"")</f>
        <v/>
      </c>
      <c r="P192" s="9">
        <f>IF($I192=16,$G192*$H192*$J192,"")</f>
        <v/>
      </c>
      <c r="Q192" s="9">
        <f>IF($I192=20,$G192*$H192*$J192,"")</f>
        <v/>
      </c>
      <c r="R192" s="9">
        <f>IF($I192=25,$G192*$H192*$J192,"")</f>
        <v/>
      </c>
      <c r="S192" s="9">
        <f>IF($I192=32,$G192*$H192*$J192,"")</f>
        <v/>
      </c>
    </row>
    <row r="193">
      <c r="A193" s="7" t="inlineStr">
        <is>
          <t>Armatures non cotées dans la table (à vérifier sur coupes)</t>
        </is>
      </c>
    </row>
    <row r="194">
      <c r="A194" s="8" t="inlineStr">
        <is>
          <t>S2_6</t>
        </is>
      </c>
      <c r="B194" s="8" t="inlineStr">
        <is>
          <t>A</t>
        </is>
      </c>
      <c r="C194" s="8" t="inlineStr">
        <is>
          <t>17</t>
        </is>
      </c>
      <c r="D194" s="9" t="n">
        <v>0.9</v>
      </c>
      <c r="E194" s="9" t="n">
        <v>1.9</v>
      </c>
      <c r="F194" s="9" t="n">
        <v>0.25</v>
      </c>
      <c r="G194" s="9" t="n"/>
      <c r="H194" s="9" t="n"/>
      <c r="I194" s="9" t="n"/>
      <c r="J194" s="9" t="n"/>
      <c r="K194" s="9">
        <f>IF($I194=6,$G194*$H194*$J194,"")</f>
        <v/>
      </c>
      <c r="L194" s="9">
        <f>IF($I194=8,$G194*$H194*$J194,"")</f>
        <v/>
      </c>
      <c r="M194" s="9">
        <f>IF($I194=10,$G194*$H194*$J194,"")</f>
        <v/>
      </c>
      <c r="N194" s="9">
        <f>IF($I194=12,$G194*$H194*$J194,"")</f>
        <v/>
      </c>
      <c r="O194" s="9">
        <f>IF($I194=14,$G194*$H194*$J194,"")</f>
        <v/>
      </c>
      <c r="P194" s="9">
        <f>IF($I194=16,$G194*$H194*$J194,"")</f>
        <v/>
      </c>
      <c r="Q194" s="9">
        <f>IF($I194=20,$G194*$H194*$J194,"")</f>
        <v/>
      </c>
      <c r="R194" s="9">
        <f>IF($I194=25,$G194*$H194*$J194,"")</f>
        <v/>
      </c>
      <c r="S194" s="9">
        <f>IF($I194=32,$G194*$H194*$J194,"")</f>
        <v/>
      </c>
    </row>
    <row r="195">
      <c r="A195" s="8" t="inlineStr">
        <is>
          <t>Armature INF X</t>
        </is>
      </c>
      <c r="B195" s="8" t="n"/>
      <c r="C195" s="8" t="n"/>
      <c r="D195" s="9" t="n"/>
      <c r="E195" s="9" t="n"/>
      <c r="F195" s="9" t="n"/>
      <c r="G195" s="9" t="n">
        <v>1</v>
      </c>
      <c r="H195" s="9" t="n">
        <v>7</v>
      </c>
      <c r="I195" s="9" t="n">
        <v>8</v>
      </c>
      <c r="J195" s="9">
        <f>(E194-0.05)+34*I195/1000</f>
        <v/>
      </c>
      <c r="K195" s="9">
        <f>IF($I195=6,$G195*$H195*$J195,"")</f>
        <v/>
      </c>
      <c r="L195" s="9">
        <f>IF($I195=8,$G195*$H195*$J195,"")</f>
        <v/>
      </c>
      <c r="M195" s="9">
        <f>IF($I195=10,$G195*$H195*$J195,"")</f>
        <v/>
      </c>
      <c r="N195" s="9">
        <f>IF($I195=12,$G195*$H195*$J195,"")</f>
        <v/>
      </c>
      <c r="O195" s="9">
        <f>IF($I195=14,$G195*$H195*$J195,"")</f>
        <v/>
      </c>
      <c r="P195" s="9">
        <f>IF($I195=16,$G195*$H195*$J195,"")</f>
        <v/>
      </c>
      <c r="Q195" s="9">
        <f>IF($I195=20,$G195*$H195*$J195,"")</f>
        <v/>
      </c>
      <c r="R195" s="9">
        <f>IF($I195=25,$G195*$H195*$J195,"")</f>
        <v/>
      </c>
      <c r="S195" s="9">
        <f>IF($I195=32,$G195*$H195*$J195,"")</f>
        <v/>
      </c>
    </row>
    <row r="196">
      <c r="A196" s="8" t="inlineStr">
        <is>
          <t>Armature INF Y</t>
        </is>
      </c>
      <c r="B196" s="8" t="n"/>
      <c r="C196" s="8" t="n"/>
      <c r="D196" s="9" t="n"/>
      <c r="E196" s="9" t="n"/>
      <c r="F196" s="9" t="n"/>
      <c r="G196" s="9" t="n">
        <v>1</v>
      </c>
      <c r="H196" s="9" t="n">
        <v>14</v>
      </c>
      <c r="I196" s="9" t="n">
        <v>10</v>
      </c>
      <c r="J196" s="9">
        <f>(D194-0.05)+34*I196/1000</f>
        <v/>
      </c>
      <c r="K196" s="9">
        <f>IF($I196=6,$G196*$H196*$J196,"")</f>
        <v/>
      </c>
      <c r="L196" s="9">
        <f>IF($I196=8,$G196*$H196*$J196,"")</f>
        <v/>
      </c>
      <c r="M196" s="9">
        <f>IF($I196=10,$G196*$H196*$J196,"")</f>
        <v/>
      </c>
      <c r="N196" s="9">
        <f>IF($I196=12,$G196*$H196*$J196,"")</f>
        <v/>
      </c>
      <c r="O196" s="9">
        <f>IF($I196=14,$G196*$H196*$J196,"")</f>
        <v/>
      </c>
      <c r="P196" s="9">
        <f>IF($I196=16,$G196*$H196*$J196,"")</f>
        <v/>
      </c>
      <c r="Q196" s="9">
        <f>IF($I196=20,$G196*$H196*$J196,"")</f>
        <v/>
      </c>
      <c r="R196" s="9">
        <f>IF($I196=25,$G196*$H196*$J196,"")</f>
        <v/>
      </c>
      <c r="S196" s="9">
        <f>IF($I196=32,$G196*$H196*$J196,"")</f>
        <v/>
      </c>
    </row>
    <row r="197">
      <c r="A197" s="7" t="inlineStr">
        <is>
          <t>Armatures non cotées dans la table (à vérifier sur coupes)</t>
        </is>
      </c>
    </row>
    <row r="198">
      <c r="A198" s="8" t="inlineStr">
        <is>
          <t>S1_40</t>
        </is>
      </c>
      <c r="B198" s="8" t="inlineStr">
        <is>
          <t>A</t>
        </is>
      </c>
      <c r="C198" s="8" t="inlineStr">
        <is>
          <t>17</t>
        </is>
      </c>
      <c r="D198" s="9" t="n">
        <v>0.9</v>
      </c>
      <c r="E198" s="9" t="n">
        <v>0.9</v>
      </c>
      <c r="F198" s="9" t="n">
        <v>0.25</v>
      </c>
      <c r="G198" s="9" t="n"/>
      <c r="H198" s="9" t="n"/>
      <c r="I198" s="9" t="n"/>
      <c r="J198" s="9" t="n"/>
      <c r="K198" s="9">
        <f>IF($I198=6,$G198*$H198*$J198,"")</f>
        <v/>
      </c>
      <c r="L198" s="9">
        <f>IF($I198=8,$G198*$H198*$J198,"")</f>
        <v/>
      </c>
      <c r="M198" s="9">
        <f>IF($I198=10,$G198*$H198*$J198,"")</f>
        <v/>
      </c>
      <c r="N198" s="9">
        <f>IF($I198=12,$G198*$H198*$J198,"")</f>
        <v/>
      </c>
      <c r="O198" s="9">
        <f>IF($I198=14,$G198*$H198*$J198,"")</f>
        <v/>
      </c>
      <c r="P198" s="9">
        <f>IF($I198=16,$G198*$H198*$J198,"")</f>
        <v/>
      </c>
      <c r="Q198" s="9">
        <f>IF($I198=20,$G198*$H198*$J198,"")</f>
        <v/>
      </c>
      <c r="R198" s="9">
        <f>IF($I198=25,$G198*$H198*$J198,"")</f>
        <v/>
      </c>
      <c r="S198" s="9">
        <f>IF($I198=32,$G198*$H198*$J198,"")</f>
        <v/>
      </c>
    </row>
    <row r="199">
      <c r="A199" s="8" t="inlineStr">
        <is>
          <t>Armature INF X</t>
        </is>
      </c>
      <c r="B199" s="8" t="n"/>
      <c r="C199" s="8" t="n"/>
      <c r="D199" s="9" t="n"/>
      <c r="E199" s="9" t="n"/>
      <c r="F199" s="9" t="n"/>
      <c r="G199" s="9" t="n">
        <v>1</v>
      </c>
      <c r="H199" s="9" t="n">
        <v>7</v>
      </c>
      <c r="I199" s="9" t="n">
        <v>8</v>
      </c>
      <c r="J199" s="9">
        <f>(E198-0.05)+34*I199/1000</f>
        <v/>
      </c>
      <c r="K199" s="9">
        <f>IF($I199=6,$G199*$H199*$J199,"")</f>
        <v/>
      </c>
      <c r="L199" s="9">
        <f>IF($I199=8,$G199*$H199*$J199,"")</f>
        <v/>
      </c>
      <c r="M199" s="9">
        <f>IF($I199=10,$G199*$H199*$J199,"")</f>
        <v/>
      </c>
      <c r="N199" s="9">
        <f>IF($I199=12,$G199*$H199*$J199,"")</f>
        <v/>
      </c>
      <c r="O199" s="9">
        <f>IF($I199=14,$G199*$H199*$J199,"")</f>
        <v/>
      </c>
      <c r="P199" s="9">
        <f>IF($I199=16,$G199*$H199*$J199,"")</f>
        <v/>
      </c>
      <c r="Q199" s="9">
        <f>IF($I199=20,$G199*$H199*$J199,"")</f>
        <v/>
      </c>
      <c r="R199" s="9">
        <f>IF($I199=25,$G199*$H199*$J199,"")</f>
        <v/>
      </c>
      <c r="S199" s="9">
        <f>IF($I199=32,$G199*$H199*$J199,"")</f>
        <v/>
      </c>
    </row>
    <row r="200">
      <c r="A200" s="8" t="inlineStr">
        <is>
          <t>Armature INF Y</t>
        </is>
      </c>
      <c r="B200" s="8" t="n"/>
      <c r="C200" s="8" t="n"/>
      <c r="D200" s="9" t="n"/>
      <c r="E200" s="9" t="n"/>
      <c r="F200" s="9" t="n"/>
      <c r="G200" s="9" t="n">
        <v>1</v>
      </c>
      <c r="H200" s="9" t="n">
        <v>7</v>
      </c>
      <c r="I200" s="9" t="n">
        <v>8</v>
      </c>
      <c r="J200" s="9">
        <f>(D198-0.05)+34*I200/1000</f>
        <v/>
      </c>
      <c r="K200" s="9">
        <f>IF($I200=6,$G200*$H200*$J200,"")</f>
        <v/>
      </c>
      <c r="L200" s="9">
        <f>IF($I200=8,$G200*$H200*$J200,"")</f>
        <v/>
      </c>
      <c r="M200" s="9">
        <f>IF($I200=10,$G200*$H200*$J200,"")</f>
        <v/>
      </c>
      <c r="N200" s="9">
        <f>IF($I200=12,$G200*$H200*$J200,"")</f>
        <v/>
      </c>
      <c r="O200" s="9">
        <f>IF($I200=14,$G200*$H200*$J200,"")</f>
        <v/>
      </c>
      <c r="P200" s="9">
        <f>IF($I200=16,$G200*$H200*$J200,"")</f>
        <v/>
      </c>
      <c r="Q200" s="9">
        <f>IF($I200=20,$G200*$H200*$J200,"")</f>
        <v/>
      </c>
      <c r="R200" s="9">
        <f>IF($I200=25,$G200*$H200*$J200,"")</f>
        <v/>
      </c>
      <c r="S200" s="9">
        <f>IF($I200=32,$G200*$H200*$J200,"")</f>
        <v/>
      </c>
    </row>
    <row r="201">
      <c r="A201" s="7" t="inlineStr">
        <is>
          <t>Armatures non cotées dans la table (à vérifier sur coupes)</t>
        </is>
      </c>
    </row>
    <row r="202">
      <c r="A202" s="8" t="inlineStr">
        <is>
          <t>S1_41</t>
        </is>
      </c>
      <c r="B202" s="8" t="inlineStr">
        <is>
          <t>A</t>
        </is>
      </c>
      <c r="C202" s="8" t="inlineStr">
        <is>
          <t>17</t>
        </is>
      </c>
      <c r="D202" s="9" t="n">
        <v>0.9</v>
      </c>
      <c r="E202" s="9" t="n">
        <v>0.9</v>
      </c>
      <c r="F202" s="9" t="n">
        <v>0.25</v>
      </c>
      <c r="G202" s="9" t="n"/>
      <c r="H202" s="9" t="n"/>
      <c r="I202" s="9" t="n"/>
      <c r="J202" s="9" t="n"/>
      <c r="K202" s="9">
        <f>IF($I202=6,$G202*$H202*$J202,"")</f>
        <v/>
      </c>
      <c r="L202" s="9">
        <f>IF($I202=8,$G202*$H202*$J202,"")</f>
        <v/>
      </c>
      <c r="M202" s="9">
        <f>IF($I202=10,$G202*$H202*$J202,"")</f>
        <v/>
      </c>
      <c r="N202" s="9">
        <f>IF($I202=12,$G202*$H202*$J202,"")</f>
        <v/>
      </c>
      <c r="O202" s="9">
        <f>IF($I202=14,$G202*$H202*$J202,"")</f>
        <v/>
      </c>
      <c r="P202" s="9">
        <f>IF($I202=16,$G202*$H202*$J202,"")</f>
        <v/>
      </c>
      <c r="Q202" s="9">
        <f>IF($I202=20,$G202*$H202*$J202,"")</f>
        <v/>
      </c>
      <c r="R202" s="9">
        <f>IF($I202=25,$G202*$H202*$J202,"")</f>
        <v/>
      </c>
      <c r="S202" s="9">
        <f>IF($I202=32,$G202*$H202*$J202,"")</f>
        <v/>
      </c>
    </row>
    <row r="203">
      <c r="A203" s="8" t="inlineStr">
        <is>
          <t>Armature INF X</t>
        </is>
      </c>
      <c r="B203" s="8" t="n"/>
      <c r="C203" s="8" t="n"/>
      <c r="D203" s="9" t="n"/>
      <c r="E203" s="9" t="n"/>
      <c r="F203" s="9" t="n"/>
      <c r="G203" s="9" t="n">
        <v>1</v>
      </c>
      <c r="H203" s="9" t="n">
        <v>7</v>
      </c>
      <c r="I203" s="9" t="n">
        <v>8</v>
      </c>
      <c r="J203" s="9">
        <f>(E202-0.05)+34*I203/1000</f>
        <v/>
      </c>
      <c r="K203" s="9">
        <f>IF($I203=6,$G203*$H203*$J203,"")</f>
        <v/>
      </c>
      <c r="L203" s="9">
        <f>IF($I203=8,$G203*$H203*$J203,"")</f>
        <v/>
      </c>
      <c r="M203" s="9">
        <f>IF($I203=10,$G203*$H203*$J203,"")</f>
        <v/>
      </c>
      <c r="N203" s="9">
        <f>IF($I203=12,$G203*$H203*$J203,"")</f>
        <v/>
      </c>
      <c r="O203" s="9">
        <f>IF($I203=14,$G203*$H203*$J203,"")</f>
        <v/>
      </c>
      <c r="P203" s="9">
        <f>IF($I203=16,$G203*$H203*$J203,"")</f>
        <v/>
      </c>
      <c r="Q203" s="9">
        <f>IF($I203=20,$G203*$H203*$J203,"")</f>
        <v/>
      </c>
      <c r="R203" s="9">
        <f>IF($I203=25,$G203*$H203*$J203,"")</f>
        <v/>
      </c>
      <c r="S203" s="9">
        <f>IF($I203=32,$G203*$H203*$J203,"")</f>
        <v/>
      </c>
    </row>
    <row r="204">
      <c r="A204" s="8" t="inlineStr">
        <is>
          <t>Armature INF Y</t>
        </is>
      </c>
      <c r="B204" s="8" t="n"/>
      <c r="C204" s="8" t="n"/>
      <c r="D204" s="9" t="n"/>
      <c r="E204" s="9" t="n"/>
      <c r="F204" s="9" t="n"/>
      <c r="G204" s="9" t="n">
        <v>1</v>
      </c>
      <c r="H204" s="9" t="n">
        <v>7</v>
      </c>
      <c r="I204" s="9" t="n">
        <v>8</v>
      </c>
      <c r="J204" s="9">
        <f>(D202-0.05)+34*I204/1000</f>
        <v/>
      </c>
      <c r="K204" s="9">
        <f>IF($I204=6,$G204*$H204*$J204,"")</f>
        <v/>
      </c>
      <c r="L204" s="9">
        <f>IF($I204=8,$G204*$H204*$J204,"")</f>
        <v/>
      </c>
      <c r="M204" s="9">
        <f>IF($I204=10,$G204*$H204*$J204,"")</f>
        <v/>
      </c>
      <c r="N204" s="9">
        <f>IF($I204=12,$G204*$H204*$J204,"")</f>
        <v/>
      </c>
      <c r="O204" s="9">
        <f>IF($I204=14,$G204*$H204*$J204,"")</f>
        <v/>
      </c>
      <c r="P204" s="9">
        <f>IF($I204=16,$G204*$H204*$J204,"")</f>
        <v/>
      </c>
      <c r="Q204" s="9">
        <f>IF($I204=20,$G204*$H204*$J204,"")</f>
        <v/>
      </c>
      <c r="R204" s="9">
        <f>IF($I204=25,$G204*$H204*$J204,"")</f>
        <v/>
      </c>
      <c r="S204" s="9">
        <f>IF($I204=32,$G204*$H204*$J204,"")</f>
        <v/>
      </c>
    </row>
    <row r="205">
      <c r="A205" s="7" t="inlineStr">
        <is>
          <t>Armatures non cotées dans la table (à vérifier sur coupes)</t>
        </is>
      </c>
    </row>
    <row r="206">
      <c r="A206" s="8" t="inlineStr">
        <is>
          <t>S1_42</t>
        </is>
      </c>
      <c r="B206" s="8" t="inlineStr">
        <is>
          <t>A</t>
        </is>
      </c>
      <c r="C206" s="8" t="inlineStr">
        <is>
          <t>17</t>
        </is>
      </c>
      <c r="D206" s="9" t="n">
        <v>0.9</v>
      </c>
      <c r="E206" s="9" t="n">
        <v>0.9</v>
      </c>
      <c r="F206" s="9" t="n">
        <v>0.25</v>
      </c>
      <c r="G206" s="9" t="n"/>
      <c r="H206" s="9" t="n"/>
      <c r="I206" s="9" t="n"/>
      <c r="J206" s="9" t="n"/>
      <c r="K206" s="9">
        <f>IF($I206=6,$G206*$H206*$J206,"")</f>
        <v/>
      </c>
      <c r="L206" s="9">
        <f>IF($I206=8,$G206*$H206*$J206,"")</f>
        <v/>
      </c>
      <c r="M206" s="9">
        <f>IF($I206=10,$G206*$H206*$J206,"")</f>
        <v/>
      </c>
      <c r="N206" s="9">
        <f>IF($I206=12,$G206*$H206*$J206,"")</f>
        <v/>
      </c>
      <c r="O206" s="9">
        <f>IF($I206=14,$G206*$H206*$J206,"")</f>
        <v/>
      </c>
      <c r="P206" s="9">
        <f>IF($I206=16,$G206*$H206*$J206,"")</f>
        <v/>
      </c>
      <c r="Q206" s="9">
        <f>IF($I206=20,$G206*$H206*$J206,"")</f>
        <v/>
      </c>
      <c r="R206" s="9">
        <f>IF($I206=25,$G206*$H206*$J206,"")</f>
        <v/>
      </c>
      <c r="S206" s="9">
        <f>IF($I206=32,$G206*$H206*$J206,"")</f>
        <v/>
      </c>
    </row>
    <row r="207">
      <c r="A207" s="8" t="inlineStr">
        <is>
          <t>Armature INF X</t>
        </is>
      </c>
      <c r="B207" s="8" t="n"/>
      <c r="C207" s="8" t="n"/>
      <c r="D207" s="9" t="n"/>
      <c r="E207" s="9" t="n"/>
      <c r="F207" s="9" t="n"/>
      <c r="G207" s="9" t="n">
        <v>1</v>
      </c>
      <c r="H207" s="9" t="n">
        <v>7</v>
      </c>
      <c r="I207" s="9" t="n">
        <v>8</v>
      </c>
      <c r="J207" s="9">
        <f>(E206-0.05)+34*I207/1000</f>
        <v/>
      </c>
      <c r="K207" s="9">
        <f>IF($I207=6,$G207*$H207*$J207,"")</f>
        <v/>
      </c>
      <c r="L207" s="9">
        <f>IF($I207=8,$G207*$H207*$J207,"")</f>
        <v/>
      </c>
      <c r="M207" s="9">
        <f>IF($I207=10,$G207*$H207*$J207,"")</f>
        <v/>
      </c>
      <c r="N207" s="9">
        <f>IF($I207=12,$G207*$H207*$J207,"")</f>
        <v/>
      </c>
      <c r="O207" s="9">
        <f>IF($I207=14,$G207*$H207*$J207,"")</f>
        <v/>
      </c>
      <c r="P207" s="9">
        <f>IF($I207=16,$G207*$H207*$J207,"")</f>
        <v/>
      </c>
      <c r="Q207" s="9">
        <f>IF($I207=20,$G207*$H207*$J207,"")</f>
        <v/>
      </c>
      <c r="R207" s="9">
        <f>IF($I207=25,$G207*$H207*$J207,"")</f>
        <v/>
      </c>
      <c r="S207" s="9">
        <f>IF($I207=32,$G207*$H207*$J207,"")</f>
        <v/>
      </c>
    </row>
    <row r="208">
      <c r="A208" s="8" t="inlineStr">
        <is>
          <t>Armature INF Y</t>
        </is>
      </c>
      <c r="B208" s="8" t="n"/>
      <c r="C208" s="8" t="n"/>
      <c r="D208" s="9" t="n"/>
      <c r="E208" s="9" t="n"/>
      <c r="F208" s="9" t="n"/>
      <c r="G208" s="9" t="n">
        <v>1</v>
      </c>
      <c r="H208" s="9" t="n">
        <v>7</v>
      </c>
      <c r="I208" s="9" t="n">
        <v>8</v>
      </c>
      <c r="J208" s="9">
        <f>(D206-0.05)+34*I208/1000</f>
        <v/>
      </c>
      <c r="K208" s="9">
        <f>IF($I208=6,$G208*$H208*$J208,"")</f>
        <v/>
      </c>
      <c r="L208" s="9">
        <f>IF($I208=8,$G208*$H208*$J208,"")</f>
        <v/>
      </c>
      <c r="M208" s="9">
        <f>IF($I208=10,$G208*$H208*$J208,"")</f>
        <v/>
      </c>
      <c r="N208" s="9">
        <f>IF($I208=12,$G208*$H208*$J208,"")</f>
        <v/>
      </c>
      <c r="O208" s="9">
        <f>IF($I208=14,$G208*$H208*$J208,"")</f>
        <v/>
      </c>
      <c r="P208" s="9">
        <f>IF($I208=16,$G208*$H208*$J208,"")</f>
        <v/>
      </c>
      <c r="Q208" s="9">
        <f>IF($I208=20,$G208*$H208*$J208,"")</f>
        <v/>
      </c>
      <c r="R208" s="9">
        <f>IF($I208=25,$G208*$H208*$J208,"")</f>
        <v/>
      </c>
      <c r="S208" s="9">
        <f>IF($I208=32,$G208*$H208*$J208,"")</f>
        <v/>
      </c>
    </row>
    <row r="209">
      <c r="A209" s="7" t="inlineStr">
        <is>
          <t>Armatures non cotées dans la table (à vérifier sur coupes)</t>
        </is>
      </c>
    </row>
    <row r="210">
      <c r="A210" s="8" t="inlineStr">
        <is>
          <t>S1_43</t>
        </is>
      </c>
      <c r="B210" s="8" t="inlineStr">
        <is>
          <t>A</t>
        </is>
      </c>
      <c r="C210" s="8" t="inlineStr">
        <is>
          <t>17</t>
        </is>
      </c>
      <c r="D210" s="9" t="n">
        <v>0.9</v>
      </c>
      <c r="E210" s="9" t="n">
        <v>0.9</v>
      </c>
      <c r="F210" s="9" t="n">
        <v>0.25</v>
      </c>
      <c r="G210" s="9" t="n"/>
      <c r="H210" s="9" t="n"/>
      <c r="I210" s="9" t="n"/>
      <c r="J210" s="9" t="n"/>
      <c r="K210" s="9">
        <f>IF($I210=6,$G210*$H210*$J210,"")</f>
        <v/>
      </c>
      <c r="L210" s="9">
        <f>IF($I210=8,$G210*$H210*$J210,"")</f>
        <v/>
      </c>
      <c r="M210" s="9">
        <f>IF($I210=10,$G210*$H210*$J210,"")</f>
        <v/>
      </c>
      <c r="N210" s="9">
        <f>IF($I210=12,$G210*$H210*$J210,"")</f>
        <v/>
      </c>
      <c r="O210" s="9">
        <f>IF($I210=14,$G210*$H210*$J210,"")</f>
        <v/>
      </c>
      <c r="P210" s="9">
        <f>IF($I210=16,$G210*$H210*$J210,"")</f>
        <v/>
      </c>
      <c r="Q210" s="9">
        <f>IF($I210=20,$G210*$H210*$J210,"")</f>
        <v/>
      </c>
      <c r="R210" s="9">
        <f>IF($I210=25,$G210*$H210*$J210,"")</f>
        <v/>
      </c>
      <c r="S210" s="9">
        <f>IF($I210=32,$G210*$H210*$J210,"")</f>
        <v/>
      </c>
    </row>
    <row r="211">
      <c r="A211" s="8" t="inlineStr">
        <is>
          <t>Armature INF X</t>
        </is>
      </c>
      <c r="B211" s="8" t="n"/>
      <c r="C211" s="8" t="n"/>
      <c r="D211" s="9" t="n"/>
      <c r="E211" s="9" t="n"/>
      <c r="F211" s="9" t="n"/>
      <c r="G211" s="9" t="n">
        <v>1</v>
      </c>
      <c r="H211" s="9" t="n">
        <v>7</v>
      </c>
      <c r="I211" s="9" t="n">
        <v>8</v>
      </c>
      <c r="J211" s="9">
        <f>(E210-0.05)+34*I211/1000</f>
        <v/>
      </c>
      <c r="K211" s="9">
        <f>IF($I211=6,$G211*$H211*$J211,"")</f>
        <v/>
      </c>
      <c r="L211" s="9">
        <f>IF($I211=8,$G211*$H211*$J211,"")</f>
        <v/>
      </c>
      <c r="M211" s="9">
        <f>IF($I211=10,$G211*$H211*$J211,"")</f>
        <v/>
      </c>
      <c r="N211" s="9">
        <f>IF($I211=12,$G211*$H211*$J211,"")</f>
        <v/>
      </c>
      <c r="O211" s="9">
        <f>IF($I211=14,$G211*$H211*$J211,"")</f>
        <v/>
      </c>
      <c r="P211" s="9">
        <f>IF($I211=16,$G211*$H211*$J211,"")</f>
        <v/>
      </c>
      <c r="Q211" s="9">
        <f>IF($I211=20,$G211*$H211*$J211,"")</f>
        <v/>
      </c>
      <c r="R211" s="9">
        <f>IF($I211=25,$G211*$H211*$J211,"")</f>
        <v/>
      </c>
      <c r="S211" s="9">
        <f>IF($I211=32,$G211*$H211*$J211,"")</f>
        <v/>
      </c>
    </row>
    <row r="212">
      <c r="A212" s="8" t="inlineStr">
        <is>
          <t>Armature INF Y</t>
        </is>
      </c>
      <c r="B212" s="8" t="n"/>
      <c r="C212" s="8" t="n"/>
      <c r="D212" s="9" t="n"/>
      <c r="E212" s="9" t="n"/>
      <c r="F212" s="9" t="n"/>
      <c r="G212" s="9" t="n">
        <v>1</v>
      </c>
      <c r="H212" s="9" t="n">
        <v>7</v>
      </c>
      <c r="I212" s="9" t="n">
        <v>8</v>
      </c>
      <c r="J212" s="9">
        <f>(D210-0.05)+34*I212/1000</f>
        <v/>
      </c>
      <c r="K212" s="9">
        <f>IF($I212=6,$G212*$H212*$J212,"")</f>
        <v/>
      </c>
      <c r="L212" s="9">
        <f>IF($I212=8,$G212*$H212*$J212,"")</f>
        <v/>
      </c>
      <c r="M212" s="9">
        <f>IF($I212=10,$G212*$H212*$J212,"")</f>
        <v/>
      </c>
      <c r="N212" s="9">
        <f>IF($I212=12,$G212*$H212*$J212,"")</f>
        <v/>
      </c>
      <c r="O212" s="9">
        <f>IF($I212=14,$G212*$H212*$J212,"")</f>
        <v/>
      </c>
      <c r="P212" s="9">
        <f>IF($I212=16,$G212*$H212*$J212,"")</f>
        <v/>
      </c>
      <c r="Q212" s="9">
        <f>IF($I212=20,$G212*$H212*$J212,"")</f>
        <v/>
      </c>
      <c r="R212" s="9">
        <f>IF($I212=25,$G212*$H212*$J212,"")</f>
        <v/>
      </c>
      <c r="S212" s="9">
        <f>IF($I212=32,$G212*$H212*$J212,"")</f>
        <v/>
      </c>
    </row>
    <row r="213">
      <c r="A213" s="7" t="inlineStr">
        <is>
          <t>Armatures non cotées dans la table (à vérifier sur coupes)</t>
        </is>
      </c>
    </row>
    <row r="214">
      <c r="A214" s="8" t="inlineStr">
        <is>
          <t>S1_44</t>
        </is>
      </c>
      <c r="B214" s="8" t="inlineStr">
        <is>
          <t>A</t>
        </is>
      </c>
      <c r="C214" s="8" t="inlineStr">
        <is>
          <t>17</t>
        </is>
      </c>
      <c r="D214" s="9" t="n">
        <v>0.9</v>
      </c>
      <c r="E214" s="9" t="n">
        <v>0.9</v>
      </c>
      <c r="F214" s="9" t="n">
        <v>0.25</v>
      </c>
      <c r="G214" s="9" t="n"/>
      <c r="H214" s="9" t="n"/>
      <c r="I214" s="9" t="n"/>
      <c r="J214" s="9" t="n"/>
      <c r="K214" s="9">
        <f>IF($I214=6,$G214*$H214*$J214,"")</f>
        <v/>
      </c>
      <c r="L214" s="9">
        <f>IF($I214=8,$G214*$H214*$J214,"")</f>
        <v/>
      </c>
      <c r="M214" s="9">
        <f>IF($I214=10,$G214*$H214*$J214,"")</f>
        <v/>
      </c>
      <c r="N214" s="9">
        <f>IF($I214=12,$G214*$H214*$J214,"")</f>
        <v/>
      </c>
      <c r="O214" s="9">
        <f>IF($I214=14,$G214*$H214*$J214,"")</f>
        <v/>
      </c>
      <c r="P214" s="9">
        <f>IF($I214=16,$G214*$H214*$J214,"")</f>
        <v/>
      </c>
      <c r="Q214" s="9">
        <f>IF($I214=20,$G214*$H214*$J214,"")</f>
        <v/>
      </c>
      <c r="R214" s="9">
        <f>IF($I214=25,$G214*$H214*$J214,"")</f>
        <v/>
      </c>
      <c r="S214" s="9">
        <f>IF($I214=32,$G214*$H214*$J214,"")</f>
        <v/>
      </c>
    </row>
    <row r="215">
      <c r="A215" s="8" t="inlineStr">
        <is>
          <t>Armature INF X</t>
        </is>
      </c>
      <c r="B215" s="8" t="n"/>
      <c r="C215" s="8" t="n"/>
      <c r="D215" s="9" t="n"/>
      <c r="E215" s="9" t="n"/>
      <c r="F215" s="9" t="n"/>
      <c r="G215" s="9" t="n">
        <v>1</v>
      </c>
      <c r="H215" s="9" t="n">
        <v>7</v>
      </c>
      <c r="I215" s="9" t="n">
        <v>8</v>
      </c>
      <c r="J215" s="9">
        <f>(E214-0.05)+34*I215/1000</f>
        <v/>
      </c>
      <c r="K215" s="9">
        <f>IF($I215=6,$G215*$H215*$J215,"")</f>
        <v/>
      </c>
      <c r="L215" s="9">
        <f>IF($I215=8,$G215*$H215*$J215,"")</f>
        <v/>
      </c>
      <c r="M215" s="9">
        <f>IF($I215=10,$G215*$H215*$J215,"")</f>
        <v/>
      </c>
      <c r="N215" s="9">
        <f>IF($I215=12,$G215*$H215*$J215,"")</f>
        <v/>
      </c>
      <c r="O215" s="9">
        <f>IF($I215=14,$G215*$H215*$J215,"")</f>
        <v/>
      </c>
      <c r="P215" s="9">
        <f>IF($I215=16,$G215*$H215*$J215,"")</f>
        <v/>
      </c>
      <c r="Q215" s="9">
        <f>IF($I215=20,$G215*$H215*$J215,"")</f>
        <v/>
      </c>
      <c r="R215" s="9">
        <f>IF($I215=25,$G215*$H215*$J215,"")</f>
        <v/>
      </c>
      <c r="S215" s="9">
        <f>IF($I215=32,$G215*$H215*$J215,"")</f>
        <v/>
      </c>
    </row>
    <row r="216">
      <c r="A216" s="8" t="inlineStr">
        <is>
          <t>Armature INF Y</t>
        </is>
      </c>
      <c r="B216" s="8" t="n"/>
      <c r="C216" s="8" t="n"/>
      <c r="D216" s="9" t="n"/>
      <c r="E216" s="9" t="n"/>
      <c r="F216" s="9" t="n"/>
      <c r="G216" s="9" t="n">
        <v>1</v>
      </c>
      <c r="H216" s="9" t="n">
        <v>7</v>
      </c>
      <c r="I216" s="9" t="n">
        <v>8</v>
      </c>
      <c r="J216" s="9">
        <f>(D214-0.05)+34*I216/1000</f>
        <v/>
      </c>
      <c r="K216" s="9">
        <f>IF($I216=6,$G216*$H216*$J216,"")</f>
        <v/>
      </c>
      <c r="L216" s="9">
        <f>IF($I216=8,$G216*$H216*$J216,"")</f>
        <v/>
      </c>
      <c r="M216" s="9">
        <f>IF($I216=10,$G216*$H216*$J216,"")</f>
        <v/>
      </c>
      <c r="N216" s="9">
        <f>IF($I216=12,$G216*$H216*$J216,"")</f>
        <v/>
      </c>
      <c r="O216" s="9">
        <f>IF($I216=14,$G216*$H216*$J216,"")</f>
        <v/>
      </c>
      <c r="P216" s="9">
        <f>IF($I216=16,$G216*$H216*$J216,"")</f>
        <v/>
      </c>
      <c r="Q216" s="9">
        <f>IF($I216=20,$G216*$H216*$J216,"")</f>
        <v/>
      </c>
      <c r="R216" s="9">
        <f>IF($I216=25,$G216*$H216*$J216,"")</f>
        <v/>
      </c>
      <c r="S216" s="9">
        <f>IF($I216=32,$G216*$H216*$J216,"")</f>
        <v/>
      </c>
    </row>
    <row r="217">
      <c r="A217" s="7" t="inlineStr">
        <is>
          <t>Armatures non cotées dans la table (à vérifier sur coupes)</t>
        </is>
      </c>
    </row>
    <row r="218">
      <c r="A218" s="8" t="inlineStr">
        <is>
          <t>S1_45</t>
        </is>
      </c>
      <c r="B218" s="8" t="inlineStr">
        <is>
          <t>A</t>
        </is>
      </c>
      <c r="C218" s="8" t="inlineStr">
        <is>
          <t>17</t>
        </is>
      </c>
      <c r="D218" s="9" t="n">
        <v>0.9</v>
      </c>
      <c r="E218" s="9" t="n">
        <v>0.9</v>
      </c>
      <c r="F218" s="9" t="n">
        <v>0.25</v>
      </c>
      <c r="G218" s="9" t="n"/>
      <c r="H218" s="9" t="n"/>
      <c r="I218" s="9" t="n"/>
      <c r="J218" s="9" t="n"/>
      <c r="K218" s="9">
        <f>IF($I218=6,$G218*$H218*$J218,"")</f>
        <v/>
      </c>
      <c r="L218" s="9">
        <f>IF($I218=8,$G218*$H218*$J218,"")</f>
        <v/>
      </c>
      <c r="M218" s="9">
        <f>IF($I218=10,$G218*$H218*$J218,"")</f>
        <v/>
      </c>
      <c r="N218" s="9">
        <f>IF($I218=12,$G218*$H218*$J218,"")</f>
        <v/>
      </c>
      <c r="O218" s="9">
        <f>IF($I218=14,$G218*$H218*$J218,"")</f>
        <v/>
      </c>
      <c r="P218" s="9">
        <f>IF($I218=16,$G218*$H218*$J218,"")</f>
        <v/>
      </c>
      <c r="Q218" s="9">
        <f>IF($I218=20,$G218*$H218*$J218,"")</f>
        <v/>
      </c>
      <c r="R218" s="9">
        <f>IF($I218=25,$G218*$H218*$J218,"")</f>
        <v/>
      </c>
      <c r="S218" s="9">
        <f>IF($I218=32,$G218*$H218*$J218,"")</f>
        <v/>
      </c>
    </row>
    <row r="219">
      <c r="A219" s="8" t="inlineStr">
        <is>
          <t>Armature INF X</t>
        </is>
      </c>
      <c r="B219" s="8" t="n"/>
      <c r="C219" s="8" t="n"/>
      <c r="D219" s="9" t="n"/>
      <c r="E219" s="9" t="n"/>
      <c r="F219" s="9" t="n"/>
      <c r="G219" s="9" t="n">
        <v>1</v>
      </c>
      <c r="H219" s="9" t="n">
        <v>7</v>
      </c>
      <c r="I219" s="9" t="n">
        <v>8</v>
      </c>
      <c r="J219" s="9">
        <f>(E218-0.05)+34*I219/1000</f>
        <v/>
      </c>
      <c r="K219" s="9">
        <f>IF($I219=6,$G219*$H219*$J219,"")</f>
        <v/>
      </c>
      <c r="L219" s="9">
        <f>IF($I219=8,$G219*$H219*$J219,"")</f>
        <v/>
      </c>
      <c r="M219" s="9">
        <f>IF($I219=10,$G219*$H219*$J219,"")</f>
        <v/>
      </c>
      <c r="N219" s="9">
        <f>IF($I219=12,$G219*$H219*$J219,"")</f>
        <v/>
      </c>
      <c r="O219" s="9">
        <f>IF($I219=14,$G219*$H219*$J219,"")</f>
        <v/>
      </c>
      <c r="P219" s="9">
        <f>IF($I219=16,$G219*$H219*$J219,"")</f>
        <v/>
      </c>
      <c r="Q219" s="9">
        <f>IF($I219=20,$G219*$H219*$J219,"")</f>
        <v/>
      </c>
      <c r="R219" s="9">
        <f>IF($I219=25,$G219*$H219*$J219,"")</f>
        <v/>
      </c>
      <c r="S219" s="9">
        <f>IF($I219=32,$G219*$H219*$J219,"")</f>
        <v/>
      </c>
    </row>
    <row r="220">
      <c r="A220" s="8" t="inlineStr">
        <is>
          <t>Armature INF Y</t>
        </is>
      </c>
      <c r="B220" s="8" t="n"/>
      <c r="C220" s="8" t="n"/>
      <c r="D220" s="9" t="n"/>
      <c r="E220" s="9" t="n"/>
      <c r="F220" s="9" t="n"/>
      <c r="G220" s="9" t="n">
        <v>1</v>
      </c>
      <c r="H220" s="9" t="n">
        <v>7</v>
      </c>
      <c r="I220" s="9" t="n">
        <v>8</v>
      </c>
      <c r="J220" s="9">
        <f>(D218-0.05)+34*I220/1000</f>
        <v/>
      </c>
      <c r="K220" s="9">
        <f>IF($I220=6,$G220*$H220*$J220,"")</f>
        <v/>
      </c>
      <c r="L220" s="9">
        <f>IF($I220=8,$G220*$H220*$J220,"")</f>
        <v/>
      </c>
      <c r="M220" s="9">
        <f>IF($I220=10,$G220*$H220*$J220,"")</f>
        <v/>
      </c>
      <c r="N220" s="9">
        <f>IF($I220=12,$G220*$H220*$J220,"")</f>
        <v/>
      </c>
      <c r="O220" s="9">
        <f>IF($I220=14,$G220*$H220*$J220,"")</f>
        <v/>
      </c>
      <c r="P220" s="9">
        <f>IF($I220=16,$G220*$H220*$J220,"")</f>
        <v/>
      </c>
      <c r="Q220" s="9">
        <f>IF($I220=20,$G220*$H220*$J220,"")</f>
        <v/>
      </c>
      <c r="R220" s="9">
        <f>IF($I220=25,$G220*$H220*$J220,"")</f>
        <v/>
      </c>
      <c r="S220" s="9">
        <f>IF($I220=32,$G220*$H220*$J220,"")</f>
        <v/>
      </c>
    </row>
    <row r="221">
      <c r="A221" s="7" t="inlineStr">
        <is>
          <t>Armatures non cotées dans la table (à vérifier sur coupes)</t>
        </is>
      </c>
    </row>
    <row r="222">
      <c r="A222" s="8" t="inlineStr">
        <is>
          <t>S1_46</t>
        </is>
      </c>
      <c r="B222" s="8" t="inlineStr">
        <is>
          <t>A</t>
        </is>
      </c>
      <c r="C222" s="8" t="inlineStr">
        <is>
          <t>17</t>
        </is>
      </c>
      <c r="D222" s="9" t="n">
        <v>0.9</v>
      </c>
      <c r="E222" s="9" t="n">
        <v>0.9</v>
      </c>
      <c r="F222" s="9" t="n">
        <v>0.25</v>
      </c>
      <c r="G222" s="9" t="n"/>
      <c r="H222" s="9" t="n"/>
      <c r="I222" s="9" t="n"/>
      <c r="J222" s="9" t="n"/>
      <c r="K222" s="9">
        <f>IF($I222=6,$G222*$H222*$J222,"")</f>
        <v/>
      </c>
      <c r="L222" s="9">
        <f>IF($I222=8,$G222*$H222*$J222,"")</f>
        <v/>
      </c>
      <c r="M222" s="9">
        <f>IF($I222=10,$G222*$H222*$J222,"")</f>
        <v/>
      </c>
      <c r="N222" s="9">
        <f>IF($I222=12,$G222*$H222*$J222,"")</f>
        <v/>
      </c>
      <c r="O222" s="9">
        <f>IF($I222=14,$G222*$H222*$J222,"")</f>
        <v/>
      </c>
      <c r="P222" s="9">
        <f>IF($I222=16,$G222*$H222*$J222,"")</f>
        <v/>
      </c>
      <c r="Q222" s="9">
        <f>IF($I222=20,$G222*$H222*$J222,"")</f>
        <v/>
      </c>
      <c r="R222" s="9">
        <f>IF($I222=25,$G222*$H222*$J222,"")</f>
        <v/>
      </c>
      <c r="S222" s="9">
        <f>IF($I222=32,$G222*$H222*$J222,"")</f>
        <v/>
      </c>
    </row>
    <row r="223">
      <c r="A223" s="8" t="inlineStr">
        <is>
          <t>Armature INF X</t>
        </is>
      </c>
      <c r="B223" s="8" t="n"/>
      <c r="C223" s="8" t="n"/>
      <c r="D223" s="9" t="n"/>
      <c r="E223" s="9" t="n"/>
      <c r="F223" s="9" t="n"/>
      <c r="G223" s="9" t="n">
        <v>1</v>
      </c>
      <c r="H223" s="9" t="n">
        <v>7</v>
      </c>
      <c r="I223" s="9" t="n">
        <v>8</v>
      </c>
      <c r="J223" s="9">
        <f>(E222-0.05)+34*I223/1000</f>
        <v/>
      </c>
      <c r="K223" s="9">
        <f>IF($I223=6,$G223*$H223*$J223,"")</f>
        <v/>
      </c>
      <c r="L223" s="9">
        <f>IF($I223=8,$G223*$H223*$J223,"")</f>
        <v/>
      </c>
      <c r="M223" s="9">
        <f>IF($I223=10,$G223*$H223*$J223,"")</f>
        <v/>
      </c>
      <c r="N223" s="9">
        <f>IF($I223=12,$G223*$H223*$J223,"")</f>
        <v/>
      </c>
      <c r="O223" s="9">
        <f>IF($I223=14,$G223*$H223*$J223,"")</f>
        <v/>
      </c>
      <c r="P223" s="9">
        <f>IF($I223=16,$G223*$H223*$J223,"")</f>
        <v/>
      </c>
      <c r="Q223" s="9">
        <f>IF($I223=20,$G223*$H223*$J223,"")</f>
        <v/>
      </c>
      <c r="R223" s="9">
        <f>IF($I223=25,$G223*$H223*$J223,"")</f>
        <v/>
      </c>
      <c r="S223" s="9">
        <f>IF($I223=32,$G223*$H223*$J223,"")</f>
        <v/>
      </c>
    </row>
    <row r="224">
      <c r="A224" s="8" t="inlineStr">
        <is>
          <t>Armature INF Y</t>
        </is>
      </c>
      <c r="B224" s="8" t="n"/>
      <c r="C224" s="8" t="n"/>
      <c r="D224" s="9" t="n"/>
      <c r="E224" s="9" t="n"/>
      <c r="F224" s="9" t="n"/>
      <c r="G224" s="9" t="n">
        <v>1</v>
      </c>
      <c r="H224" s="9" t="n">
        <v>7</v>
      </c>
      <c r="I224" s="9" t="n">
        <v>8</v>
      </c>
      <c r="J224" s="9">
        <f>(D222-0.05)+34*I224/1000</f>
        <v/>
      </c>
      <c r="K224" s="9">
        <f>IF($I224=6,$G224*$H224*$J224,"")</f>
        <v/>
      </c>
      <c r="L224" s="9">
        <f>IF($I224=8,$G224*$H224*$J224,"")</f>
        <v/>
      </c>
      <c r="M224" s="9">
        <f>IF($I224=10,$G224*$H224*$J224,"")</f>
        <v/>
      </c>
      <c r="N224" s="9">
        <f>IF($I224=12,$G224*$H224*$J224,"")</f>
        <v/>
      </c>
      <c r="O224" s="9">
        <f>IF($I224=14,$G224*$H224*$J224,"")</f>
        <v/>
      </c>
      <c r="P224" s="9">
        <f>IF($I224=16,$G224*$H224*$J224,"")</f>
        <v/>
      </c>
      <c r="Q224" s="9">
        <f>IF($I224=20,$G224*$H224*$J224,"")</f>
        <v/>
      </c>
      <c r="R224" s="9">
        <f>IF($I224=25,$G224*$H224*$J224,"")</f>
        <v/>
      </c>
      <c r="S224" s="9">
        <f>IF($I224=32,$G224*$H224*$J224,"")</f>
        <v/>
      </c>
    </row>
    <row r="225">
      <c r="A225" s="7" t="inlineStr">
        <is>
          <t>Armatures non cotées dans la table (à vérifier sur coupes)</t>
        </is>
      </c>
    </row>
    <row r="226">
      <c r="A226" s="8" t="inlineStr">
        <is>
          <t>S1_47</t>
        </is>
      </c>
      <c r="B226" s="8" t="inlineStr">
        <is>
          <t>A</t>
        </is>
      </c>
      <c r="C226" s="8" t="inlineStr">
        <is>
          <t>17</t>
        </is>
      </c>
      <c r="D226" s="9" t="n">
        <v>0.9</v>
      </c>
      <c r="E226" s="9" t="n">
        <v>0.9</v>
      </c>
      <c r="F226" s="9" t="n">
        <v>0.25</v>
      </c>
      <c r="G226" s="9" t="n"/>
      <c r="H226" s="9" t="n"/>
      <c r="I226" s="9" t="n"/>
      <c r="J226" s="9" t="n"/>
      <c r="K226" s="9">
        <f>IF($I226=6,$G226*$H226*$J226,"")</f>
        <v/>
      </c>
      <c r="L226" s="9">
        <f>IF($I226=8,$G226*$H226*$J226,"")</f>
        <v/>
      </c>
      <c r="M226" s="9">
        <f>IF($I226=10,$G226*$H226*$J226,"")</f>
        <v/>
      </c>
      <c r="N226" s="9">
        <f>IF($I226=12,$G226*$H226*$J226,"")</f>
        <v/>
      </c>
      <c r="O226" s="9">
        <f>IF($I226=14,$G226*$H226*$J226,"")</f>
        <v/>
      </c>
      <c r="P226" s="9">
        <f>IF($I226=16,$G226*$H226*$J226,"")</f>
        <v/>
      </c>
      <c r="Q226" s="9">
        <f>IF($I226=20,$G226*$H226*$J226,"")</f>
        <v/>
      </c>
      <c r="R226" s="9">
        <f>IF($I226=25,$G226*$H226*$J226,"")</f>
        <v/>
      </c>
      <c r="S226" s="9">
        <f>IF($I226=32,$G226*$H226*$J226,"")</f>
        <v/>
      </c>
    </row>
    <row r="227">
      <c r="A227" s="8" t="inlineStr">
        <is>
          <t>Armature INF X</t>
        </is>
      </c>
      <c r="B227" s="8" t="n"/>
      <c r="C227" s="8" t="n"/>
      <c r="D227" s="9" t="n"/>
      <c r="E227" s="9" t="n"/>
      <c r="F227" s="9" t="n"/>
      <c r="G227" s="9" t="n">
        <v>1</v>
      </c>
      <c r="H227" s="9" t="n">
        <v>7</v>
      </c>
      <c r="I227" s="9" t="n">
        <v>8</v>
      </c>
      <c r="J227" s="9">
        <f>(E226-0.05)+34*I227/1000</f>
        <v/>
      </c>
      <c r="K227" s="9">
        <f>IF($I227=6,$G227*$H227*$J227,"")</f>
        <v/>
      </c>
      <c r="L227" s="9">
        <f>IF($I227=8,$G227*$H227*$J227,"")</f>
        <v/>
      </c>
      <c r="M227" s="9">
        <f>IF($I227=10,$G227*$H227*$J227,"")</f>
        <v/>
      </c>
      <c r="N227" s="9">
        <f>IF($I227=12,$G227*$H227*$J227,"")</f>
        <v/>
      </c>
      <c r="O227" s="9">
        <f>IF($I227=14,$G227*$H227*$J227,"")</f>
        <v/>
      </c>
      <c r="P227" s="9">
        <f>IF($I227=16,$G227*$H227*$J227,"")</f>
        <v/>
      </c>
      <c r="Q227" s="9">
        <f>IF($I227=20,$G227*$H227*$J227,"")</f>
        <v/>
      </c>
      <c r="R227" s="9">
        <f>IF($I227=25,$G227*$H227*$J227,"")</f>
        <v/>
      </c>
      <c r="S227" s="9">
        <f>IF($I227=32,$G227*$H227*$J227,"")</f>
        <v/>
      </c>
    </row>
    <row r="228">
      <c r="A228" s="8" t="inlineStr">
        <is>
          <t>Armature INF Y</t>
        </is>
      </c>
      <c r="B228" s="8" t="n"/>
      <c r="C228" s="8" t="n"/>
      <c r="D228" s="9" t="n"/>
      <c r="E228" s="9" t="n"/>
      <c r="F228" s="9" t="n"/>
      <c r="G228" s="9" t="n">
        <v>1</v>
      </c>
      <c r="H228" s="9" t="n">
        <v>7</v>
      </c>
      <c r="I228" s="9" t="n">
        <v>8</v>
      </c>
      <c r="J228" s="9">
        <f>(D226-0.05)+34*I228/1000</f>
        <v/>
      </c>
      <c r="K228" s="9">
        <f>IF($I228=6,$G228*$H228*$J228,"")</f>
        <v/>
      </c>
      <c r="L228" s="9">
        <f>IF($I228=8,$G228*$H228*$J228,"")</f>
        <v/>
      </c>
      <c r="M228" s="9">
        <f>IF($I228=10,$G228*$H228*$J228,"")</f>
        <v/>
      </c>
      <c r="N228" s="9">
        <f>IF($I228=12,$G228*$H228*$J228,"")</f>
        <v/>
      </c>
      <c r="O228" s="9">
        <f>IF($I228=14,$G228*$H228*$J228,"")</f>
        <v/>
      </c>
      <c r="P228" s="9">
        <f>IF($I228=16,$G228*$H228*$J228,"")</f>
        <v/>
      </c>
      <c r="Q228" s="9">
        <f>IF($I228=20,$G228*$H228*$J228,"")</f>
        <v/>
      </c>
      <c r="R228" s="9">
        <f>IF($I228=25,$G228*$H228*$J228,"")</f>
        <v/>
      </c>
      <c r="S228" s="9">
        <f>IF($I228=32,$G228*$H228*$J228,"")</f>
        <v/>
      </c>
    </row>
    <row r="229">
      <c r="A229" s="7" t="inlineStr">
        <is>
          <t>Armatures non cotées dans la table (à vérifier sur coupes)</t>
        </is>
      </c>
    </row>
    <row r="230">
      <c r="A230" s="8" t="inlineStr">
        <is>
          <t>S3_4</t>
        </is>
      </c>
      <c r="B230" s="8" t="inlineStr">
        <is>
          <t>A</t>
        </is>
      </c>
      <c r="C230" s="8" t="inlineStr">
        <is>
          <t>17</t>
        </is>
      </c>
      <c r="D230" s="9" t="n">
        <v>1</v>
      </c>
      <c r="E230" s="9" t="n">
        <v>1</v>
      </c>
      <c r="F230" s="9" t="n">
        <v>0.25</v>
      </c>
      <c r="G230" s="9" t="n"/>
      <c r="H230" s="9" t="n"/>
      <c r="I230" s="9" t="n"/>
      <c r="J230" s="9" t="n"/>
      <c r="K230" s="9">
        <f>IF($I230=6,$G230*$H230*$J230,"")</f>
        <v/>
      </c>
      <c r="L230" s="9">
        <f>IF($I230=8,$G230*$H230*$J230,"")</f>
        <v/>
      </c>
      <c r="M230" s="9">
        <f>IF($I230=10,$G230*$H230*$J230,"")</f>
        <v/>
      </c>
      <c r="N230" s="9">
        <f>IF($I230=12,$G230*$H230*$J230,"")</f>
        <v/>
      </c>
      <c r="O230" s="9">
        <f>IF($I230=14,$G230*$H230*$J230,"")</f>
        <v/>
      </c>
      <c r="P230" s="9">
        <f>IF($I230=16,$G230*$H230*$J230,"")</f>
        <v/>
      </c>
      <c r="Q230" s="9">
        <f>IF($I230=20,$G230*$H230*$J230,"")</f>
        <v/>
      </c>
      <c r="R230" s="9">
        <f>IF($I230=25,$G230*$H230*$J230,"")</f>
        <v/>
      </c>
      <c r="S230" s="9">
        <f>IF($I230=32,$G230*$H230*$J230,"")</f>
        <v/>
      </c>
    </row>
    <row r="231">
      <c r="A231" s="8" t="inlineStr">
        <is>
          <t>Armature INF X</t>
        </is>
      </c>
      <c r="B231" s="8" t="n"/>
      <c r="C231" s="8" t="n"/>
      <c r="D231" s="9" t="n"/>
      <c r="E231" s="9" t="n"/>
      <c r="F231" s="9" t="n"/>
      <c r="G231" s="9" t="n">
        <v>1</v>
      </c>
      <c r="H231" s="9" t="n">
        <v>8</v>
      </c>
      <c r="I231" s="9" t="n">
        <v>10</v>
      </c>
      <c r="J231" s="9">
        <f>(E230-0.05)+34*I231/1000</f>
        <v/>
      </c>
      <c r="K231" s="9">
        <f>IF($I231=6,$G231*$H231*$J231,"")</f>
        <v/>
      </c>
      <c r="L231" s="9">
        <f>IF($I231=8,$G231*$H231*$J231,"")</f>
        <v/>
      </c>
      <c r="M231" s="9">
        <f>IF($I231=10,$G231*$H231*$J231,"")</f>
        <v/>
      </c>
      <c r="N231" s="9">
        <f>IF($I231=12,$G231*$H231*$J231,"")</f>
        <v/>
      </c>
      <c r="O231" s="9">
        <f>IF($I231=14,$G231*$H231*$J231,"")</f>
        <v/>
      </c>
      <c r="P231" s="9">
        <f>IF($I231=16,$G231*$H231*$J231,"")</f>
        <v/>
      </c>
      <c r="Q231" s="9">
        <f>IF($I231=20,$G231*$H231*$J231,"")</f>
        <v/>
      </c>
      <c r="R231" s="9">
        <f>IF($I231=25,$G231*$H231*$J231,"")</f>
        <v/>
      </c>
      <c r="S231" s="9">
        <f>IF($I231=32,$G231*$H231*$J231,"")</f>
        <v/>
      </c>
    </row>
    <row r="232">
      <c r="A232" s="8" t="inlineStr">
        <is>
          <t>Armature INF Y</t>
        </is>
      </c>
      <c r="B232" s="8" t="n"/>
      <c r="C232" s="8" t="n"/>
      <c r="D232" s="9" t="n"/>
      <c r="E232" s="9" t="n"/>
      <c r="F232" s="9" t="n"/>
      <c r="G232" s="9" t="n">
        <v>1</v>
      </c>
      <c r="H232" s="9" t="n">
        <v>8</v>
      </c>
      <c r="I232" s="9" t="n">
        <v>10</v>
      </c>
      <c r="J232" s="9">
        <f>(D230-0.05)+34*I232/1000</f>
        <v/>
      </c>
      <c r="K232" s="9">
        <f>IF($I232=6,$G232*$H232*$J232,"")</f>
        <v/>
      </c>
      <c r="L232" s="9">
        <f>IF($I232=8,$G232*$H232*$J232,"")</f>
        <v/>
      </c>
      <c r="M232" s="9">
        <f>IF($I232=10,$G232*$H232*$J232,"")</f>
        <v/>
      </c>
      <c r="N232" s="9">
        <f>IF($I232=12,$G232*$H232*$J232,"")</f>
        <v/>
      </c>
      <c r="O232" s="9">
        <f>IF($I232=14,$G232*$H232*$J232,"")</f>
        <v/>
      </c>
      <c r="P232" s="9">
        <f>IF($I232=16,$G232*$H232*$J232,"")</f>
        <v/>
      </c>
      <c r="Q232" s="9">
        <f>IF($I232=20,$G232*$H232*$J232,"")</f>
        <v/>
      </c>
      <c r="R232" s="9">
        <f>IF($I232=25,$G232*$H232*$J232,"")</f>
        <v/>
      </c>
      <c r="S232" s="9">
        <f>IF($I232=32,$G232*$H232*$J232,"")</f>
        <v/>
      </c>
    </row>
    <row r="233">
      <c r="A233" s="7" t="inlineStr">
        <is>
          <t>Armatures non cotées dans la table (à vérifier sur coupes)</t>
        </is>
      </c>
    </row>
    <row r="234">
      <c r="A234" s="8" t="inlineStr">
        <is>
          <t>S2_7</t>
        </is>
      </c>
      <c r="B234" s="8" t="inlineStr">
        <is>
          <t>A</t>
        </is>
      </c>
      <c r="C234" s="8" t="inlineStr">
        <is>
          <t>17</t>
        </is>
      </c>
      <c r="D234" s="9" t="n">
        <v>0.9</v>
      </c>
      <c r="E234" s="9" t="n">
        <v>1.9</v>
      </c>
      <c r="F234" s="9" t="n">
        <v>0.25</v>
      </c>
      <c r="G234" s="9" t="n"/>
      <c r="H234" s="9" t="n"/>
      <c r="I234" s="9" t="n"/>
      <c r="J234" s="9" t="n"/>
      <c r="K234" s="9">
        <f>IF($I234=6,$G234*$H234*$J234,"")</f>
        <v/>
      </c>
      <c r="L234" s="9">
        <f>IF($I234=8,$G234*$H234*$J234,"")</f>
        <v/>
      </c>
      <c r="M234" s="9">
        <f>IF($I234=10,$G234*$H234*$J234,"")</f>
        <v/>
      </c>
      <c r="N234" s="9">
        <f>IF($I234=12,$G234*$H234*$J234,"")</f>
        <v/>
      </c>
      <c r="O234" s="9">
        <f>IF($I234=14,$G234*$H234*$J234,"")</f>
        <v/>
      </c>
      <c r="P234" s="9">
        <f>IF($I234=16,$G234*$H234*$J234,"")</f>
        <v/>
      </c>
      <c r="Q234" s="9">
        <f>IF($I234=20,$G234*$H234*$J234,"")</f>
        <v/>
      </c>
      <c r="R234" s="9">
        <f>IF($I234=25,$G234*$H234*$J234,"")</f>
        <v/>
      </c>
      <c r="S234" s="9">
        <f>IF($I234=32,$G234*$H234*$J234,"")</f>
        <v/>
      </c>
    </row>
    <row r="235">
      <c r="A235" s="8" t="inlineStr">
        <is>
          <t>Armature INF X</t>
        </is>
      </c>
      <c r="B235" s="8" t="n"/>
      <c r="C235" s="8" t="n"/>
      <c r="D235" s="9" t="n"/>
      <c r="E235" s="9" t="n"/>
      <c r="F235" s="9" t="n"/>
      <c r="G235" s="9" t="n">
        <v>1</v>
      </c>
      <c r="H235" s="9" t="n">
        <v>7</v>
      </c>
      <c r="I235" s="9" t="n">
        <v>8</v>
      </c>
      <c r="J235" s="9">
        <f>(E234-0.05)+34*I235/1000</f>
        <v/>
      </c>
      <c r="K235" s="9">
        <f>IF($I235=6,$G235*$H235*$J235,"")</f>
        <v/>
      </c>
      <c r="L235" s="9">
        <f>IF($I235=8,$G235*$H235*$J235,"")</f>
        <v/>
      </c>
      <c r="M235" s="9">
        <f>IF($I235=10,$G235*$H235*$J235,"")</f>
        <v/>
      </c>
      <c r="N235" s="9">
        <f>IF($I235=12,$G235*$H235*$J235,"")</f>
        <v/>
      </c>
      <c r="O235" s="9">
        <f>IF($I235=14,$G235*$H235*$J235,"")</f>
        <v/>
      </c>
      <c r="P235" s="9">
        <f>IF($I235=16,$G235*$H235*$J235,"")</f>
        <v/>
      </c>
      <c r="Q235" s="9">
        <f>IF($I235=20,$G235*$H235*$J235,"")</f>
        <v/>
      </c>
      <c r="R235" s="9">
        <f>IF($I235=25,$G235*$H235*$J235,"")</f>
        <v/>
      </c>
      <c r="S235" s="9">
        <f>IF($I235=32,$G235*$H235*$J235,"")</f>
        <v/>
      </c>
    </row>
    <row r="236">
      <c r="A236" s="8" t="inlineStr">
        <is>
          <t>Armature INF Y</t>
        </is>
      </c>
      <c r="B236" s="8" t="n"/>
      <c r="C236" s="8" t="n"/>
      <c r="D236" s="9" t="n"/>
      <c r="E236" s="9" t="n"/>
      <c r="F236" s="9" t="n"/>
      <c r="G236" s="9" t="n">
        <v>1</v>
      </c>
      <c r="H236" s="9" t="n">
        <v>14</v>
      </c>
      <c r="I236" s="9" t="n">
        <v>10</v>
      </c>
      <c r="J236" s="9">
        <f>(D234-0.05)+34*I236/1000</f>
        <v/>
      </c>
      <c r="K236" s="9">
        <f>IF($I236=6,$G236*$H236*$J236,"")</f>
        <v/>
      </c>
      <c r="L236" s="9">
        <f>IF($I236=8,$G236*$H236*$J236,"")</f>
        <v/>
      </c>
      <c r="M236" s="9">
        <f>IF($I236=10,$G236*$H236*$J236,"")</f>
        <v/>
      </c>
      <c r="N236" s="9">
        <f>IF($I236=12,$G236*$H236*$J236,"")</f>
        <v/>
      </c>
      <c r="O236" s="9">
        <f>IF($I236=14,$G236*$H236*$J236,"")</f>
        <v/>
      </c>
      <c r="P236" s="9">
        <f>IF($I236=16,$G236*$H236*$J236,"")</f>
        <v/>
      </c>
      <c r="Q236" s="9">
        <f>IF($I236=20,$G236*$H236*$J236,"")</f>
        <v/>
      </c>
      <c r="R236" s="9">
        <f>IF($I236=25,$G236*$H236*$J236,"")</f>
        <v/>
      </c>
      <c r="S236" s="9">
        <f>IF($I236=32,$G236*$H236*$J236,"")</f>
        <v/>
      </c>
    </row>
    <row r="237">
      <c r="A237" s="7" t="inlineStr">
        <is>
          <t>Armatures non cotées dans la table (à vérifier sur coupes)</t>
        </is>
      </c>
    </row>
    <row r="238">
      <c r="A238" s="8" t="inlineStr">
        <is>
          <t>S1_48</t>
        </is>
      </c>
      <c r="B238" s="8" t="inlineStr">
        <is>
          <t>A</t>
        </is>
      </c>
      <c r="C238" s="8" t="inlineStr">
        <is>
          <t>17</t>
        </is>
      </c>
      <c r="D238" s="9" t="n">
        <v>0.9</v>
      </c>
      <c r="E238" s="9" t="n">
        <v>0.9</v>
      </c>
      <c r="F238" s="9" t="n">
        <v>0.25</v>
      </c>
      <c r="G238" s="9" t="n"/>
      <c r="H238" s="9" t="n"/>
      <c r="I238" s="9" t="n"/>
      <c r="J238" s="9" t="n"/>
      <c r="K238" s="9">
        <f>IF($I238=6,$G238*$H238*$J238,"")</f>
        <v/>
      </c>
      <c r="L238" s="9">
        <f>IF($I238=8,$G238*$H238*$J238,"")</f>
        <v/>
      </c>
      <c r="M238" s="9">
        <f>IF($I238=10,$G238*$H238*$J238,"")</f>
        <v/>
      </c>
      <c r="N238" s="9">
        <f>IF($I238=12,$G238*$H238*$J238,"")</f>
        <v/>
      </c>
      <c r="O238" s="9">
        <f>IF($I238=14,$G238*$H238*$J238,"")</f>
        <v/>
      </c>
      <c r="P238" s="9">
        <f>IF($I238=16,$G238*$H238*$J238,"")</f>
        <v/>
      </c>
      <c r="Q238" s="9">
        <f>IF($I238=20,$G238*$H238*$J238,"")</f>
        <v/>
      </c>
      <c r="R238" s="9">
        <f>IF($I238=25,$G238*$H238*$J238,"")</f>
        <v/>
      </c>
      <c r="S238" s="9">
        <f>IF($I238=32,$G238*$H238*$J238,"")</f>
        <v/>
      </c>
    </row>
    <row r="239">
      <c r="A239" s="8" t="inlineStr">
        <is>
          <t>Armature INF X</t>
        </is>
      </c>
      <c r="B239" s="8" t="n"/>
      <c r="C239" s="8" t="n"/>
      <c r="D239" s="9" t="n"/>
      <c r="E239" s="9" t="n"/>
      <c r="F239" s="9" t="n"/>
      <c r="G239" s="9" t="n">
        <v>1</v>
      </c>
      <c r="H239" s="9" t="n">
        <v>7</v>
      </c>
      <c r="I239" s="9" t="n">
        <v>8</v>
      </c>
      <c r="J239" s="9">
        <f>(E238-0.05)+34*I239/1000</f>
        <v/>
      </c>
      <c r="K239" s="9">
        <f>IF($I239=6,$G239*$H239*$J239,"")</f>
        <v/>
      </c>
      <c r="L239" s="9">
        <f>IF($I239=8,$G239*$H239*$J239,"")</f>
        <v/>
      </c>
      <c r="M239" s="9">
        <f>IF($I239=10,$G239*$H239*$J239,"")</f>
        <v/>
      </c>
      <c r="N239" s="9">
        <f>IF($I239=12,$G239*$H239*$J239,"")</f>
        <v/>
      </c>
      <c r="O239" s="9">
        <f>IF($I239=14,$G239*$H239*$J239,"")</f>
        <v/>
      </c>
      <c r="P239" s="9">
        <f>IF($I239=16,$G239*$H239*$J239,"")</f>
        <v/>
      </c>
      <c r="Q239" s="9">
        <f>IF($I239=20,$G239*$H239*$J239,"")</f>
        <v/>
      </c>
      <c r="R239" s="9">
        <f>IF($I239=25,$G239*$H239*$J239,"")</f>
        <v/>
      </c>
      <c r="S239" s="9">
        <f>IF($I239=32,$G239*$H239*$J239,"")</f>
        <v/>
      </c>
    </row>
    <row r="240">
      <c r="A240" s="8" t="inlineStr">
        <is>
          <t>Armature INF Y</t>
        </is>
      </c>
      <c r="B240" s="8" t="n"/>
      <c r="C240" s="8" t="n"/>
      <c r="D240" s="9" t="n"/>
      <c r="E240" s="9" t="n"/>
      <c r="F240" s="9" t="n"/>
      <c r="G240" s="9" t="n">
        <v>1</v>
      </c>
      <c r="H240" s="9" t="n">
        <v>7</v>
      </c>
      <c r="I240" s="9" t="n">
        <v>8</v>
      </c>
      <c r="J240" s="9">
        <f>(D238-0.05)+34*I240/1000</f>
        <v/>
      </c>
      <c r="K240" s="9">
        <f>IF($I240=6,$G240*$H240*$J240,"")</f>
        <v/>
      </c>
      <c r="L240" s="9">
        <f>IF($I240=8,$G240*$H240*$J240,"")</f>
        <v/>
      </c>
      <c r="M240" s="9">
        <f>IF($I240=10,$G240*$H240*$J240,"")</f>
        <v/>
      </c>
      <c r="N240" s="9">
        <f>IF($I240=12,$G240*$H240*$J240,"")</f>
        <v/>
      </c>
      <c r="O240" s="9">
        <f>IF($I240=14,$G240*$H240*$J240,"")</f>
        <v/>
      </c>
      <c r="P240" s="9">
        <f>IF($I240=16,$G240*$H240*$J240,"")</f>
        <v/>
      </c>
      <c r="Q240" s="9">
        <f>IF($I240=20,$G240*$H240*$J240,"")</f>
        <v/>
      </c>
      <c r="R240" s="9">
        <f>IF($I240=25,$G240*$H240*$J240,"")</f>
        <v/>
      </c>
      <c r="S240" s="9">
        <f>IF($I240=32,$G240*$H240*$J240,"")</f>
        <v/>
      </c>
    </row>
    <row r="241">
      <c r="A241" s="7" t="inlineStr">
        <is>
          <t>Armatures non cotées dans la table (à vérifier sur coupes)</t>
        </is>
      </c>
    </row>
    <row r="242">
      <c r="A242" s="8" t="inlineStr">
        <is>
          <t>S1_49</t>
        </is>
      </c>
      <c r="B242" s="8" t="inlineStr">
        <is>
          <t>A</t>
        </is>
      </c>
      <c r="C242" s="8" t="inlineStr">
        <is>
          <t>17</t>
        </is>
      </c>
      <c r="D242" s="9" t="n">
        <v>0.9</v>
      </c>
      <c r="E242" s="9" t="n">
        <v>0.9</v>
      </c>
      <c r="F242" s="9" t="n">
        <v>0.25</v>
      </c>
      <c r="G242" s="9" t="n"/>
      <c r="H242" s="9" t="n"/>
      <c r="I242" s="9" t="n"/>
      <c r="J242" s="9" t="n"/>
      <c r="K242" s="9">
        <f>IF($I242=6,$G242*$H242*$J242,"")</f>
        <v/>
      </c>
      <c r="L242" s="9">
        <f>IF($I242=8,$G242*$H242*$J242,"")</f>
        <v/>
      </c>
      <c r="M242" s="9">
        <f>IF($I242=10,$G242*$H242*$J242,"")</f>
        <v/>
      </c>
      <c r="N242" s="9">
        <f>IF($I242=12,$G242*$H242*$J242,"")</f>
        <v/>
      </c>
      <c r="O242" s="9">
        <f>IF($I242=14,$G242*$H242*$J242,"")</f>
        <v/>
      </c>
      <c r="P242" s="9">
        <f>IF($I242=16,$G242*$H242*$J242,"")</f>
        <v/>
      </c>
      <c r="Q242" s="9">
        <f>IF($I242=20,$G242*$H242*$J242,"")</f>
        <v/>
      </c>
      <c r="R242" s="9">
        <f>IF($I242=25,$G242*$H242*$J242,"")</f>
        <v/>
      </c>
      <c r="S242" s="9">
        <f>IF($I242=32,$G242*$H242*$J242,"")</f>
        <v/>
      </c>
    </row>
    <row r="243">
      <c r="A243" s="8" t="inlineStr">
        <is>
          <t>Armature INF X</t>
        </is>
      </c>
      <c r="B243" s="8" t="n"/>
      <c r="C243" s="8" t="n"/>
      <c r="D243" s="9" t="n"/>
      <c r="E243" s="9" t="n"/>
      <c r="F243" s="9" t="n"/>
      <c r="G243" s="9" t="n">
        <v>1</v>
      </c>
      <c r="H243" s="9" t="n">
        <v>7</v>
      </c>
      <c r="I243" s="9" t="n">
        <v>8</v>
      </c>
      <c r="J243" s="9">
        <f>(E242-0.05)+34*I243/1000</f>
        <v/>
      </c>
      <c r="K243" s="9">
        <f>IF($I243=6,$G243*$H243*$J243,"")</f>
        <v/>
      </c>
      <c r="L243" s="9">
        <f>IF($I243=8,$G243*$H243*$J243,"")</f>
        <v/>
      </c>
      <c r="M243" s="9">
        <f>IF($I243=10,$G243*$H243*$J243,"")</f>
        <v/>
      </c>
      <c r="N243" s="9">
        <f>IF($I243=12,$G243*$H243*$J243,"")</f>
        <v/>
      </c>
      <c r="O243" s="9">
        <f>IF($I243=14,$G243*$H243*$J243,"")</f>
        <v/>
      </c>
      <c r="P243" s="9">
        <f>IF($I243=16,$G243*$H243*$J243,"")</f>
        <v/>
      </c>
      <c r="Q243" s="9">
        <f>IF($I243=20,$G243*$H243*$J243,"")</f>
        <v/>
      </c>
      <c r="R243" s="9">
        <f>IF($I243=25,$G243*$H243*$J243,"")</f>
        <v/>
      </c>
      <c r="S243" s="9">
        <f>IF($I243=32,$G243*$H243*$J243,"")</f>
        <v/>
      </c>
    </row>
    <row r="244">
      <c r="A244" s="8" t="inlineStr">
        <is>
          <t>Armature INF Y</t>
        </is>
      </c>
      <c r="B244" s="8" t="n"/>
      <c r="C244" s="8" t="n"/>
      <c r="D244" s="9" t="n"/>
      <c r="E244" s="9" t="n"/>
      <c r="F244" s="9" t="n"/>
      <c r="G244" s="9" t="n">
        <v>1</v>
      </c>
      <c r="H244" s="9" t="n">
        <v>7</v>
      </c>
      <c r="I244" s="9" t="n">
        <v>8</v>
      </c>
      <c r="J244" s="9">
        <f>(D242-0.05)+34*I244/1000</f>
        <v/>
      </c>
      <c r="K244" s="9">
        <f>IF($I244=6,$G244*$H244*$J244,"")</f>
        <v/>
      </c>
      <c r="L244" s="9">
        <f>IF($I244=8,$G244*$H244*$J244,"")</f>
        <v/>
      </c>
      <c r="M244" s="9">
        <f>IF($I244=10,$G244*$H244*$J244,"")</f>
        <v/>
      </c>
      <c r="N244" s="9">
        <f>IF($I244=12,$G244*$H244*$J244,"")</f>
        <v/>
      </c>
      <c r="O244" s="9">
        <f>IF($I244=14,$G244*$H244*$J244,"")</f>
        <v/>
      </c>
      <c r="P244" s="9">
        <f>IF($I244=16,$G244*$H244*$J244,"")</f>
        <v/>
      </c>
      <c r="Q244" s="9">
        <f>IF($I244=20,$G244*$H244*$J244,"")</f>
        <v/>
      </c>
      <c r="R244" s="9">
        <f>IF($I244=25,$G244*$H244*$J244,"")</f>
        <v/>
      </c>
      <c r="S244" s="9">
        <f>IF($I244=32,$G244*$H244*$J244,"")</f>
        <v/>
      </c>
    </row>
    <row r="245">
      <c r="A245" s="7" t="inlineStr">
        <is>
          <t>Armatures non cotées dans la table (à vérifier sur coupes)</t>
        </is>
      </c>
    </row>
    <row r="246">
      <c r="A246" s="8" t="inlineStr">
        <is>
          <t>S1_50</t>
        </is>
      </c>
      <c r="B246" s="8" t="inlineStr">
        <is>
          <t>A</t>
        </is>
      </c>
      <c r="C246" s="8" t="inlineStr">
        <is>
          <t>17</t>
        </is>
      </c>
      <c r="D246" s="9" t="n">
        <v>0.9</v>
      </c>
      <c r="E246" s="9" t="n">
        <v>0.9</v>
      </c>
      <c r="F246" s="9" t="n">
        <v>0.25</v>
      </c>
      <c r="G246" s="9" t="n"/>
      <c r="H246" s="9" t="n"/>
      <c r="I246" s="9" t="n"/>
      <c r="J246" s="9" t="n"/>
      <c r="K246" s="9">
        <f>IF($I246=6,$G246*$H246*$J246,"")</f>
        <v/>
      </c>
      <c r="L246" s="9">
        <f>IF($I246=8,$G246*$H246*$J246,"")</f>
        <v/>
      </c>
      <c r="M246" s="9">
        <f>IF($I246=10,$G246*$H246*$J246,"")</f>
        <v/>
      </c>
      <c r="N246" s="9">
        <f>IF($I246=12,$G246*$H246*$J246,"")</f>
        <v/>
      </c>
      <c r="O246" s="9">
        <f>IF($I246=14,$G246*$H246*$J246,"")</f>
        <v/>
      </c>
      <c r="P246" s="9">
        <f>IF($I246=16,$G246*$H246*$J246,"")</f>
        <v/>
      </c>
      <c r="Q246" s="9">
        <f>IF($I246=20,$G246*$H246*$J246,"")</f>
        <v/>
      </c>
      <c r="R246" s="9">
        <f>IF($I246=25,$G246*$H246*$J246,"")</f>
        <v/>
      </c>
      <c r="S246" s="9">
        <f>IF($I246=32,$G246*$H246*$J246,"")</f>
        <v/>
      </c>
    </row>
    <row r="247">
      <c r="A247" s="8" t="inlineStr">
        <is>
          <t>Armature INF X</t>
        </is>
      </c>
      <c r="B247" s="8" t="n"/>
      <c r="C247" s="8" t="n"/>
      <c r="D247" s="9" t="n"/>
      <c r="E247" s="9" t="n"/>
      <c r="F247" s="9" t="n"/>
      <c r="G247" s="9" t="n">
        <v>1</v>
      </c>
      <c r="H247" s="9" t="n">
        <v>7</v>
      </c>
      <c r="I247" s="9" t="n">
        <v>8</v>
      </c>
      <c r="J247" s="9">
        <f>(E246-0.05)+34*I247/1000</f>
        <v/>
      </c>
      <c r="K247" s="9">
        <f>IF($I247=6,$G247*$H247*$J247,"")</f>
        <v/>
      </c>
      <c r="L247" s="9">
        <f>IF($I247=8,$G247*$H247*$J247,"")</f>
        <v/>
      </c>
      <c r="M247" s="9">
        <f>IF($I247=10,$G247*$H247*$J247,"")</f>
        <v/>
      </c>
      <c r="N247" s="9">
        <f>IF($I247=12,$G247*$H247*$J247,"")</f>
        <v/>
      </c>
      <c r="O247" s="9">
        <f>IF($I247=14,$G247*$H247*$J247,"")</f>
        <v/>
      </c>
      <c r="P247" s="9">
        <f>IF($I247=16,$G247*$H247*$J247,"")</f>
        <v/>
      </c>
      <c r="Q247" s="9">
        <f>IF($I247=20,$G247*$H247*$J247,"")</f>
        <v/>
      </c>
      <c r="R247" s="9">
        <f>IF($I247=25,$G247*$H247*$J247,"")</f>
        <v/>
      </c>
      <c r="S247" s="9">
        <f>IF($I247=32,$G247*$H247*$J247,"")</f>
        <v/>
      </c>
    </row>
    <row r="248">
      <c r="A248" s="8" t="inlineStr">
        <is>
          <t>Armature INF Y</t>
        </is>
      </c>
      <c r="B248" s="8" t="n"/>
      <c r="C248" s="8" t="n"/>
      <c r="D248" s="9" t="n"/>
      <c r="E248" s="9" t="n"/>
      <c r="F248" s="9" t="n"/>
      <c r="G248" s="9" t="n">
        <v>1</v>
      </c>
      <c r="H248" s="9" t="n">
        <v>7</v>
      </c>
      <c r="I248" s="9" t="n">
        <v>8</v>
      </c>
      <c r="J248" s="9">
        <f>(D246-0.05)+34*I248/1000</f>
        <v/>
      </c>
      <c r="K248" s="9">
        <f>IF($I248=6,$G248*$H248*$J248,"")</f>
        <v/>
      </c>
      <c r="L248" s="9">
        <f>IF($I248=8,$G248*$H248*$J248,"")</f>
        <v/>
      </c>
      <c r="M248" s="9">
        <f>IF($I248=10,$G248*$H248*$J248,"")</f>
        <v/>
      </c>
      <c r="N248" s="9">
        <f>IF($I248=12,$G248*$H248*$J248,"")</f>
        <v/>
      </c>
      <c r="O248" s="9">
        <f>IF($I248=14,$G248*$H248*$J248,"")</f>
        <v/>
      </c>
      <c r="P248" s="9">
        <f>IF($I248=16,$G248*$H248*$J248,"")</f>
        <v/>
      </c>
      <c r="Q248" s="9">
        <f>IF($I248=20,$G248*$H248*$J248,"")</f>
        <v/>
      </c>
      <c r="R248" s="9">
        <f>IF($I248=25,$G248*$H248*$J248,"")</f>
        <v/>
      </c>
      <c r="S248" s="9">
        <f>IF($I248=32,$G248*$H248*$J248,"")</f>
        <v/>
      </c>
    </row>
    <row r="249">
      <c r="A249" s="7" t="inlineStr">
        <is>
          <t>Armatures non cotées dans la table (à vérifier sur coupes)</t>
        </is>
      </c>
    </row>
    <row r="250">
      <c r="A250" s="8" t="inlineStr">
        <is>
          <t>S1_51</t>
        </is>
      </c>
      <c r="B250" s="8" t="inlineStr">
        <is>
          <t>A</t>
        </is>
      </c>
      <c r="C250" s="8" t="inlineStr">
        <is>
          <t>17</t>
        </is>
      </c>
      <c r="D250" s="9" t="n">
        <v>0.9</v>
      </c>
      <c r="E250" s="9" t="n">
        <v>0.9</v>
      </c>
      <c r="F250" s="9" t="n">
        <v>0.25</v>
      </c>
      <c r="G250" s="9" t="n"/>
      <c r="H250" s="9" t="n"/>
      <c r="I250" s="9" t="n"/>
      <c r="J250" s="9" t="n"/>
      <c r="K250" s="9">
        <f>IF($I250=6,$G250*$H250*$J250,"")</f>
        <v/>
      </c>
      <c r="L250" s="9">
        <f>IF($I250=8,$G250*$H250*$J250,"")</f>
        <v/>
      </c>
      <c r="M250" s="9">
        <f>IF($I250=10,$G250*$H250*$J250,"")</f>
        <v/>
      </c>
      <c r="N250" s="9">
        <f>IF($I250=12,$G250*$H250*$J250,"")</f>
        <v/>
      </c>
      <c r="O250" s="9">
        <f>IF($I250=14,$G250*$H250*$J250,"")</f>
        <v/>
      </c>
      <c r="P250" s="9">
        <f>IF($I250=16,$G250*$H250*$J250,"")</f>
        <v/>
      </c>
      <c r="Q250" s="9">
        <f>IF($I250=20,$G250*$H250*$J250,"")</f>
        <v/>
      </c>
      <c r="R250" s="9">
        <f>IF($I250=25,$G250*$H250*$J250,"")</f>
        <v/>
      </c>
      <c r="S250" s="9">
        <f>IF($I250=32,$G250*$H250*$J250,"")</f>
        <v/>
      </c>
    </row>
    <row r="251">
      <c r="A251" s="8" t="inlineStr">
        <is>
          <t>Armature INF X</t>
        </is>
      </c>
      <c r="B251" s="8" t="n"/>
      <c r="C251" s="8" t="n"/>
      <c r="D251" s="9" t="n"/>
      <c r="E251" s="9" t="n"/>
      <c r="F251" s="9" t="n"/>
      <c r="G251" s="9" t="n">
        <v>1</v>
      </c>
      <c r="H251" s="9" t="n">
        <v>7</v>
      </c>
      <c r="I251" s="9" t="n">
        <v>8</v>
      </c>
      <c r="J251" s="9">
        <f>(E250-0.05)+34*I251/1000</f>
        <v/>
      </c>
      <c r="K251" s="9">
        <f>IF($I251=6,$G251*$H251*$J251,"")</f>
        <v/>
      </c>
      <c r="L251" s="9">
        <f>IF($I251=8,$G251*$H251*$J251,"")</f>
        <v/>
      </c>
      <c r="M251" s="9">
        <f>IF($I251=10,$G251*$H251*$J251,"")</f>
        <v/>
      </c>
      <c r="N251" s="9">
        <f>IF($I251=12,$G251*$H251*$J251,"")</f>
        <v/>
      </c>
      <c r="O251" s="9">
        <f>IF($I251=14,$G251*$H251*$J251,"")</f>
        <v/>
      </c>
      <c r="P251" s="9">
        <f>IF($I251=16,$G251*$H251*$J251,"")</f>
        <v/>
      </c>
      <c r="Q251" s="9">
        <f>IF($I251=20,$G251*$H251*$J251,"")</f>
        <v/>
      </c>
      <c r="R251" s="9">
        <f>IF($I251=25,$G251*$H251*$J251,"")</f>
        <v/>
      </c>
      <c r="S251" s="9">
        <f>IF($I251=32,$G251*$H251*$J251,"")</f>
        <v/>
      </c>
    </row>
    <row r="252">
      <c r="A252" s="8" t="inlineStr">
        <is>
          <t>Armature INF Y</t>
        </is>
      </c>
      <c r="B252" s="8" t="n"/>
      <c r="C252" s="8" t="n"/>
      <c r="D252" s="9" t="n"/>
      <c r="E252" s="9" t="n"/>
      <c r="F252" s="9" t="n"/>
      <c r="G252" s="9" t="n">
        <v>1</v>
      </c>
      <c r="H252" s="9" t="n">
        <v>7</v>
      </c>
      <c r="I252" s="9" t="n">
        <v>8</v>
      </c>
      <c r="J252" s="9">
        <f>(D250-0.05)+34*I252/1000</f>
        <v/>
      </c>
      <c r="K252" s="9">
        <f>IF($I252=6,$G252*$H252*$J252,"")</f>
        <v/>
      </c>
      <c r="L252" s="9">
        <f>IF($I252=8,$G252*$H252*$J252,"")</f>
        <v/>
      </c>
      <c r="M252" s="9">
        <f>IF($I252=10,$G252*$H252*$J252,"")</f>
        <v/>
      </c>
      <c r="N252" s="9">
        <f>IF($I252=12,$G252*$H252*$J252,"")</f>
        <v/>
      </c>
      <c r="O252" s="9">
        <f>IF($I252=14,$G252*$H252*$J252,"")</f>
        <v/>
      </c>
      <c r="P252" s="9">
        <f>IF($I252=16,$G252*$H252*$J252,"")</f>
        <v/>
      </c>
      <c r="Q252" s="9">
        <f>IF($I252=20,$G252*$H252*$J252,"")</f>
        <v/>
      </c>
      <c r="R252" s="9">
        <f>IF($I252=25,$G252*$H252*$J252,"")</f>
        <v/>
      </c>
      <c r="S252" s="9">
        <f>IF($I252=32,$G252*$H252*$J252,"")</f>
        <v/>
      </c>
    </row>
    <row r="253">
      <c r="A253" s="7" t="inlineStr">
        <is>
          <t>Armatures non cotées dans la table (à vérifier sur coupes)</t>
        </is>
      </c>
    </row>
    <row r="254">
      <c r="A254" s="8" t="inlineStr">
        <is>
          <t>S1_52</t>
        </is>
      </c>
      <c r="B254" s="8" t="inlineStr">
        <is>
          <t>A</t>
        </is>
      </c>
      <c r="C254" s="8" t="inlineStr">
        <is>
          <t>17</t>
        </is>
      </c>
      <c r="D254" s="9" t="n">
        <v>0.9</v>
      </c>
      <c r="E254" s="9" t="n">
        <v>0.9</v>
      </c>
      <c r="F254" s="9" t="n">
        <v>0.25</v>
      </c>
      <c r="G254" s="9" t="n"/>
      <c r="H254" s="9" t="n"/>
      <c r="I254" s="9" t="n"/>
      <c r="J254" s="9" t="n"/>
      <c r="K254" s="9">
        <f>IF($I254=6,$G254*$H254*$J254,"")</f>
        <v/>
      </c>
      <c r="L254" s="9">
        <f>IF($I254=8,$G254*$H254*$J254,"")</f>
        <v/>
      </c>
      <c r="M254" s="9">
        <f>IF($I254=10,$G254*$H254*$J254,"")</f>
        <v/>
      </c>
      <c r="N254" s="9">
        <f>IF($I254=12,$G254*$H254*$J254,"")</f>
        <v/>
      </c>
      <c r="O254" s="9">
        <f>IF($I254=14,$G254*$H254*$J254,"")</f>
        <v/>
      </c>
      <c r="P254" s="9">
        <f>IF($I254=16,$G254*$H254*$J254,"")</f>
        <v/>
      </c>
      <c r="Q254" s="9">
        <f>IF($I254=20,$G254*$H254*$J254,"")</f>
        <v/>
      </c>
      <c r="R254" s="9">
        <f>IF($I254=25,$G254*$H254*$J254,"")</f>
        <v/>
      </c>
      <c r="S254" s="9">
        <f>IF($I254=32,$G254*$H254*$J254,"")</f>
        <v/>
      </c>
    </row>
    <row r="255">
      <c r="A255" s="8" t="inlineStr">
        <is>
          <t>Armature INF X</t>
        </is>
      </c>
      <c r="B255" s="8" t="n"/>
      <c r="C255" s="8" t="n"/>
      <c r="D255" s="9" t="n"/>
      <c r="E255" s="9" t="n"/>
      <c r="F255" s="9" t="n"/>
      <c r="G255" s="9" t="n">
        <v>1</v>
      </c>
      <c r="H255" s="9" t="n">
        <v>7</v>
      </c>
      <c r="I255" s="9" t="n">
        <v>8</v>
      </c>
      <c r="J255" s="9">
        <f>(E254-0.05)+34*I255/1000</f>
        <v/>
      </c>
      <c r="K255" s="9">
        <f>IF($I255=6,$G255*$H255*$J255,"")</f>
        <v/>
      </c>
      <c r="L255" s="9">
        <f>IF($I255=8,$G255*$H255*$J255,"")</f>
        <v/>
      </c>
      <c r="M255" s="9">
        <f>IF($I255=10,$G255*$H255*$J255,"")</f>
        <v/>
      </c>
      <c r="N255" s="9">
        <f>IF($I255=12,$G255*$H255*$J255,"")</f>
        <v/>
      </c>
      <c r="O255" s="9">
        <f>IF($I255=14,$G255*$H255*$J255,"")</f>
        <v/>
      </c>
      <c r="P255" s="9">
        <f>IF($I255=16,$G255*$H255*$J255,"")</f>
        <v/>
      </c>
      <c r="Q255" s="9">
        <f>IF($I255=20,$G255*$H255*$J255,"")</f>
        <v/>
      </c>
      <c r="R255" s="9">
        <f>IF($I255=25,$G255*$H255*$J255,"")</f>
        <v/>
      </c>
      <c r="S255" s="9">
        <f>IF($I255=32,$G255*$H255*$J255,"")</f>
        <v/>
      </c>
    </row>
    <row r="256">
      <c r="A256" s="8" t="inlineStr">
        <is>
          <t>Armature INF Y</t>
        </is>
      </c>
      <c r="B256" s="8" t="n"/>
      <c r="C256" s="8" t="n"/>
      <c r="D256" s="9" t="n"/>
      <c r="E256" s="9" t="n"/>
      <c r="F256" s="9" t="n"/>
      <c r="G256" s="9" t="n">
        <v>1</v>
      </c>
      <c r="H256" s="9" t="n">
        <v>7</v>
      </c>
      <c r="I256" s="9" t="n">
        <v>8</v>
      </c>
      <c r="J256" s="9">
        <f>(D254-0.05)+34*I256/1000</f>
        <v/>
      </c>
      <c r="K256" s="9">
        <f>IF($I256=6,$G256*$H256*$J256,"")</f>
        <v/>
      </c>
      <c r="L256" s="9">
        <f>IF($I256=8,$G256*$H256*$J256,"")</f>
        <v/>
      </c>
      <c r="M256" s="9">
        <f>IF($I256=10,$G256*$H256*$J256,"")</f>
        <v/>
      </c>
      <c r="N256" s="9">
        <f>IF($I256=12,$G256*$H256*$J256,"")</f>
        <v/>
      </c>
      <c r="O256" s="9">
        <f>IF($I256=14,$G256*$H256*$J256,"")</f>
        <v/>
      </c>
      <c r="P256" s="9">
        <f>IF($I256=16,$G256*$H256*$J256,"")</f>
        <v/>
      </c>
      <c r="Q256" s="9">
        <f>IF($I256=20,$G256*$H256*$J256,"")</f>
        <v/>
      </c>
      <c r="R256" s="9">
        <f>IF($I256=25,$G256*$H256*$J256,"")</f>
        <v/>
      </c>
      <c r="S256" s="9">
        <f>IF($I256=32,$G256*$H256*$J256,"")</f>
        <v/>
      </c>
    </row>
    <row r="257">
      <c r="A257" s="7" t="inlineStr">
        <is>
          <t>Armatures non cotées dans la table (à vérifier sur coupes)</t>
        </is>
      </c>
    </row>
    <row r="258">
      <c r="A258" s="8" t="inlineStr">
        <is>
          <t>S1_53</t>
        </is>
      </c>
      <c r="B258" s="8" t="inlineStr">
        <is>
          <t>A</t>
        </is>
      </c>
      <c r="C258" s="8" t="inlineStr">
        <is>
          <t>17</t>
        </is>
      </c>
      <c r="D258" s="9" t="n">
        <v>0.9</v>
      </c>
      <c r="E258" s="9" t="n">
        <v>0.9</v>
      </c>
      <c r="F258" s="9" t="n">
        <v>0.25</v>
      </c>
      <c r="G258" s="9" t="n"/>
      <c r="H258" s="9" t="n"/>
      <c r="I258" s="9" t="n"/>
      <c r="J258" s="9" t="n"/>
      <c r="K258" s="9">
        <f>IF($I258=6,$G258*$H258*$J258,"")</f>
        <v/>
      </c>
      <c r="L258" s="9">
        <f>IF($I258=8,$G258*$H258*$J258,"")</f>
        <v/>
      </c>
      <c r="M258" s="9">
        <f>IF($I258=10,$G258*$H258*$J258,"")</f>
        <v/>
      </c>
      <c r="N258" s="9">
        <f>IF($I258=12,$G258*$H258*$J258,"")</f>
        <v/>
      </c>
      <c r="O258" s="9">
        <f>IF($I258=14,$G258*$H258*$J258,"")</f>
        <v/>
      </c>
      <c r="P258" s="9">
        <f>IF($I258=16,$G258*$H258*$J258,"")</f>
        <v/>
      </c>
      <c r="Q258" s="9">
        <f>IF($I258=20,$G258*$H258*$J258,"")</f>
        <v/>
      </c>
      <c r="R258" s="9">
        <f>IF($I258=25,$G258*$H258*$J258,"")</f>
        <v/>
      </c>
      <c r="S258" s="9">
        <f>IF($I258=32,$G258*$H258*$J258,"")</f>
        <v/>
      </c>
    </row>
    <row r="259">
      <c r="A259" s="8" t="inlineStr">
        <is>
          <t>Armature INF X</t>
        </is>
      </c>
      <c r="B259" s="8" t="n"/>
      <c r="C259" s="8" t="n"/>
      <c r="D259" s="9" t="n"/>
      <c r="E259" s="9" t="n"/>
      <c r="F259" s="9" t="n"/>
      <c r="G259" s="9" t="n">
        <v>1</v>
      </c>
      <c r="H259" s="9" t="n">
        <v>7</v>
      </c>
      <c r="I259" s="9" t="n">
        <v>8</v>
      </c>
      <c r="J259" s="9">
        <f>(E258-0.05)+34*I259/1000</f>
        <v/>
      </c>
      <c r="K259" s="9">
        <f>IF($I259=6,$G259*$H259*$J259,"")</f>
        <v/>
      </c>
      <c r="L259" s="9">
        <f>IF($I259=8,$G259*$H259*$J259,"")</f>
        <v/>
      </c>
      <c r="M259" s="9">
        <f>IF($I259=10,$G259*$H259*$J259,"")</f>
        <v/>
      </c>
      <c r="N259" s="9">
        <f>IF($I259=12,$G259*$H259*$J259,"")</f>
        <v/>
      </c>
      <c r="O259" s="9">
        <f>IF($I259=14,$G259*$H259*$J259,"")</f>
        <v/>
      </c>
      <c r="P259" s="9">
        <f>IF($I259=16,$G259*$H259*$J259,"")</f>
        <v/>
      </c>
      <c r="Q259" s="9">
        <f>IF($I259=20,$G259*$H259*$J259,"")</f>
        <v/>
      </c>
      <c r="R259" s="9">
        <f>IF($I259=25,$G259*$H259*$J259,"")</f>
        <v/>
      </c>
      <c r="S259" s="9">
        <f>IF($I259=32,$G259*$H259*$J259,"")</f>
        <v/>
      </c>
    </row>
    <row r="260">
      <c r="A260" s="8" t="inlineStr">
        <is>
          <t>Armature INF Y</t>
        </is>
      </c>
      <c r="B260" s="8" t="n"/>
      <c r="C260" s="8" t="n"/>
      <c r="D260" s="9" t="n"/>
      <c r="E260" s="9" t="n"/>
      <c r="F260" s="9" t="n"/>
      <c r="G260" s="9" t="n">
        <v>1</v>
      </c>
      <c r="H260" s="9" t="n">
        <v>7</v>
      </c>
      <c r="I260" s="9" t="n">
        <v>8</v>
      </c>
      <c r="J260" s="9">
        <f>(D258-0.05)+34*I260/1000</f>
        <v/>
      </c>
      <c r="K260" s="9">
        <f>IF($I260=6,$G260*$H260*$J260,"")</f>
        <v/>
      </c>
      <c r="L260" s="9">
        <f>IF($I260=8,$G260*$H260*$J260,"")</f>
        <v/>
      </c>
      <c r="M260" s="9">
        <f>IF($I260=10,$G260*$H260*$J260,"")</f>
        <v/>
      </c>
      <c r="N260" s="9">
        <f>IF($I260=12,$G260*$H260*$J260,"")</f>
        <v/>
      </c>
      <c r="O260" s="9">
        <f>IF($I260=14,$G260*$H260*$J260,"")</f>
        <v/>
      </c>
      <c r="P260" s="9">
        <f>IF($I260=16,$G260*$H260*$J260,"")</f>
        <v/>
      </c>
      <c r="Q260" s="9">
        <f>IF($I260=20,$G260*$H260*$J260,"")</f>
        <v/>
      </c>
      <c r="R260" s="9">
        <f>IF($I260=25,$G260*$H260*$J260,"")</f>
        <v/>
      </c>
      <c r="S260" s="9">
        <f>IF($I260=32,$G260*$H260*$J260,"")</f>
        <v/>
      </c>
    </row>
    <row r="261">
      <c r="A261" s="7" t="inlineStr">
        <is>
          <t>Armatures non cotées dans la table (à vérifier sur coupes)</t>
        </is>
      </c>
    </row>
    <row r="262">
      <c r="A262" s="8" t="inlineStr">
        <is>
          <t>S1_54</t>
        </is>
      </c>
      <c r="B262" s="8" t="inlineStr">
        <is>
          <t>A</t>
        </is>
      </c>
      <c r="C262" s="8" t="inlineStr">
        <is>
          <t>17</t>
        </is>
      </c>
      <c r="D262" s="9" t="n">
        <v>0.9</v>
      </c>
      <c r="E262" s="9" t="n">
        <v>0.9</v>
      </c>
      <c r="F262" s="9" t="n">
        <v>0.25</v>
      </c>
      <c r="G262" s="9" t="n"/>
      <c r="H262" s="9" t="n"/>
      <c r="I262" s="9" t="n"/>
      <c r="J262" s="9" t="n"/>
      <c r="K262" s="9">
        <f>IF($I262=6,$G262*$H262*$J262,"")</f>
        <v/>
      </c>
      <c r="L262" s="9">
        <f>IF($I262=8,$G262*$H262*$J262,"")</f>
        <v/>
      </c>
      <c r="M262" s="9">
        <f>IF($I262=10,$G262*$H262*$J262,"")</f>
        <v/>
      </c>
      <c r="N262" s="9">
        <f>IF($I262=12,$G262*$H262*$J262,"")</f>
        <v/>
      </c>
      <c r="O262" s="9">
        <f>IF($I262=14,$G262*$H262*$J262,"")</f>
        <v/>
      </c>
      <c r="P262" s="9">
        <f>IF($I262=16,$G262*$H262*$J262,"")</f>
        <v/>
      </c>
      <c r="Q262" s="9">
        <f>IF($I262=20,$G262*$H262*$J262,"")</f>
        <v/>
      </c>
      <c r="R262" s="9">
        <f>IF($I262=25,$G262*$H262*$J262,"")</f>
        <v/>
      </c>
      <c r="S262" s="9">
        <f>IF($I262=32,$G262*$H262*$J262,"")</f>
        <v/>
      </c>
    </row>
    <row r="263">
      <c r="A263" s="8" t="inlineStr">
        <is>
          <t>Armature INF X</t>
        </is>
      </c>
      <c r="B263" s="8" t="n"/>
      <c r="C263" s="8" t="n"/>
      <c r="D263" s="9" t="n"/>
      <c r="E263" s="9" t="n"/>
      <c r="F263" s="9" t="n"/>
      <c r="G263" s="9" t="n">
        <v>1</v>
      </c>
      <c r="H263" s="9" t="n">
        <v>7</v>
      </c>
      <c r="I263" s="9" t="n">
        <v>8</v>
      </c>
      <c r="J263" s="9">
        <f>(E262-0.05)+34*I263/1000</f>
        <v/>
      </c>
      <c r="K263" s="9">
        <f>IF($I263=6,$G263*$H263*$J263,"")</f>
        <v/>
      </c>
      <c r="L263" s="9">
        <f>IF($I263=8,$G263*$H263*$J263,"")</f>
        <v/>
      </c>
      <c r="M263" s="9">
        <f>IF($I263=10,$G263*$H263*$J263,"")</f>
        <v/>
      </c>
      <c r="N263" s="9">
        <f>IF($I263=12,$G263*$H263*$J263,"")</f>
        <v/>
      </c>
      <c r="O263" s="9">
        <f>IF($I263=14,$G263*$H263*$J263,"")</f>
        <v/>
      </c>
      <c r="P263" s="9">
        <f>IF($I263=16,$G263*$H263*$J263,"")</f>
        <v/>
      </c>
      <c r="Q263" s="9">
        <f>IF($I263=20,$G263*$H263*$J263,"")</f>
        <v/>
      </c>
      <c r="R263" s="9">
        <f>IF($I263=25,$G263*$H263*$J263,"")</f>
        <v/>
      </c>
      <c r="S263" s="9">
        <f>IF($I263=32,$G263*$H263*$J263,"")</f>
        <v/>
      </c>
    </row>
    <row r="264">
      <c r="A264" s="8" t="inlineStr">
        <is>
          <t>Armature INF Y</t>
        </is>
      </c>
      <c r="B264" s="8" t="n"/>
      <c r="C264" s="8" t="n"/>
      <c r="D264" s="9" t="n"/>
      <c r="E264" s="9" t="n"/>
      <c r="F264" s="9" t="n"/>
      <c r="G264" s="9" t="n">
        <v>1</v>
      </c>
      <c r="H264" s="9" t="n">
        <v>7</v>
      </c>
      <c r="I264" s="9" t="n">
        <v>8</v>
      </c>
      <c r="J264" s="9">
        <f>(D262-0.05)+34*I264/1000</f>
        <v/>
      </c>
      <c r="K264" s="9">
        <f>IF($I264=6,$G264*$H264*$J264,"")</f>
        <v/>
      </c>
      <c r="L264" s="9">
        <f>IF($I264=8,$G264*$H264*$J264,"")</f>
        <v/>
      </c>
      <c r="M264" s="9">
        <f>IF($I264=10,$G264*$H264*$J264,"")</f>
        <v/>
      </c>
      <c r="N264" s="9">
        <f>IF($I264=12,$G264*$H264*$J264,"")</f>
        <v/>
      </c>
      <c r="O264" s="9">
        <f>IF($I264=14,$G264*$H264*$J264,"")</f>
        <v/>
      </c>
      <c r="P264" s="9">
        <f>IF($I264=16,$G264*$H264*$J264,"")</f>
        <v/>
      </c>
      <c r="Q264" s="9">
        <f>IF($I264=20,$G264*$H264*$J264,"")</f>
        <v/>
      </c>
      <c r="R264" s="9">
        <f>IF($I264=25,$G264*$H264*$J264,"")</f>
        <v/>
      </c>
      <c r="S264" s="9">
        <f>IF($I264=32,$G264*$H264*$J264,"")</f>
        <v/>
      </c>
    </row>
    <row r="265">
      <c r="A265" s="7" t="inlineStr">
        <is>
          <t>Armatures non cotées dans la table (à vérifier sur coupes)</t>
        </is>
      </c>
    </row>
    <row r="266">
      <c r="A266" s="8" t="inlineStr">
        <is>
          <t>S1_55</t>
        </is>
      </c>
      <c r="B266" s="8" t="inlineStr">
        <is>
          <t>A</t>
        </is>
      </c>
      <c r="C266" s="8" t="inlineStr">
        <is>
          <t>17</t>
        </is>
      </c>
      <c r="D266" s="9" t="n">
        <v>0.9</v>
      </c>
      <c r="E266" s="9" t="n">
        <v>0.9</v>
      </c>
      <c r="F266" s="9" t="n">
        <v>0.25</v>
      </c>
      <c r="G266" s="9" t="n"/>
      <c r="H266" s="9" t="n"/>
      <c r="I266" s="9" t="n"/>
      <c r="J266" s="9" t="n"/>
      <c r="K266" s="9">
        <f>IF($I266=6,$G266*$H266*$J266,"")</f>
        <v/>
      </c>
      <c r="L266" s="9">
        <f>IF($I266=8,$G266*$H266*$J266,"")</f>
        <v/>
      </c>
      <c r="M266" s="9">
        <f>IF($I266=10,$G266*$H266*$J266,"")</f>
        <v/>
      </c>
      <c r="N266" s="9">
        <f>IF($I266=12,$G266*$H266*$J266,"")</f>
        <v/>
      </c>
      <c r="O266" s="9">
        <f>IF($I266=14,$G266*$H266*$J266,"")</f>
        <v/>
      </c>
      <c r="P266" s="9">
        <f>IF($I266=16,$G266*$H266*$J266,"")</f>
        <v/>
      </c>
      <c r="Q266" s="9">
        <f>IF($I266=20,$G266*$H266*$J266,"")</f>
        <v/>
      </c>
      <c r="R266" s="9">
        <f>IF($I266=25,$G266*$H266*$J266,"")</f>
        <v/>
      </c>
      <c r="S266" s="9">
        <f>IF($I266=32,$G266*$H266*$J266,"")</f>
        <v/>
      </c>
    </row>
    <row r="267">
      <c r="A267" s="8" t="inlineStr">
        <is>
          <t>Armature INF X</t>
        </is>
      </c>
      <c r="B267" s="8" t="n"/>
      <c r="C267" s="8" t="n"/>
      <c r="D267" s="9" t="n"/>
      <c r="E267" s="9" t="n"/>
      <c r="F267" s="9" t="n"/>
      <c r="G267" s="9" t="n">
        <v>1</v>
      </c>
      <c r="H267" s="9" t="n">
        <v>7</v>
      </c>
      <c r="I267" s="9" t="n">
        <v>8</v>
      </c>
      <c r="J267" s="9">
        <f>(E266-0.05)+34*I267/1000</f>
        <v/>
      </c>
      <c r="K267" s="9">
        <f>IF($I267=6,$G267*$H267*$J267,"")</f>
        <v/>
      </c>
      <c r="L267" s="9">
        <f>IF($I267=8,$G267*$H267*$J267,"")</f>
        <v/>
      </c>
      <c r="M267" s="9">
        <f>IF($I267=10,$G267*$H267*$J267,"")</f>
        <v/>
      </c>
      <c r="N267" s="9">
        <f>IF($I267=12,$G267*$H267*$J267,"")</f>
        <v/>
      </c>
      <c r="O267" s="9">
        <f>IF($I267=14,$G267*$H267*$J267,"")</f>
        <v/>
      </c>
      <c r="P267" s="9">
        <f>IF($I267=16,$G267*$H267*$J267,"")</f>
        <v/>
      </c>
      <c r="Q267" s="9">
        <f>IF($I267=20,$G267*$H267*$J267,"")</f>
        <v/>
      </c>
      <c r="R267" s="9">
        <f>IF($I267=25,$G267*$H267*$J267,"")</f>
        <v/>
      </c>
      <c r="S267" s="9">
        <f>IF($I267=32,$G267*$H267*$J267,"")</f>
        <v/>
      </c>
    </row>
    <row r="268">
      <c r="A268" s="8" t="inlineStr">
        <is>
          <t>Armature INF Y</t>
        </is>
      </c>
      <c r="B268" s="8" t="n"/>
      <c r="C268" s="8" t="n"/>
      <c r="D268" s="9" t="n"/>
      <c r="E268" s="9" t="n"/>
      <c r="F268" s="9" t="n"/>
      <c r="G268" s="9" t="n">
        <v>1</v>
      </c>
      <c r="H268" s="9" t="n">
        <v>7</v>
      </c>
      <c r="I268" s="9" t="n">
        <v>8</v>
      </c>
      <c r="J268" s="9">
        <f>(D266-0.05)+34*I268/1000</f>
        <v/>
      </c>
      <c r="K268" s="9">
        <f>IF($I268=6,$G268*$H268*$J268,"")</f>
        <v/>
      </c>
      <c r="L268" s="9">
        <f>IF($I268=8,$G268*$H268*$J268,"")</f>
        <v/>
      </c>
      <c r="M268" s="9">
        <f>IF($I268=10,$G268*$H268*$J268,"")</f>
        <v/>
      </c>
      <c r="N268" s="9">
        <f>IF($I268=12,$G268*$H268*$J268,"")</f>
        <v/>
      </c>
      <c r="O268" s="9">
        <f>IF($I268=14,$G268*$H268*$J268,"")</f>
        <v/>
      </c>
      <c r="P268" s="9">
        <f>IF($I268=16,$G268*$H268*$J268,"")</f>
        <v/>
      </c>
      <c r="Q268" s="9">
        <f>IF($I268=20,$G268*$H268*$J268,"")</f>
        <v/>
      </c>
      <c r="R268" s="9">
        <f>IF($I268=25,$G268*$H268*$J268,"")</f>
        <v/>
      </c>
      <c r="S268" s="9">
        <f>IF($I268=32,$G268*$H268*$J268,"")</f>
        <v/>
      </c>
    </row>
    <row r="269">
      <c r="A269" s="7" t="inlineStr">
        <is>
          <t>Armatures non cotées dans la table (à vérifier sur coupes)</t>
        </is>
      </c>
    </row>
    <row r="270">
      <c r="A270" s="8" t="inlineStr">
        <is>
          <t>S3_5</t>
        </is>
      </c>
      <c r="B270" s="8" t="inlineStr">
        <is>
          <t>A</t>
        </is>
      </c>
      <c r="C270" s="8" t="inlineStr">
        <is>
          <t>17</t>
        </is>
      </c>
      <c r="D270" s="9" t="n">
        <v>1</v>
      </c>
      <c r="E270" s="9" t="n">
        <v>1</v>
      </c>
      <c r="F270" s="9" t="n">
        <v>0.25</v>
      </c>
      <c r="G270" s="9" t="n"/>
      <c r="H270" s="9" t="n"/>
      <c r="I270" s="9" t="n"/>
      <c r="J270" s="9" t="n"/>
      <c r="K270" s="9">
        <f>IF($I270=6,$G270*$H270*$J270,"")</f>
        <v/>
      </c>
      <c r="L270" s="9">
        <f>IF($I270=8,$G270*$H270*$J270,"")</f>
        <v/>
      </c>
      <c r="M270" s="9">
        <f>IF($I270=10,$G270*$H270*$J270,"")</f>
        <v/>
      </c>
      <c r="N270" s="9">
        <f>IF($I270=12,$G270*$H270*$J270,"")</f>
        <v/>
      </c>
      <c r="O270" s="9">
        <f>IF($I270=14,$G270*$H270*$J270,"")</f>
        <v/>
      </c>
      <c r="P270" s="9">
        <f>IF($I270=16,$G270*$H270*$J270,"")</f>
        <v/>
      </c>
      <c r="Q270" s="9">
        <f>IF($I270=20,$G270*$H270*$J270,"")</f>
        <v/>
      </c>
      <c r="R270" s="9">
        <f>IF($I270=25,$G270*$H270*$J270,"")</f>
        <v/>
      </c>
      <c r="S270" s="9">
        <f>IF($I270=32,$G270*$H270*$J270,"")</f>
        <v/>
      </c>
    </row>
    <row r="271">
      <c r="A271" s="8" t="inlineStr">
        <is>
          <t>Armature INF X</t>
        </is>
      </c>
      <c r="B271" s="8" t="n"/>
      <c r="C271" s="8" t="n"/>
      <c r="D271" s="9" t="n"/>
      <c r="E271" s="9" t="n"/>
      <c r="F271" s="9" t="n"/>
      <c r="G271" s="9" t="n">
        <v>1</v>
      </c>
      <c r="H271" s="9" t="n">
        <v>8</v>
      </c>
      <c r="I271" s="9" t="n">
        <v>10</v>
      </c>
      <c r="J271" s="9">
        <f>(E270-0.05)+34*I271/1000</f>
        <v/>
      </c>
      <c r="K271" s="9">
        <f>IF($I271=6,$G271*$H271*$J271,"")</f>
        <v/>
      </c>
      <c r="L271" s="9">
        <f>IF($I271=8,$G271*$H271*$J271,"")</f>
        <v/>
      </c>
      <c r="M271" s="9">
        <f>IF($I271=10,$G271*$H271*$J271,"")</f>
        <v/>
      </c>
      <c r="N271" s="9">
        <f>IF($I271=12,$G271*$H271*$J271,"")</f>
        <v/>
      </c>
      <c r="O271" s="9">
        <f>IF($I271=14,$G271*$H271*$J271,"")</f>
        <v/>
      </c>
      <c r="P271" s="9">
        <f>IF($I271=16,$G271*$H271*$J271,"")</f>
        <v/>
      </c>
      <c r="Q271" s="9">
        <f>IF($I271=20,$G271*$H271*$J271,"")</f>
        <v/>
      </c>
      <c r="R271" s="9">
        <f>IF($I271=25,$G271*$H271*$J271,"")</f>
        <v/>
      </c>
      <c r="S271" s="9">
        <f>IF($I271=32,$G271*$H271*$J271,"")</f>
        <v/>
      </c>
    </row>
    <row r="272">
      <c r="A272" s="8" t="inlineStr">
        <is>
          <t>Armature INF Y</t>
        </is>
      </c>
      <c r="B272" s="8" t="n"/>
      <c r="C272" s="8" t="n"/>
      <c r="D272" s="9" t="n"/>
      <c r="E272" s="9" t="n"/>
      <c r="F272" s="9" t="n"/>
      <c r="G272" s="9" t="n">
        <v>1</v>
      </c>
      <c r="H272" s="9" t="n">
        <v>8</v>
      </c>
      <c r="I272" s="9" t="n">
        <v>10</v>
      </c>
      <c r="J272" s="9">
        <f>(D270-0.05)+34*I272/1000</f>
        <v/>
      </c>
      <c r="K272" s="9">
        <f>IF($I272=6,$G272*$H272*$J272,"")</f>
        <v/>
      </c>
      <c r="L272" s="9">
        <f>IF($I272=8,$G272*$H272*$J272,"")</f>
        <v/>
      </c>
      <c r="M272" s="9">
        <f>IF($I272=10,$G272*$H272*$J272,"")</f>
        <v/>
      </c>
      <c r="N272" s="9">
        <f>IF($I272=12,$G272*$H272*$J272,"")</f>
        <v/>
      </c>
      <c r="O272" s="9">
        <f>IF($I272=14,$G272*$H272*$J272,"")</f>
        <v/>
      </c>
      <c r="P272" s="9">
        <f>IF($I272=16,$G272*$H272*$J272,"")</f>
        <v/>
      </c>
      <c r="Q272" s="9">
        <f>IF($I272=20,$G272*$H272*$J272,"")</f>
        <v/>
      </c>
      <c r="R272" s="9">
        <f>IF($I272=25,$G272*$H272*$J272,"")</f>
        <v/>
      </c>
      <c r="S272" s="9">
        <f>IF($I272=32,$G272*$H272*$J272,"")</f>
        <v/>
      </c>
    </row>
    <row r="273">
      <c r="A273" s="7" t="inlineStr">
        <is>
          <t>Armatures non cotées dans la table (à vérifier sur coupes)</t>
        </is>
      </c>
    </row>
    <row r="274"/>
    <row r="275">
      <c r="A275" s="3" t="inlineStr">
        <is>
          <t>poutre</t>
        </is>
      </c>
    </row>
    <row r="276">
      <c r="A276" s="8" t="inlineStr">
        <is>
          <t>CH</t>
        </is>
      </c>
      <c r="B276" s="8" t="inlineStr"/>
      <c r="C276" s="8" t="n"/>
      <c r="D276" s="9" t="n">
        <v>0.15</v>
      </c>
      <c r="E276" s="9" t="n">
        <v>0.4</v>
      </c>
      <c r="F276" s="9" t="n"/>
      <c r="G276" s="9" t="n"/>
      <c r="H276" s="9" t="n"/>
      <c r="I276" s="9" t="n"/>
      <c r="J276" s="9" t="n"/>
      <c r="K276" s="9">
        <f>IF($I276=6,$G276*$H276*$J276,"")</f>
        <v/>
      </c>
      <c r="L276" s="9">
        <f>IF($I276=8,$G276*$H276*$J276,"")</f>
        <v/>
      </c>
      <c r="M276" s="9">
        <f>IF($I276=10,$G276*$H276*$J276,"")</f>
        <v/>
      </c>
      <c r="N276" s="9">
        <f>IF($I276=12,$G276*$H276*$J276,"")</f>
        <v/>
      </c>
      <c r="O276" s="9">
        <f>IF($I276=14,$G276*$H276*$J276,"")</f>
        <v/>
      </c>
      <c r="P276" s="9">
        <f>IF($I276=16,$G276*$H276*$J276,"")</f>
        <v/>
      </c>
      <c r="Q276" s="9">
        <f>IF($I276=20,$G276*$H276*$J276,"")</f>
        <v/>
      </c>
      <c r="R276" s="9">
        <f>IF($I276=25,$G276*$H276*$J276,"")</f>
        <v/>
      </c>
      <c r="S276" s="9">
        <f>IF($I276=32,$G276*$H276*$J276,"")</f>
        <v/>
      </c>
    </row>
    <row r="277">
      <c r="A277" s="8" t="inlineStr">
        <is>
          <t>CADRE</t>
        </is>
      </c>
      <c r="B277" s="8" t="n"/>
      <c r="C277" s="8" t="n"/>
      <c r="D277" s="9" t="n"/>
      <c r="E277" s="9" t="n"/>
      <c r="F277" s="9" t="n"/>
      <c r="G277" s="9" t="n"/>
      <c r="H277" s="9">
        <f>ROUNDUP(F276/0.18,0)+2</f>
        <v/>
      </c>
      <c r="I277" s="9" t="n">
        <v>0</v>
      </c>
      <c r="J277" s="9">
        <f>(2*(D276+E276)-0.05+20.5*I277/1000)</f>
        <v/>
      </c>
      <c r="K277" s="9">
        <f>IF($I277=6,$G277*$H277*$J277,"")</f>
        <v/>
      </c>
      <c r="L277" s="9">
        <f>IF($I277=8,$G277*$H277*$J277,"")</f>
        <v/>
      </c>
      <c r="M277" s="9">
        <f>IF($I277=10,$G277*$H277*$J277,"")</f>
        <v/>
      </c>
      <c r="N277" s="9">
        <f>IF($I277=12,$G277*$H277*$J277,"")</f>
        <v/>
      </c>
      <c r="O277" s="9">
        <f>IF($I277=14,$G277*$H277*$J277,"")</f>
        <v/>
      </c>
      <c r="P277" s="9">
        <f>IF($I277=16,$G277*$H277*$J277,"")</f>
        <v/>
      </c>
      <c r="Q277" s="9">
        <f>IF($I277=20,$G277*$H277*$J277,"")</f>
        <v/>
      </c>
      <c r="R277" s="9">
        <f>IF($I277=25,$G277*$H277*$J277,"")</f>
        <v/>
      </c>
      <c r="S277" s="9">
        <f>IF($I277=32,$G277*$H277*$J277,"")</f>
        <v/>
      </c>
    </row>
    <row r="278">
      <c r="A278" s="8" t="inlineStr">
        <is>
          <t>PC</t>
        </is>
      </c>
      <c r="B278" s="8" t="inlineStr"/>
      <c r="C278" s="8" t="n"/>
      <c r="D278" s="9" t="n">
        <v>0.25</v>
      </c>
      <c r="E278" s="9" t="n">
        <v>0.4</v>
      </c>
      <c r="F278" s="9" t="n"/>
      <c r="G278" s="9" t="n"/>
      <c r="H278" s="9" t="n"/>
      <c r="I278" s="9" t="n"/>
      <c r="J278" s="9" t="n"/>
      <c r="K278" s="9">
        <f>IF($I278=6,$G278*$H278*$J278,"")</f>
        <v/>
      </c>
      <c r="L278" s="9">
        <f>IF($I278=8,$G278*$H278*$J278,"")</f>
        <v/>
      </c>
      <c r="M278" s="9">
        <f>IF($I278=10,$G278*$H278*$J278,"")</f>
        <v/>
      </c>
      <c r="N278" s="9">
        <f>IF($I278=12,$G278*$H278*$J278,"")</f>
        <v/>
      </c>
      <c r="O278" s="9">
        <f>IF($I278=14,$G278*$H278*$J278,"")</f>
        <v/>
      </c>
      <c r="P278" s="9">
        <f>IF($I278=16,$G278*$H278*$J278,"")</f>
        <v/>
      </c>
      <c r="Q278" s="9">
        <f>IF($I278=20,$G278*$H278*$J278,"")</f>
        <v/>
      </c>
      <c r="R278" s="9">
        <f>IF($I278=25,$G278*$H278*$J278,"")</f>
        <v/>
      </c>
      <c r="S278" s="9">
        <f>IF($I278=32,$G278*$H278*$J278,"")</f>
        <v/>
      </c>
    </row>
    <row r="279">
      <c r="A279" s="8" t="inlineStr">
        <is>
          <t>CADRE</t>
        </is>
      </c>
      <c r="B279" s="8" t="n"/>
      <c r="C279" s="8" t="n"/>
      <c r="D279" s="9" t="n"/>
      <c r="E279" s="9" t="n"/>
      <c r="F279" s="9" t="n"/>
      <c r="G279" s="9" t="n"/>
      <c r="H279" s="9">
        <f>ROUNDUP(F278/0.18,0)+2</f>
        <v/>
      </c>
      <c r="I279" s="9" t="n">
        <v>0</v>
      </c>
      <c r="J279" s="9">
        <f>(2*(D278+E278)-0.05+20.5*I279/1000)</f>
        <v/>
      </c>
      <c r="K279" s="9">
        <f>IF($I279=6,$G279*$H279*$J279,"")</f>
        <v/>
      </c>
      <c r="L279" s="9">
        <f>IF($I279=8,$G279*$H279*$J279,"")</f>
        <v/>
      </c>
      <c r="M279" s="9">
        <f>IF($I279=10,$G279*$H279*$J279,"")</f>
        <v/>
      </c>
      <c r="N279" s="9">
        <f>IF($I279=12,$G279*$H279*$J279,"")</f>
        <v/>
      </c>
      <c r="O279" s="9">
        <f>IF($I279=14,$G279*$H279*$J279,"")</f>
        <v/>
      </c>
      <c r="P279" s="9">
        <f>IF($I279=16,$G279*$H279*$J279,"")</f>
        <v/>
      </c>
      <c r="Q279" s="9">
        <f>IF($I279=20,$G279*$H279*$J279,"")</f>
        <v/>
      </c>
      <c r="R279" s="9">
        <f>IF($I279=25,$G279*$H279*$J279,"")</f>
        <v/>
      </c>
      <c r="S279" s="9">
        <f>IF($I279=32,$G279*$H279*$J279,"")</f>
        <v/>
      </c>
    </row>
    <row r="280"/>
    <row r="281">
      <c r="A281" s="10" t="inlineStr">
        <is>
          <t>LONGUEUR TOTALE</t>
        </is>
      </c>
      <c r="B281" s="10" t="n"/>
      <c r="C281" s="10" t="n"/>
      <c r="D281" s="11" t="n"/>
      <c r="E281" s="11" t="n"/>
      <c r="F281" s="11" t="n"/>
      <c r="G281" s="11" t="n"/>
      <c r="H281" s="11" t="n"/>
      <c r="I281" s="11" t="n"/>
      <c r="J281" s="11" t="n"/>
      <c r="K281" s="11">
        <f>SUM(K4:K280)</f>
        <v/>
      </c>
      <c r="L281" s="11">
        <f>SUM(L4:L280)</f>
        <v/>
      </c>
      <c r="M281" s="11">
        <f>SUM(M4:M280)</f>
        <v/>
      </c>
      <c r="N281" s="11">
        <f>SUM(N4:N280)</f>
        <v/>
      </c>
      <c r="O281" s="11">
        <f>SUM(O4:O280)</f>
        <v/>
      </c>
      <c r="P281" s="11">
        <f>SUM(P4:P280)</f>
        <v/>
      </c>
      <c r="Q281" s="11">
        <f>SUM(Q4:Q280)</f>
        <v/>
      </c>
      <c r="R281" s="11">
        <f>SUM(R4:R280)</f>
        <v/>
      </c>
      <c r="S281" s="11">
        <f>SUM(S4:S280)</f>
        <v/>
      </c>
    </row>
    <row r="282">
      <c r="A282" s="10" t="inlineStr">
        <is>
          <t>POIDS / ML (kg/m)</t>
        </is>
      </c>
      <c r="B282" s="10" t="n"/>
      <c r="C282" s="10" t="n"/>
      <c r="D282" s="11" t="n"/>
      <c r="E282" s="11" t="n"/>
      <c r="F282" s="11" t="n"/>
      <c r="G282" s="11" t="n"/>
      <c r="H282" s="11" t="n"/>
      <c r="I282" s="11" t="n"/>
      <c r="J282" s="11" t="n"/>
      <c r="K282" s="11">
        <f>6*6/162</f>
        <v/>
      </c>
      <c r="L282" s="11">
        <f>8*8/162</f>
        <v/>
      </c>
      <c r="M282" s="11">
        <f>10*10/162</f>
        <v/>
      </c>
      <c r="N282" s="11">
        <f>12*12/162</f>
        <v/>
      </c>
      <c r="O282" s="11">
        <f>14*14/162</f>
        <v/>
      </c>
      <c r="P282" s="11">
        <f>16*16/162</f>
        <v/>
      </c>
      <c r="Q282" s="11">
        <f>20*20/162</f>
        <v/>
      </c>
      <c r="R282" s="11">
        <f>25*25/162</f>
        <v/>
      </c>
      <c r="S282" s="11">
        <f>32*32/162</f>
        <v/>
      </c>
    </row>
    <row r="283">
      <c r="A283" s="10" t="inlineStr">
        <is>
          <t>POIDS PARTIELS (kg)</t>
        </is>
      </c>
      <c r="B283" s="10" t="n"/>
      <c r="C283" s="10" t="n"/>
      <c r="D283" s="11" t="n"/>
      <c r="E283" s="11" t="n"/>
      <c r="F283" s="11" t="n"/>
      <c r="G283" s="11" t="n"/>
      <c r="H283" s="11" t="n"/>
      <c r="I283" s="11" t="n"/>
      <c r="J283" s="11" t="n"/>
      <c r="K283" s="11">
        <f>K281*K282</f>
        <v/>
      </c>
      <c r="L283" s="11">
        <f>L281*L282</f>
        <v/>
      </c>
      <c r="M283" s="11">
        <f>M281*M282</f>
        <v/>
      </c>
      <c r="N283" s="11">
        <f>N281*N282</f>
        <v/>
      </c>
      <c r="O283" s="11">
        <f>O281*O282</f>
        <v/>
      </c>
      <c r="P283" s="11">
        <f>P281*P282</f>
        <v/>
      </c>
      <c r="Q283" s="11">
        <f>Q281*Q282</f>
        <v/>
      </c>
      <c r="R283" s="11">
        <f>R281*R282</f>
        <v/>
      </c>
      <c r="S283" s="11">
        <f>S281*S282</f>
        <v/>
      </c>
    </row>
    <row r="284">
      <c r="A284" s="10" t="inlineStr">
        <is>
          <t>POIDS TOTAL (KG)</t>
        </is>
      </c>
      <c r="B284" s="10" t="n"/>
      <c r="C284" s="10" t="n"/>
      <c r="D284" s="11" t="n"/>
      <c r="E284" s="11" t="n"/>
      <c r="F284" s="11" t="n"/>
      <c r="G284" s="11" t="n"/>
      <c r="H284" s="11" t="n"/>
      <c r="I284" s="11" t="n"/>
      <c r="J284" s="11">
        <f>SUM(K283:S283)</f>
        <v/>
      </c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2026-09-05T20:18:17Z</dcterms:created>
  <dcterms:modified xsi:type="dcterms:W3CDTF">2026-09-05T20:22:38Z</dcterms:modified>
</cp:coreProperties>
</file>