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quantitatif fondation" sheetId="1" state="visible" r:id="rId1"/>
    <sheet xmlns:r="http://schemas.openxmlformats.org/officeDocument/2006/relationships" name="Armatures" sheetId="2" state="visible" r:id="rId2"/>
    <sheet xmlns:r="http://schemas.openxmlformats.org/officeDocument/2006/relationships" name="Compara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10" customWidth="1" min="9" max="9"/>
    <col width="9" customWidth="1" min="10" max="10"/>
    <col width="12" customWidth="1" min="11" max="11"/>
    <col width="12" customWidth="1" min="12" max="12"/>
    <col width="16" customWidth="1" min="13" max="13"/>
    <col width="12" customWidth="1" min="14" max="14"/>
  </cols>
  <sheetData>
    <row r="1">
      <c r="A1" t="inlineStr">
        <is>
          <t>AO N° :</t>
        </is>
      </c>
    </row>
    <row r="3">
      <c r="C3" t="inlineStr">
        <is>
          <t>Construction de locaux et travaux de réaménagement à la mine Youssoufia</t>
        </is>
      </c>
    </row>
    <row r="5">
      <c r="E5" s="1" t="inlineStr">
        <is>
          <t>Détail Quantitatif Métré</t>
        </is>
      </c>
    </row>
    <row r="6">
      <c r="A6" s="2" t="inlineStr">
        <is>
          <t>N°</t>
        </is>
      </c>
      <c r="B6" s="2" t="inlineStr">
        <is>
          <t>Désignation, détail de calcul, croquis, principe et justificatif</t>
        </is>
      </c>
      <c r="G6" s="2" t="inlineStr">
        <is>
          <t>U</t>
        </is>
      </c>
      <c r="H6" s="2" t="inlineStr">
        <is>
          <t>N</t>
        </is>
      </c>
      <c r="I6" s="2" t="inlineStr">
        <is>
          <t>Longueur</t>
        </is>
      </c>
      <c r="J6" s="2" t="inlineStr">
        <is>
          <t>largeur</t>
        </is>
      </c>
      <c r="K6" s="2" t="inlineStr">
        <is>
          <t>Hauteur / épaisseur</t>
        </is>
      </c>
      <c r="L6" s="2" t="inlineStr">
        <is>
          <t>Qté partielle</t>
        </is>
      </c>
      <c r="M6" s="2" t="inlineStr">
        <is>
          <t>Qté Total des Métrés</t>
        </is>
      </c>
    </row>
    <row r="7"/>
    <row r="8">
      <c r="A8" s="3" t="inlineStr">
        <is>
          <t>1</t>
        </is>
      </c>
      <c r="B8" s="4" t="inlineStr">
        <is>
          <t>A-  ETUDES TECHNIQUES, ESSAIS, CONTROLES ET RECEPTIONS</t>
        </is>
      </c>
    </row>
    <row r="9">
      <c r="B9" s="3" t="inlineStr">
        <is>
          <t>Etude suivant descriptif (géotechnique, technique, formulations bétons, essais et contrôles, réceptions, récolement)</t>
        </is>
      </c>
    </row>
    <row r="10">
      <c r="G10" s="5" t="inlineStr">
        <is>
          <t>f</t>
        </is>
      </c>
      <c r="H10" s="5" t="n">
        <v>1</v>
      </c>
      <c r="M10" s="5" t="n">
        <v>1</v>
      </c>
    </row>
    <row r="11">
      <c r="A11" s="3" t="inlineStr">
        <is>
          <t>3</t>
        </is>
      </c>
      <c r="B11" s="4" t="inlineStr">
        <is>
          <t>B-  GROS ŒUVRES et maconnerie</t>
        </is>
      </c>
    </row>
    <row r="12">
      <c r="B12" s="3" t="inlineStr">
        <is>
          <t>Terrassement en fouilles, en tranchées ou en plein masse y compris décapage de la terre végétale</t>
        </is>
      </c>
    </row>
    <row r="13">
      <c r="N13" s="5" t="inlineStr">
        <is>
          <t>H/ bon sol + terre végétale $$$</t>
        </is>
      </c>
    </row>
    <row r="14">
      <c r="N14" s="5" t="n">
        <v>1.48</v>
      </c>
    </row>
    <row r="15">
      <c r="B15" s="2" t="inlineStr">
        <is>
          <t>axe</t>
        </is>
      </c>
      <c r="C15" s="2" t="inlineStr">
        <is>
          <t>fill</t>
        </is>
      </c>
    </row>
    <row r="16">
      <c r="A16" s="5" t="n"/>
      <c r="B16" s="5" t="inlineStr">
        <is>
          <t>A</t>
        </is>
      </c>
      <c r="C16" s="5" t="inlineStr">
        <is>
          <t>1-6</t>
        </is>
      </c>
      <c r="D16" s="5" t="n"/>
      <c r="G16" s="5" t="inlineStr">
        <is>
          <t>M3</t>
        </is>
      </c>
      <c r="H16" s="5" t="n">
        <v>1</v>
      </c>
      <c r="I16" s="5" t="n">
        <v>25.4</v>
      </c>
      <c r="J16" s="5" t="n">
        <v>1.6</v>
      </c>
      <c r="K16" s="5">
        <f>$N$14</f>
        <v/>
      </c>
      <c r="L16" s="5">
        <f>K16*J16*I16*H16</f>
        <v/>
      </c>
      <c r="M16" s="5" t="inlineStr"/>
    </row>
    <row r="17">
      <c r="A17" s="5" t="n"/>
      <c r="B17" s="5" t="inlineStr">
        <is>
          <t>F</t>
        </is>
      </c>
      <c r="C17" s="5" t="inlineStr">
        <is>
          <t>1-6</t>
        </is>
      </c>
      <c r="D17" s="5" t="n"/>
      <c r="G17" s="5" t="inlineStr">
        <is>
          <t>M3</t>
        </is>
      </c>
      <c r="H17" s="5" t="n">
        <v>1</v>
      </c>
      <c r="I17" s="5" t="n">
        <v>25.4</v>
      </c>
      <c r="J17" s="5" t="n">
        <v>1.6</v>
      </c>
      <c r="K17" s="5">
        <f>$N$14+0.5</f>
        <v/>
      </c>
      <c r="L17" s="5">
        <f>K17*J17*I17*H17</f>
        <v/>
      </c>
      <c r="M17" s="5" t="inlineStr"/>
    </row>
    <row r="18">
      <c r="A18" s="5" t="n"/>
      <c r="B18" s="5" t="inlineStr">
        <is>
          <t>A-F</t>
        </is>
      </c>
      <c r="C18" s="5" t="inlineStr">
        <is>
          <t>1</t>
        </is>
      </c>
      <c r="D18" s="5" t="n"/>
      <c r="G18" s="5" t="inlineStr">
        <is>
          <t>M3</t>
        </is>
      </c>
      <c r="H18" s="5" t="n">
        <v>1</v>
      </c>
      <c r="I18" s="5" t="n">
        <v>11.4</v>
      </c>
      <c r="J18" s="5" t="n">
        <v>1.6</v>
      </c>
      <c r="K18" s="5">
        <f>$N$14</f>
        <v/>
      </c>
      <c r="L18" s="5">
        <f>K18*J18*I18*H18</f>
        <v/>
      </c>
      <c r="M18" s="5" t="inlineStr"/>
    </row>
    <row r="19">
      <c r="A19" s="5" t="n"/>
      <c r="B19" s="5" t="inlineStr">
        <is>
          <t>A-F</t>
        </is>
      </c>
      <c r="C19" s="5" t="inlineStr">
        <is>
          <t>6</t>
        </is>
      </c>
      <c r="D19" s="5" t="n"/>
      <c r="G19" s="5" t="inlineStr">
        <is>
          <t>M3</t>
        </is>
      </c>
      <c r="H19" s="5" t="n">
        <v>1</v>
      </c>
      <c r="I19" s="5" t="n">
        <v>11.4</v>
      </c>
      <c r="J19" s="5" t="n">
        <v>1.6</v>
      </c>
      <c r="K19" s="5">
        <f>$N$14</f>
        <v/>
      </c>
      <c r="L19" s="5">
        <f>K19*J19*I19*H19</f>
        <v/>
      </c>
      <c r="M19" s="5" t="inlineStr"/>
    </row>
    <row r="20">
      <c r="A20" s="5" t="n"/>
      <c r="B20" s="5" t="inlineStr">
        <is>
          <t>C-D</t>
        </is>
      </c>
      <c r="C20" s="5" t="inlineStr">
        <is>
          <t>2</t>
        </is>
      </c>
      <c r="D20" s="5" t="n"/>
      <c r="G20" s="5" t="inlineStr">
        <is>
          <t>M3</t>
        </is>
      </c>
      <c r="H20" s="5" t="n">
        <v>1</v>
      </c>
      <c r="I20" s="5" t="n">
        <v>2.75</v>
      </c>
      <c r="J20" s="5" t="n">
        <v>1.6</v>
      </c>
      <c r="K20" s="5">
        <f>$N$14+0.5</f>
        <v/>
      </c>
      <c r="L20" s="5">
        <f>K20*J20*I20*H20</f>
        <v/>
      </c>
      <c r="M20" s="5" t="inlineStr"/>
    </row>
    <row r="21">
      <c r="A21" s="5" t="n"/>
      <c r="B21" s="5" t="inlineStr">
        <is>
          <t>C-D</t>
        </is>
      </c>
      <c r="C21" s="5" t="inlineStr">
        <is>
          <t>3</t>
        </is>
      </c>
      <c r="D21" s="5" t="n"/>
      <c r="G21" s="5" t="inlineStr">
        <is>
          <t>M3</t>
        </is>
      </c>
      <c r="H21" s="5" t="n">
        <v>1</v>
      </c>
      <c r="I21" s="5" t="n">
        <v>2.75</v>
      </c>
      <c r="J21" s="5" t="n">
        <v>1.6</v>
      </c>
      <c r="K21" s="5">
        <f>$N$14</f>
        <v/>
      </c>
      <c r="L21" s="5">
        <f>K21*J21*I21*H21</f>
        <v/>
      </c>
      <c r="M21" s="5" t="inlineStr"/>
    </row>
    <row r="22">
      <c r="A22" s="5" t="n"/>
      <c r="B22" s="5" t="inlineStr">
        <is>
          <t>C-D</t>
        </is>
      </c>
      <c r="C22" s="5" t="inlineStr">
        <is>
          <t>4</t>
        </is>
      </c>
      <c r="D22" s="5" t="n"/>
      <c r="G22" s="5" t="inlineStr">
        <is>
          <t>M3</t>
        </is>
      </c>
      <c r="H22" s="5" t="n">
        <v>1</v>
      </c>
      <c r="I22" s="5" t="n">
        <v>2.75</v>
      </c>
      <c r="J22" s="5" t="n">
        <v>1.6</v>
      </c>
      <c r="K22" s="5">
        <f>$N$14</f>
        <v/>
      </c>
      <c r="L22" s="5">
        <f>K22*J22*I22*H22</f>
        <v/>
      </c>
      <c r="M22" s="5" t="inlineStr"/>
    </row>
    <row r="23">
      <c r="A23" s="5" t="n"/>
      <c r="B23" s="5" t="inlineStr">
        <is>
          <t>C-D</t>
        </is>
      </c>
      <c r="C23" s="5" t="inlineStr">
        <is>
          <t>5</t>
        </is>
      </c>
      <c r="D23" s="5" t="n"/>
      <c r="G23" s="5" t="inlineStr">
        <is>
          <t>M3</t>
        </is>
      </c>
      <c r="H23" s="5" t="n">
        <v>1</v>
      </c>
      <c r="I23" s="5" t="n">
        <v>2.75</v>
      </c>
      <c r="J23" s="5" t="n">
        <v>1.6</v>
      </c>
      <c r="K23" s="5">
        <f>$N$14</f>
        <v/>
      </c>
      <c r="L23" s="5">
        <f>K23*J23*I23*H23</f>
        <v/>
      </c>
      <c r="M23" s="5" t="inlineStr"/>
    </row>
    <row r="24">
      <c r="A24" s="6" t="inlineStr">
        <is>
          <t>total</t>
        </is>
      </c>
      <c r="M24" s="6">
        <f>SUM(L16:L23)</f>
        <v/>
      </c>
    </row>
    <row r="25">
      <c r="A25" s="3" t="inlineStr">
        <is>
          <t>15</t>
        </is>
      </c>
      <c r="B25" s="4" t="inlineStr">
        <is>
          <t xml:space="preserve"> Béton de propreté </t>
        </is>
      </c>
    </row>
    <row r="26">
      <c r="A26" s="5" t="inlineStr">
        <is>
          <t>pour semelle isolee</t>
        </is>
      </c>
    </row>
    <row r="27">
      <c r="B27" s="2" t="inlineStr">
        <is>
          <t>axe</t>
        </is>
      </c>
      <c r="C27" s="2" t="inlineStr">
        <is>
          <t>fill</t>
        </is>
      </c>
    </row>
    <row r="28">
      <c r="A28" s="5" t="inlineStr">
        <is>
          <t>S1</t>
        </is>
      </c>
      <c r="B28" s="5" t="inlineStr">
        <is>
          <t>A</t>
        </is>
      </c>
      <c r="C28" s="5" t="inlineStr">
        <is>
          <t>1</t>
        </is>
      </c>
      <c r="D28" s="5" t="n">
        <v>1</v>
      </c>
      <c r="E28" s="5" t="n">
        <v>1</v>
      </c>
      <c r="F28" s="5" t="n">
        <v>0.25</v>
      </c>
      <c r="G28" s="5" t="inlineStr">
        <is>
          <t>M3</t>
        </is>
      </c>
      <c r="H28" s="5" t="n">
        <v>1</v>
      </c>
      <c r="I28" s="5">
        <f>D28</f>
        <v/>
      </c>
      <c r="J28" s="5">
        <f>E28</f>
        <v/>
      </c>
      <c r="K28" s="5" t="n">
        <v>0.1</v>
      </c>
      <c r="L28" s="5">
        <f>H28*I28*J28*K28</f>
        <v/>
      </c>
      <c r="M28" s="5" t="inlineStr"/>
    </row>
    <row r="29">
      <c r="A29" s="5" t="inlineStr">
        <is>
          <t>S4</t>
        </is>
      </c>
      <c r="B29" s="5" t="inlineStr">
        <is>
          <t>A</t>
        </is>
      </c>
      <c r="C29" s="5" t="inlineStr">
        <is>
          <t>2</t>
        </is>
      </c>
      <c r="D29" s="5" t="n">
        <v>1.5</v>
      </c>
      <c r="E29" s="5" t="n">
        <v>1.5</v>
      </c>
      <c r="F29" s="5" t="n">
        <v>0.4</v>
      </c>
      <c r="G29" s="5" t="inlineStr">
        <is>
          <t>M3</t>
        </is>
      </c>
      <c r="H29" s="5" t="n">
        <v>1</v>
      </c>
      <c r="I29" s="5">
        <f>D29</f>
        <v/>
      </c>
      <c r="J29" s="5">
        <f>E29</f>
        <v/>
      </c>
      <c r="K29" s="5" t="n">
        <v>0.1</v>
      </c>
      <c r="L29" s="5">
        <f>H29*I29*J29*K29</f>
        <v/>
      </c>
      <c r="M29" s="5" t="inlineStr"/>
    </row>
    <row r="30">
      <c r="A30" s="5" t="inlineStr">
        <is>
          <t>S4</t>
        </is>
      </c>
      <c r="B30" s="5" t="inlineStr">
        <is>
          <t>A</t>
        </is>
      </c>
      <c r="C30" s="5" t="inlineStr">
        <is>
          <t>4</t>
        </is>
      </c>
      <c r="D30" s="5" t="n">
        <v>1.5</v>
      </c>
      <c r="E30" s="5" t="n">
        <v>1.5</v>
      </c>
      <c r="F30" s="5" t="n">
        <v>0.4</v>
      </c>
      <c r="G30" s="5" t="inlineStr">
        <is>
          <t>M3</t>
        </is>
      </c>
      <c r="H30" s="5" t="n">
        <v>1</v>
      </c>
      <c r="I30" s="5">
        <f>D30</f>
        <v/>
      </c>
      <c r="J30" s="5">
        <f>E30</f>
        <v/>
      </c>
      <c r="K30" s="5" t="n">
        <v>0.1</v>
      </c>
      <c r="L30" s="5">
        <f>H30*I30*J30*K30</f>
        <v/>
      </c>
      <c r="M30" s="5" t="inlineStr"/>
    </row>
    <row r="31">
      <c r="A31" s="5" t="inlineStr">
        <is>
          <t>S2</t>
        </is>
      </c>
      <c r="B31" s="5" t="inlineStr">
        <is>
          <t>A</t>
        </is>
      </c>
      <c r="C31" s="5" t="inlineStr">
        <is>
          <t>5</t>
        </is>
      </c>
      <c r="D31" s="5" t="n">
        <v>1.1</v>
      </c>
      <c r="E31" s="5" t="n">
        <v>1.1</v>
      </c>
      <c r="F31" s="5" t="n">
        <v>0.25</v>
      </c>
      <c r="G31" s="5" t="inlineStr">
        <is>
          <t>M3</t>
        </is>
      </c>
      <c r="H31" s="5" t="n">
        <v>1</v>
      </c>
      <c r="I31" s="5">
        <f>D31</f>
        <v/>
      </c>
      <c r="J31" s="5">
        <f>E31</f>
        <v/>
      </c>
      <c r="K31" s="5" t="n">
        <v>0.1</v>
      </c>
      <c r="L31" s="5">
        <f>H31*I31*J31*K31</f>
        <v/>
      </c>
      <c r="M31" s="5" t="inlineStr"/>
    </row>
    <row r="32">
      <c r="A32" s="5" t="inlineStr">
        <is>
          <t>S3</t>
        </is>
      </c>
      <c r="B32" s="5" t="inlineStr">
        <is>
          <t>A</t>
        </is>
      </c>
      <c r="C32" s="5" t="inlineStr">
        <is>
          <t>6</t>
        </is>
      </c>
      <c r="D32" s="5" t="n">
        <v>1.2</v>
      </c>
      <c r="E32" s="5" t="n">
        <v>1.2</v>
      </c>
      <c r="F32" s="5" t="n">
        <v>0.3</v>
      </c>
      <c r="G32" s="5" t="inlineStr">
        <is>
          <t>M3</t>
        </is>
      </c>
      <c r="H32" s="5" t="n">
        <v>1</v>
      </c>
      <c r="I32" s="5">
        <f>D32</f>
        <v/>
      </c>
      <c r="J32" s="5">
        <f>E32</f>
        <v/>
      </c>
      <c r="K32" s="5" t="n">
        <v>0.1</v>
      </c>
      <c r="L32" s="5">
        <f>H32*I32*J32*K32</f>
        <v/>
      </c>
      <c r="M32" s="5" t="inlineStr"/>
    </row>
    <row r="33">
      <c r="A33" s="5" t="inlineStr">
        <is>
          <t>S3</t>
        </is>
      </c>
      <c r="B33" s="5" t="inlineStr">
        <is>
          <t>A</t>
        </is>
      </c>
      <c r="C33" s="5" t="inlineStr">
        <is>
          <t>7</t>
        </is>
      </c>
      <c r="D33" s="5" t="n">
        <v>1.2</v>
      </c>
      <c r="E33" s="5" t="n">
        <v>1.2</v>
      </c>
      <c r="F33" s="5" t="n">
        <v>0.3</v>
      </c>
      <c r="G33" s="5" t="inlineStr">
        <is>
          <t>M3</t>
        </is>
      </c>
      <c r="H33" s="5" t="n">
        <v>1</v>
      </c>
      <c r="I33" s="5">
        <f>D33</f>
        <v/>
      </c>
      <c r="J33" s="5">
        <f>E33</f>
        <v/>
      </c>
      <c r="K33" s="5" t="n">
        <v>0.1</v>
      </c>
      <c r="L33" s="5">
        <f>H33*I33*J33*K33</f>
        <v/>
      </c>
      <c r="M33" s="5" t="inlineStr"/>
    </row>
    <row r="34">
      <c r="A34" s="5" t="inlineStr">
        <is>
          <t>S4</t>
        </is>
      </c>
      <c r="B34" s="5" t="inlineStr">
        <is>
          <t>D</t>
        </is>
      </c>
      <c r="C34" s="5" t="inlineStr">
        <is>
          <t>1</t>
        </is>
      </c>
      <c r="D34" s="5" t="n">
        <v>1.5</v>
      </c>
      <c r="E34" s="5" t="n">
        <v>1.5</v>
      </c>
      <c r="F34" s="5" t="n">
        <v>0.4</v>
      </c>
      <c r="G34" s="5" t="inlineStr">
        <is>
          <t>M3</t>
        </is>
      </c>
      <c r="H34" s="5" t="n">
        <v>1</v>
      </c>
      <c r="I34" s="5">
        <f>D34</f>
        <v/>
      </c>
      <c r="J34" s="5">
        <f>E34</f>
        <v/>
      </c>
      <c r="K34" s="5" t="n">
        <v>0.1</v>
      </c>
      <c r="L34" s="5">
        <f>H34*I34*J34*K34</f>
        <v/>
      </c>
      <c r="M34" s="5" t="inlineStr"/>
    </row>
    <row r="35">
      <c r="A35" s="6" t="inlineStr">
        <is>
          <t>total</t>
        </is>
      </c>
      <c r="M35" s="6">
        <f>SUM(L28:L34)</f>
        <v/>
      </c>
    </row>
    <row r="36">
      <c r="A36" s="5" t="inlineStr">
        <is>
          <t xml:space="preserve">pour longrines </t>
        </is>
      </c>
    </row>
    <row r="37">
      <c r="A37" s="2" t="inlineStr">
        <is>
          <t>axe</t>
        </is>
      </c>
      <c r="B37" s="2" t="inlineStr">
        <is>
          <t>fill</t>
        </is>
      </c>
      <c r="C37" s="2" t="inlineStr">
        <is>
          <t>Nom</t>
        </is>
      </c>
    </row>
    <row r="38">
      <c r="A38" s="5" t="n"/>
      <c r="B38" s="5" t="inlineStr">
        <is>
          <t>C</t>
        </is>
      </c>
      <c r="C38" s="5" t="inlineStr">
        <is>
          <t>5-6</t>
        </is>
      </c>
      <c r="D38" s="5" t="inlineStr">
        <is>
          <t>LG</t>
        </is>
      </c>
      <c r="G38" s="5" t="inlineStr">
        <is>
          <t>M3</t>
        </is>
      </c>
      <c r="H38" s="5" t="n">
        <v>1</v>
      </c>
      <c r="I38" s="5" t="n">
        <v>4.78</v>
      </c>
      <c r="J38" s="5" t="n">
        <v>0.4000000000000001</v>
      </c>
      <c r="K38" s="5" t="n">
        <v>0.1</v>
      </c>
      <c r="L38" s="5">
        <f>K38*J38*I38*H38</f>
        <v/>
      </c>
      <c r="M38" s="5" t="inlineStr"/>
    </row>
    <row r="39">
      <c r="A39" s="5" t="n"/>
      <c r="B39" s="5" t="inlineStr">
        <is>
          <t>C</t>
        </is>
      </c>
      <c r="C39" s="5" t="inlineStr">
        <is>
          <t>6-7</t>
        </is>
      </c>
      <c r="D39" s="5" t="inlineStr">
        <is>
          <t>LG</t>
        </is>
      </c>
      <c r="G39" s="5" t="inlineStr">
        <is>
          <t>M3</t>
        </is>
      </c>
      <c r="H39" s="5" t="n">
        <v>1</v>
      </c>
      <c r="I39" s="5" t="n">
        <v>2.65</v>
      </c>
      <c r="J39" s="5" t="n">
        <v>0.4000000000000001</v>
      </c>
      <c r="K39" s="5" t="n">
        <v>0.1</v>
      </c>
      <c r="L39" s="5">
        <f>K39*J39*I39*H39</f>
        <v/>
      </c>
      <c r="M39" s="5" t="inlineStr"/>
    </row>
    <row r="40">
      <c r="A40" s="5" t="n"/>
      <c r="B40" s="5" t="inlineStr">
        <is>
          <t>C</t>
        </is>
      </c>
      <c r="C40" s="5" t="inlineStr">
        <is>
          <t>7-8</t>
        </is>
      </c>
      <c r="D40" s="5" t="inlineStr">
        <is>
          <t>LG</t>
        </is>
      </c>
      <c r="G40" s="5" t="inlineStr">
        <is>
          <t>M3</t>
        </is>
      </c>
      <c r="H40" s="5" t="n">
        <v>1</v>
      </c>
      <c r="I40" s="5" t="n">
        <v>4.6</v>
      </c>
      <c r="J40" s="5" t="n">
        <v>0.4000000000000001</v>
      </c>
      <c r="K40" s="5" t="n">
        <v>0.1</v>
      </c>
      <c r="L40" s="5">
        <f>K40*J40*I40*H40</f>
        <v/>
      </c>
      <c r="M40" s="5" t="inlineStr"/>
    </row>
    <row r="41">
      <c r="A41" s="5" t="n"/>
      <c r="B41" s="5" t="inlineStr">
        <is>
          <t>D</t>
        </is>
      </c>
      <c r="C41" s="5" t="inlineStr">
        <is>
          <t>1-2</t>
        </is>
      </c>
      <c r="D41" s="5" t="inlineStr">
        <is>
          <t>LG2</t>
        </is>
      </c>
      <c r="G41" s="5" t="inlineStr">
        <is>
          <t>M3</t>
        </is>
      </c>
      <c r="H41" s="5" t="n">
        <v>1</v>
      </c>
      <c r="I41" s="5" t="n">
        <v>2.48</v>
      </c>
      <c r="J41" s="5" t="n">
        <v>0.4000000000000001</v>
      </c>
      <c r="K41" s="5" t="n">
        <v>0.1</v>
      </c>
      <c r="L41" s="5">
        <f>K41*J41*I41*H41</f>
        <v/>
      </c>
      <c r="M41" s="5" t="inlineStr"/>
    </row>
    <row r="42">
      <c r="A42" s="5" t="n"/>
      <c r="B42" s="5" t="inlineStr">
        <is>
          <t>D</t>
        </is>
      </c>
      <c r="C42" s="5" t="inlineStr">
        <is>
          <t>2-3</t>
        </is>
      </c>
      <c r="D42" s="5" t="inlineStr">
        <is>
          <t>LG2</t>
        </is>
      </c>
      <c r="G42" s="5" t="inlineStr">
        <is>
          <t>M3</t>
        </is>
      </c>
      <c r="H42" s="5" t="n">
        <v>1</v>
      </c>
      <c r="I42" s="5">
        <f>3.7</f>
        <v/>
      </c>
      <c r="J42" s="5" t="n">
        <v>0.4000000000000001</v>
      </c>
      <c r="K42" s="5" t="n">
        <v>0.1</v>
      </c>
      <c r="L42" s="5">
        <f>K42*J42*I42*H42</f>
        <v/>
      </c>
      <c r="M42" s="5" t="inlineStr"/>
    </row>
    <row r="43">
      <c r="A43" s="5" t="n"/>
      <c r="B43" s="5" t="inlineStr">
        <is>
          <t>D</t>
        </is>
      </c>
      <c r="C43" s="5" t="inlineStr">
        <is>
          <t>3-4</t>
        </is>
      </c>
      <c r="D43" s="5" t="inlineStr">
        <is>
          <t>LG2</t>
        </is>
      </c>
      <c r="G43" s="5" t="inlineStr">
        <is>
          <t>M3</t>
        </is>
      </c>
      <c r="H43" s="5" t="n">
        <v>1</v>
      </c>
      <c r="I43" s="5">
        <f>3.7</f>
        <v/>
      </c>
      <c r="J43" s="5" t="n">
        <v>0.4000000000000001</v>
      </c>
      <c r="K43" s="5" t="n">
        <v>0.1</v>
      </c>
      <c r="L43" s="5">
        <f>K43*J43*I43*H43</f>
        <v/>
      </c>
      <c r="M43" s="5" t="inlineStr"/>
    </row>
    <row r="44">
      <c r="A44" s="5" t="n"/>
      <c r="B44" s="5" t="inlineStr">
        <is>
          <t>D</t>
        </is>
      </c>
      <c r="C44" s="5" t="inlineStr">
        <is>
          <t>4-5</t>
        </is>
      </c>
      <c r="D44" s="5" t="inlineStr">
        <is>
          <t>LG2</t>
        </is>
      </c>
      <c r="G44" s="5" t="inlineStr">
        <is>
          <t>M3</t>
        </is>
      </c>
      <c r="H44" s="5" t="n">
        <v>1</v>
      </c>
      <c r="I44" s="5" t="n">
        <v>2.38</v>
      </c>
      <c r="J44" s="5" t="n">
        <v>0.4000000000000001</v>
      </c>
      <c r="K44" s="5" t="n">
        <v>0.1</v>
      </c>
      <c r="L44" s="5">
        <f>K44*J44*I44*H44</f>
        <v/>
      </c>
      <c r="M44" s="5" t="inlineStr"/>
    </row>
    <row r="45">
      <c r="A45" s="5" t="n"/>
      <c r="B45" s="5" t="inlineStr">
        <is>
          <t>E</t>
        </is>
      </c>
      <c r="C45" s="5" t="inlineStr">
        <is>
          <t>5-6</t>
        </is>
      </c>
      <c r="D45" s="5" t="inlineStr">
        <is>
          <t>LG</t>
        </is>
      </c>
      <c r="G45" s="5" t="inlineStr">
        <is>
          <t>M3</t>
        </is>
      </c>
      <c r="H45" s="5" t="n">
        <v>1</v>
      </c>
      <c r="I45" s="5" t="n">
        <v>4.78</v>
      </c>
      <c r="J45" s="5" t="n">
        <v>0.4000000000000001</v>
      </c>
      <c r="K45" s="5" t="n">
        <v>0.1</v>
      </c>
      <c r="L45" s="5">
        <f>K45*J45*I45*H45</f>
        <v/>
      </c>
      <c r="M45" s="5" t="inlineStr"/>
    </row>
    <row r="46">
      <c r="A46" s="5" t="n"/>
      <c r="B46" s="5" t="inlineStr">
        <is>
          <t>E</t>
        </is>
      </c>
      <c r="C46" s="5" t="inlineStr">
        <is>
          <t>6-7</t>
        </is>
      </c>
      <c r="D46" s="5" t="inlineStr">
        <is>
          <t>LG</t>
        </is>
      </c>
      <c r="G46" s="5" t="inlineStr">
        <is>
          <t>M3</t>
        </is>
      </c>
      <c r="H46" s="5" t="n">
        <v>1</v>
      </c>
      <c r="I46" s="5" t="n">
        <v>2.65</v>
      </c>
      <c r="J46" s="5" t="n">
        <v>0.4000000000000001</v>
      </c>
      <c r="K46" s="5" t="n">
        <v>0.1</v>
      </c>
      <c r="L46" s="5">
        <f>K46*J46*I46*H46</f>
        <v/>
      </c>
      <c r="M46" s="5" t="inlineStr"/>
    </row>
    <row r="47">
      <c r="A47" s="5" t="n"/>
      <c r="B47" s="5" t="inlineStr">
        <is>
          <t>2</t>
        </is>
      </c>
      <c r="C47" s="5" t="inlineStr">
        <is>
          <t>A-D</t>
        </is>
      </c>
      <c r="D47" s="5" t="inlineStr">
        <is>
          <t>LG2</t>
        </is>
      </c>
      <c r="G47" s="5" t="inlineStr">
        <is>
          <t>M3</t>
        </is>
      </c>
      <c r="H47" s="5" t="n">
        <v>1</v>
      </c>
      <c r="I47" s="5">
        <f>3.82+0.4+0.82</f>
        <v/>
      </c>
      <c r="J47" s="5" t="n">
        <v>0.4000000000000001</v>
      </c>
      <c r="K47" s="5" t="n">
        <v>0.1</v>
      </c>
      <c r="L47" s="5">
        <f>K47*J47*I47*H47</f>
        <v/>
      </c>
      <c r="M47" s="5" t="inlineStr"/>
    </row>
    <row r="48">
      <c r="A48" s="5" t="n"/>
      <c r="B48" s="5" t="inlineStr">
        <is>
          <t>2</t>
        </is>
      </c>
      <c r="C48" s="5" t="inlineStr">
        <is>
          <t>D-G</t>
        </is>
      </c>
      <c r="D48" s="5" t="inlineStr">
        <is>
          <t>LG2</t>
        </is>
      </c>
      <c r="G48" s="5" t="inlineStr">
        <is>
          <t>M3</t>
        </is>
      </c>
      <c r="H48" s="5" t="n">
        <v>1</v>
      </c>
      <c r="I48" s="5">
        <f>1.08+0.15+3.82</f>
        <v/>
      </c>
      <c r="J48" s="5" t="n">
        <v>0.4000000000000001</v>
      </c>
      <c r="K48" s="5" t="n">
        <v>0.1</v>
      </c>
      <c r="L48" s="5">
        <f>K48*J48*I48*H48</f>
        <v/>
      </c>
      <c r="M48" s="5" t="inlineStr"/>
    </row>
    <row r="49">
      <c r="A49" s="5" t="n"/>
      <c r="B49" s="5" t="inlineStr">
        <is>
          <t>3</t>
        </is>
      </c>
      <c r="C49" s="5" t="inlineStr">
        <is>
          <t>D-G</t>
        </is>
      </c>
      <c r="D49" s="5" t="inlineStr">
        <is>
          <t>LG2</t>
        </is>
      </c>
      <c r="G49" s="5" t="inlineStr">
        <is>
          <t>M3</t>
        </is>
      </c>
      <c r="H49" s="5" t="n">
        <v>1</v>
      </c>
      <c r="I49" s="5">
        <f>1.08+0.15+3.82</f>
        <v/>
      </c>
      <c r="J49" s="5" t="n">
        <v>0.4000000000000001</v>
      </c>
      <c r="K49" s="5" t="n">
        <v>0.1</v>
      </c>
      <c r="L49" s="5">
        <f>K49*J49*I49*H49</f>
        <v/>
      </c>
      <c r="M49" s="5" t="inlineStr"/>
    </row>
    <row r="50">
      <c r="A50" s="5" t="n"/>
      <c r="B50" s="5" t="inlineStr">
        <is>
          <t>4</t>
        </is>
      </c>
      <c r="C50" s="5" t="inlineStr">
        <is>
          <t>A-D</t>
        </is>
      </c>
      <c r="D50" s="5" t="inlineStr">
        <is>
          <t>LG2</t>
        </is>
      </c>
      <c r="G50" s="5" t="inlineStr">
        <is>
          <t>M3</t>
        </is>
      </c>
      <c r="H50" s="5" t="n">
        <v>1</v>
      </c>
      <c r="I50" s="5">
        <f>3.82+0.4+0.82</f>
        <v/>
      </c>
      <c r="J50" s="5" t="n">
        <v>0.4000000000000001</v>
      </c>
      <c r="K50" s="5" t="n">
        <v>0.1</v>
      </c>
      <c r="L50" s="5">
        <f>K50*J50*I50*H50</f>
        <v/>
      </c>
      <c r="M50" s="5" t="inlineStr"/>
    </row>
    <row r="51">
      <c r="A51" s="5" t="n"/>
      <c r="B51" s="5" t="inlineStr">
        <is>
          <t>5</t>
        </is>
      </c>
      <c r="C51" s="5" t="inlineStr">
        <is>
          <t>A-E</t>
        </is>
      </c>
      <c r="D51" s="5" t="inlineStr">
        <is>
          <t>LG</t>
        </is>
      </c>
      <c r="G51" s="5" t="inlineStr">
        <is>
          <t>M3</t>
        </is>
      </c>
      <c r="H51" s="5" t="n">
        <v>1</v>
      </c>
      <c r="I51" s="5">
        <f>3.82+0.4+0.82+1.08</f>
        <v/>
      </c>
      <c r="J51" s="5" t="n">
        <v>0.4000000000000001</v>
      </c>
      <c r="K51" s="5" t="n">
        <v>0.1</v>
      </c>
      <c r="L51" s="5">
        <f>K51*J51*I51*H51</f>
        <v/>
      </c>
      <c r="M51" s="5" t="inlineStr"/>
    </row>
    <row r="52">
      <c r="A52" s="5" t="n"/>
      <c r="B52" s="5" t="inlineStr">
        <is>
          <t>5</t>
        </is>
      </c>
      <c r="C52" s="5" t="inlineStr">
        <is>
          <t>E-G</t>
        </is>
      </c>
      <c r="D52" s="5" t="inlineStr">
        <is>
          <t>LG</t>
        </is>
      </c>
      <c r="G52" s="5" t="inlineStr">
        <is>
          <t>M3</t>
        </is>
      </c>
      <c r="H52" s="5" t="n">
        <v>1</v>
      </c>
      <c r="I52" s="5">
        <f>0.15+3.82</f>
        <v/>
      </c>
      <c r="J52" s="5" t="n">
        <v>0.4000000000000001</v>
      </c>
      <c r="K52" s="5" t="n">
        <v>0.1</v>
      </c>
      <c r="L52" s="5">
        <f>K52*J52*I52*H52</f>
        <v/>
      </c>
      <c r="M52" s="5" t="inlineStr"/>
    </row>
    <row r="53">
      <c r="A53" s="5" t="n"/>
      <c r="B53" s="5" t="inlineStr">
        <is>
          <t>6</t>
        </is>
      </c>
      <c r="C53" s="5" t="inlineStr">
        <is>
          <t>A-E</t>
        </is>
      </c>
      <c r="D53" s="5" t="inlineStr">
        <is>
          <t>LG</t>
        </is>
      </c>
      <c r="G53" s="5" t="inlineStr">
        <is>
          <t>M3</t>
        </is>
      </c>
      <c r="H53" s="5" t="n">
        <v>1</v>
      </c>
      <c r="I53" s="5">
        <f>3.82+0.4+0.82+1.08</f>
        <v/>
      </c>
      <c r="J53" s="5" t="n">
        <v>0.4000000000000001</v>
      </c>
      <c r="K53" s="5" t="n">
        <v>0.1</v>
      </c>
      <c r="L53" s="5">
        <f>K53*J53*I53*H53</f>
        <v/>
      </c>
      <c r="M53" s="5" t="inlineStr"/>
    </row>
    <row r="54">
      <c r="A54" s="5" t="n"/>
      <c r="B54" s="5" t="inlineStr">
        <is>
          <t>6</t>
        </is>
      </c>
      <c r="C54" s="5" t="inlineStr">
        <is>
          <t>E-G</t>
        </is>
      </c>
      <c r="D54" s="5" t="inlineStr">
        <is>
          <t>LG</t>
        </is>
      </c>
      <c r="G54" s="5" t="inlineStr">
        <is>
          <t>M3</t>
        </is>
      </c>
      <c r="H54" s="5" t="n">
        <v>1</v>
      </c>
      <c r="I54" s="5">
        <f>0.15+3.82</f>
        <v/>
      </c>
      <c r="J54" s="5" t="n">
        <v>0.4000000000000001</v>
      </c>
      <c r="K54" s="5" t="n">
        <v>0.1</v>
      </c>
      <c r="L54" s="5">
        <f>K54*J54*I54*H54</f>
        <v/>
      </c>
      <c r="M54" s="5" t="inlineStr"/>
    </row>
    <row r="55">
      <c r="A55" s="5" t="n"/>
      <c r="B55" s="5" t="inlineStr">
        <is>
          <t>7</t>
        </is>
      </c>
      <c r="C55" s="5" t="inlineStr">
        <is>
          <t>A-E</t>
        </is>
      </c>
      <c r="D55" s="5" t="inlineStr">
        <is>
          <t>LG</t>
        </is>
      </c>
      <c r="G55" s="5" t="inlineStr">
        <is>
          <t>M3</t>
        </is>
      </c>
      <c r="H55" s="5" t="n">
        <v>1</v>
      </c>
      <c r="I55" s="5">
        <f>3.82+0.4+0.82+1.08</f>
        <v/>
      </c>
      <c r="J55" s="5" t="n">
        <v>0.4000000000000001</v>
      </c>
      <c r="K55" s="5" t="n">
        <v>0.1</v>
      </c>
      <c r="L55" s="5">
        <f>K55*J55*I55*H55</f>
        <v/>
      </c>
      <c r="M55" s="5" t="inlineStr"/>
    </row>
    <row r="56">
      <c r="A56" s="5" t="n"/>
      <c r="B56" s="5" t="inlineStr">
        <is>
          <t>7</t>
        </is>
      </c>
      <c r="C56" s="5" t="inlineStr">
        <is>
          <t>E-G</t>
        </is>
      </c>
      <c r="D56" s="5" t="inlineStr">
        <is>
          <t>LG</t>
        </is>
      </c>
      <c r="G56" s="5" t="inlineStr">
        <is>
          <t>M3</t>
        </is>
      </c>
      <c r="H56" s="5" t="n">
        <v>1</v>
      </c>
      <c r="I56" s="5">
        <f>0.15+3.82</f>
        <v/>
      </c>
      <c r="J56" s="5" t="n">
        <v>0.4000000000000001</v>
      </c>
      <c r="K56" s="5" t="n">
        <v>0.1</v>
      </c>
      <c r="L56" s="5">
        <f>K56*J56*I56*H56</f>
        <v/>
      </c>
      <c r="M56" s="5" t="inlineStr"/>
    </row>
    <row r="57">
      <c r="A57" s="6" t="inlineStr">
        <is>
          <t>total</t>
        </is>
      </c>
      <c r="M57" s="6">
        <f>SUM(L38:L56)</f>
        <v/>
      </c>
    </row>
    <row r="58">
      <c r="A58" s="5" t="inlineStr">
        <is>
          <t>pour chainage</t>
        </is>
      </c>
    </row>
    <row r="59">
      <c r="A59" s="2" t="inlineStr">
        <is>
          <t>axe</t>
        </is>
      </c>
      <c r="B59" s="2" t="inlineStr">
        <is>
          <t>fill</t>
        </is>
      </c>
      <c r="C59" s="2" t="inlineStr">
        <is>
          <t>Nom</t>
        </is>
      </c>
    </row>
    <row r="60">
      <c r="A60" s="5" t="n"/>
      <c r="B60" s="5" t="inlineStr">
        <is>
          <t>A</t>
        </is>
      </c>
      <c r="C60" s="5" t="inlineStr">
        <is>
          <t>1-2</t>
        </is>
      </c>
      <c r="D60" s="5" t="inlineStr">
        <is>
          <t>CH</t>
        </is>
      </c>
      <c r="G60" s="5" t="inlineStr">
        <is>
          <t>M3</t>
        </is>
      </c>
      <c r="H60" s="5" t="n">
        <v>1</v>
      </c>
      <c r="I60" s="5" t="n">
        <v>2.48</v>
      </c>
      <c r="J60" s="5" t="n">
        <v>0.5</v>
      </c>
      <c r="K60" s="5" t="n">
        <v>0.1</v>
      </c>
      <c r="L60" s="5">
        <f>K60*J60*I60*H60</f>
        <v/>
      </c>
      <c r="M60" s="5" t="inlineStr"/>
    </row>
    <row r="61">
      <c r="A61" s="5" t="n"/>
      <c r="B61" s="5" t="inlineStr">
        <is>
          <t>A</t>
        </is>
      </c>
      <c r="C61" s="5" t="inlineStr">
        <is>
          <t>2-4</t>
        </is>
      </c>
      <c r="D61" s="5" t="inlineStr">
        <is>
          <t>CH</t>
        </is>
      </c>
      <c r="G61" s="5" t="inlineStr">
        <is>
          <t>M3</t>
        </is>
      </c>
      <c r="H61" s="5" t="n">
        <v>1</v>
      </c>
      <c r="I61" s="5" t="n">
        <v>7.25</v>
      </c>
      <c r="J61" s="5" t="n">
        <v>0.5</v>
      </c>
      <c r="K61" s="5" t="n">
        <v>0.1</v>
      </c>
      <c r="L61" s="5">
        <f>K61*J61*I61*H61</f>
        <v/>
      </c>
      <c r="M61" s="5" t="inlineStr"/>
    </row>
    <row r="62">
      <c r="A62" s="5" t="n"/>
      <c r="B62" s="5" t="inlineStr">
        <is>
          <t>A</t>
        </is>
      </c>
      <c r="C62" s="5" t="inlineStr">
        <is>
          <t>4-5</t>
        </is>
      </c>
      <c r="D62" s="5" t="inlineStr">
        <is>
          <t>CH</t>
        </is>
      </c>
      <c r="G62" s="5" t="inlineStr">
        <is>
          <t>M3</t>
        </is>
      </c>
      <c r="H62" s="5" t="n">
        <v>1</v>
      </c>
      <c r="I62" s="5" t="n">
        <v>2.38</v>
      </c>
      <c r="J62" s="5" t="n">
        <v>0.5</v>
      </c>
      <c r="K62" s="5" t="n">
        <v>0.1</v>
      </c>
      <c r="L62" s="5">
        <f>K62*J62*I62*H62</f>
        <v/>
      </c>
      <c r="M62" s="5" t="inlineStr"/>
    </row>
    <row r="63">
      <c r="A63" s="5" t="n"/>
      <c r="B63" s="5" t="inlineStr">
        <is>
          <t>A</t>
        </is>
      </c>
      <c r="C63" s="5" t="inlineStr">
        <is>
          <t>5-6</t>
        </is>
      </c>
      <c r="D63" s="5" t="inlineStr">
        <is>
          <t>CH</t>
        </is>
      </c>
      <c r="G63" s="5" t="inlineStr">
        <is>
          <t>M3</t>
        </is>
      </c>
      <c r="H63" s="5" t="n">
        <v>1</v>
      </c>
      <c r="I63" s="5" t="n">
        <v>4.78</v>
      </c>
      <c r="J63" s="5" t="n">
        <v>0.5</v>
      </c>
      <c r="K63" s="5" t="n">
        <v>0.1</v>
      </c>
      <c r="L63" s="5">
        <f>K63*J63*I63*H63</f>
        <v/>
      </c>
      <c r="M63" s="5" t="inlineStr"/>
    </row>
    <row r="64">
      <c r="A64" s="5" t="n"/>
      <c r="B64" s="5" t="inlineStr">
        <is>
          <t>A</t>
        </is>
      </c>
      <c r="C64" s="5" t="inlineStr">
        <is>
          <t>6-7</t>
        </is>
      </c>
      <c r="D64" s="5" t="inlineStr">
        <is>
          <t>CH</t>
        </is>
      </c>
      <c r="G64" s="5" t="inlineStr">
        <is>
          <t>M3</t>
        </is>
      </c>
      <c r="H64" s="5" t="n">
        <v>1</v>
      </c>
      <c r="I64" s="5" t="n">
        <v>2.65</v>
      </c>
      <c r="J64" s="5" t="n">
        <v>0.5</v>
      </c>
      <c r="K64" s="5" t="n">
        <v>0.1</v>
      </c>
      <c r="L64" s="5">
        <f>K64*J64*I64*H64</f>
        <v/>
      </c>
      <c r="M64" s="5" t="inlineStr"/>
    </row>
    <row r="65">
      <c r="A65" s="5" t="n"/>
      <c r="B65" s="5" t="inlineStr">
        <is>
          <t>A</t>
        </is>
      </c>
      <c r="C65" s="5" t="inlineStr">
        <is>
          <t>7-8</t>
        </is>
      </c>
      <c r="D65" s="5" t="inlineStr">
        <is>
          <t>CH</t>
        </is>
      </c>
      <c r="G65" s="5" t="inlineStr">
        <is>
          <t>M3</t>
        </is>
      </c>
      <c r="H65" s="5" t="n">
        <v>1</v>
      </c>
      <c r="I65" s="5" t="n">
        <v>4.6</v>
      </c>
      <c r="J65" s="5" t="n">
        <v>0.5</v>
      </c>
      <c r="K65" s="5" t="n">
        <v>0.1</v>
      </c>
      <c r="L65" s="5">
        <f>K65*J65*I65*H65</f>
        <v/>
      </c>
      <c r="M65" s="5" t="inlineStr"/>
    </row>
    <row r="66">
      <c r="A66" s="5" t="n"/>
      <c r="B66" s="5" t="inlineStr">
        <is>
          <t>G</t>
        </is>
      </c>
      <c r="C66" s="5" t="inlineStr">
        <is>
          <t>1-2</t>
        </is>
      </c>
      <c r="D66" s="5" t="inlineStr">
        <is>
          <t>CH</t>
        </is>
      </c>
      <c r="G66" s="5" t="inlineStr">
        <is>
          <t>M3</t>
        </is>
      </c>
      <c r="H66" s="5" t="n">
        <v>1</v>
      </c>
      <c r="I66" s="5" t="n">
        <v>2.48</v>
      </c>
      <c r="J66" s="5" t="n">
        <v>0.5</v>
      </c>
      <c r="K66" s="5" t="n">
        <v>0.1</v>
      </c>
      <c r="L66" s="5">
        <f>K66*J66*I66*H66</f>
        <v/>
      </c>
      <c r="M66" s="5" t="inlineStr"/>
    </row>
    <row r="67">
      <c r="A67" s="5" t="n"/>
      <c r="B67" s="5" t="inlineStr">
        <is>
          <t>G</t>
        </is>
      </c>
      <c r="C67" s="5" t="inlineStr">
        <is>
          <t>2-4</t>
        </is>
      </c>
      <c r="D67" s="5" t="inlineStr">
        <is>
          <t>CH</t>
        </is>
      </c>
      <c r="G67" s="5" t="inlineStr">
        <is>
          <t>M3</t>
        </is>
      </c>
      <c r="H67" s="5" t="n">
        <v>1</v>
      </c>
      <c r="I67" s="5" t="n">
        <v>7.25</v>
      </c>
      <c r="J67" s="5" t="n">
        <v>0.5</v>
      </c>
      <c r="K67" s="5" t="n">
        <v>0.1</v>
      </c>
      <c r="L67" s="5">
        <f>K67*J67*I67*H67</f>
        <v/>
      </c>
      <c r="M67" s="5" t="inlineStr"/>
    </row>
    <row r="68">
      <c r="A68" s="5" t="n"/>
      <c r="B68" s="5" t="inlineStr">
        <is>
          <t>G</t>
        </is>
      </c>
      <c r="C68" s="5" t="inlineStr">
        <is>
          <t>4-5</t>
        </is>
      </c>
      <c r="D68" s="5" t="inlineStr">
        <is>
          <t>CH</t>
        </is>
      </c>
      <c r="G68" s="5" t="inlineStr">
        <is>
          <t>M3</t>
        </is>
      </c>
      <c r="H68" s="5" t="n">
        <v>1</v>
      </c>
      <c r="I68" s="5" t="n">
        <v>2.38</v>
      </c>
      <c r="J68" s="5" t="n">
        <v>0.5</v>
      </c>
      <c r="K68" s="5" t="n">
        <v>0.1</v>
      </c>
      <c r="L68" s="5">
        <f>K68*J68*I68*H68</f>
        <v/>
      </c>
      <c r="M68" s="5" t="inlineStr"/>
    </row>
    <row r="69">
      <c r="A69" s="5" t="n"/>
      <c r="B69" s="5" t="inlineStr">
        <is>
          <t>G</t>
        </is>
      </c>
      <c r="C69" s="5" t="inlineStr">
        <is>
          <t>5-6</t>
        </is>
      </c>
      <c r="D69" s="5" t="inlineStr">
        <is>
          <t>CH</t>
        </is>
      </c>
      <c r="G69" s="5" t="inlineStr">
        <is>
          <t>M3</t>
        </is>
      </c>
      <c r="H69" s="5" t="n">
        <v>1</v>
      </c>
      <c r="I69" s="5" t="n">
        <v>4.78</v>
      </c>
      <c r="J69" s="5" t="n">
        <v>0.5</v>
      </c>
      <c r="K69" s="5" t="n">
        <v>0.1</v>
      </c>
      <c r="L69" s="5">
        <f>K69*J69*I69*H69</f>
        <v/>
      </c>
      <c r="M69" s="5" t="inlineStr"/>
    </row>
    <row r="70">
      <c r="A70" s="5" t="n"/>
      <c r="B70" s="5" t="inlineStr">
        <is>
          <t>G</t>
        </is>
      </c>
      <c r="C70" s="5" t="inlineStr">
        <is>
          <t>6-7</t>
        </is>
      </c>
      <c r="D70" s="5" t="inlineStr">
        <is>
          <t>CH</t>
        </is>
      </c>
      <c r="G70" s="5" t="inlineStr">
        <is>
          <t>M3</t>
        </is>
      </c>
      <c r="H70" s="5" t="n">
        <v>1</v>
      </c>
      <c r="I70" s="5" t="n">
        <v>2.65</v>
      </c>
      <c r="J70" s="5" t="n">
        <v>0.5</v>
      </c>
      <c r="K70" s="5" t="n">
        <v>0.1</v>
      </c>
      <c r="L70" s="5">
        <f>K70*J70*I70*H70</f>
        <v/>
      </c>
      <c r="M70" s="5" t="inlineStr"/>
    </row>
    <row r="71">
      <c r="A71" s="5" t="n"/>
      <c r="B71" s="5" t="inlineStr">
        <is>
          <t>G</t>
        </is>
      </c>
      <c r="C71" s="5" t="inlineStr">
        <is>
          <t>7-8</t>
        </is>
      </c>
      <c r="D71" s="5" t="inlineStr">
        <is>
          <t>CH</t>
        </is>
      </c>
      <c r="G71" s="5" t="inlineStr">
        <is>
          <t>M3</t>
        </is>
      </c>
      <c r="H71" s="5" t="n">
        <v>1</v>
      </c>
      <c r="I71" s="5" t="n">
        <v>4.6</v>
      </c>
      <c r="J71" s="5" t="n">
        <v>0.5</v>
      </c>
      <c r="K71" s="5" t="n">
        <v>0.1</v>
      </c>
      <c r="L71" s="5">
        <f>K71*J71*I71*H71</f>
        <v/>
      </c>
      <c r="M71" s="5" t="inlineStr"/>
    </row>
    <row r="72">
      <c r="A72" s="5" t="n"/>
      <c r="B72" s="5" t="inlineStr">
        <is>
          <t>1</t>
        </is>
      </c>
      <c r="C72" s="5" t="inlineStr">
        <is>
          <t>A-D</t>
        </is>
      </c>
      <c r="D72" s="5" t="inlineStr">
        <is>
          <t>CH</t>
        </is>
      </c>
      <c r="G72" s="5" t="inlineStr">
        <is>
          <t>M3</t>
        </is>
      </c>
      <c r="H72" s="5" t="n">
        <v>1</v>
      </c>
      <c r="I72" s="5">
        <f>3.82+0.4+0.82</f>
        <v/>
      </c>
      <c r="J72" s="5" t="n">
        <v>0.5</v>
      </c>
      <c r="K72" s="5" t="n">
        <v>0.1</v>
      </c>
      <c r="L72" s="5">
        <f>K72*J72*I72*H72</f>
        <v/>
      </c>
      <c r="M72" s="5" t="inlineStr"/>
    </row>
    <row r="73">
      <c r="A73" s="5" t="n"/>
      <c r="B73" s="5" t="inlineStr">
        <is>
          <t>1</t>
        </is>
      </c>
      <c r="C73" s="5" t="inlineStr">
        <is>
          <t>D-G</t>
        </is>
      </c>
      <c r="D73" s="5" t="inlineStr">
        <is>
          <t>CH</t>
        </is>
      </c>
      <c r="G73" s="5" t="inlineStr">
        <is>
          <t>M3</t>
        </is>
      </c>
      <c r="H73" s="5" t="n">
        <v>1</v>
      </c>
      <c r="I73" s="5">
        <f>1.08+0.15+3.82</f>
        <v/>
      </c>
      <c r="J73" s="5" t="n">
        <v>0.5</v>
      </c>
      <c r="K73" s="5" t="n">
        <v>0.1</v>
      </c>
      <c r="L73" s="5">
        <f>K73*J73*I73*H73</f>
        <v/>
      </c>
      <c r="M73" s="5" t="inlineStr"/>
    </row>
    <row r="74">
      <c r="A74" s="5" t="n"/>
      <c r="B74" s="5" t="inlineStr">
        <is>
          <t>8</t>
        </is>
      </c>
      <c r="C74" s="5" t="inlineStr">
        <is>
          <t>A-C</t>
        </is>
      </c>
      <c r="D74" s="5" t="inlineStr">
        <is>
          <t>CH</t>
        </is>
      </c>
      <c r="G74" s="5" t="inlineStr">
        <is>
          <t>M3</t>
        </is>
      </c>
      <c r="H74" s="5" t="n">
        <v>1</v>
      </c>
      <c r="I74" s="5">
        <f>3.82+0.4</f>
        <v/>
      </c>
      <c r="J74" s="5" t="n">
        <v>0.5</v>
      </c>
      <c r="K74" s="5" t="n">
        <v>0.1</v>
      </c>
      <c r="L74" s="5">
        <f>K74*J74*I74*H74</f>
        <v/>
      </c>
      <c r="M74" s="5" t="inlineStr"/>
    </row>
    <row r="75">
      <c r="A75" s="5" t="n"/>
      <c r="B75" s="5" t="inlineStr">
        <is>
          <t>8</t>
        </is>
      </c>
      <c r="C75" s="5" t="inlineStr">
        <is>
          <t>C-E</t>
        </is>
      </c>
      <c r="D75" s="5" t="inlineStr">
        <is>
          <t>CH</t>
        </is>
      </c>
      <c r="G75" s="5" t="inlineStr">
        <is>
          <t>M3</t>
        </is>
      </c>
      <c r="H75" s="5" t="n">
        <v>1</v>
      </c>
      <c r="I75" s="5">
        <f>0.82+1.08</f>
        <v/>
      </c>
      <c r="J75" s="5" t="n">
        <v>0.5</v>
      </c>
      <c r="K75" s="5" t="n">
        <v>0.1</v>
      </c>
      <c r="L75" s="5">
        <f>K75*J75*I75*H75</f>
        <v/>
      </c>
      <c r="M75" s="5" t="inlineStr"/>
    </row>
    <row r="76">
      <c r="A76" s="5" t="n"/>
      <c r="B76" s="5" t="inlineStr">
        <is>
          <t>8</t>
        </is>
      </c>
      <c r="C76" s="5" t="inlineStr">
        <is>
          <t>E-G</t>
        </is>
      </c>
      <c r="D76" s="5" t="inlineStr">
        <is>
          <t>CH</t>
        </is>
      </c>
      <c r="G76" s="5" t="inlineStr">
        <is>
          <t>M3</t>
        </is>
      </c>
      <c r="H76" s="5" t="n">
        <v>1</v>
      </c>
      <c r="I76" s="5">
        <f>0.15+3.82</f>
        <v/>
      </c>
      <c r="J76" s="5" t="n">
        <v>0.5</v>
      </c>
      <c r="K76" s="5" t="n">
        <v>0.1</v>
      </c>
      <c r="L76" s="5">
        <f>K76*J76*I76*H76</f>
        <v/>
      </c>
      <c r="M76" s="5" t="inlineStr"/>
    </row>
    <row r="77">
      <c r="A77" s="6" t="inlineStr">
        <is>
          <t>total</t>
        </is>
      </c>
      <c r="M77" s="6">
        <f>SUM(L60:L76)</f>
        <v/>
      </c>
      <c r="N77" s="5">
        <f>M35+M57+M77</f>
        <v/>
      </c>
    </row>
    <row r="78">
      <c r="A78" s="3" t="inlineStr">
        <is>
          <t>16</t>
        </is>
      </c>
      <c r="B78" s="4" t="inlineStr">
        <is>
          <t xml:space="preserve">Gros béton </t>
        </is>
      </c>
    </row>
    <row r="79">
      <c r="B79" s="2" t="inlineStr">
        <is>
          <t>axe</t>
        </is>
      </c>
      <c r="C79" s="2" t="inlineStr">
        <is>
          <t>fill</t>
        </is>
      </c>
    </row>
    <row r="80">
      <c r="A80" s="5" t="inlineStr">
        <is>
          <t>S3</t>
        </is>
      </c>
      <c r="B80" s="5" t="inlineStr">
        <is>
          <t>A</t>
        </is>
      </c>
      <c r="C80" s="5" t="inlineStr">
        <is>
          <t>8</t>
        </is>
      </c>
      <c r="D80" s="5" t="n"/>
      <c r="G80" s="5" t="inlineStr">
        <is>
          <t>M3</t>
        </is>
      </c>
      <c r="H80" s="5" t="n">
        <v>1</v>
      </c>
      <c r="I80" s="5" t="n">
        <v>1.2</v>
      </c>
      <c r="J80" s="5" t="n">
        <v>1.2</v>
      </c>
      <c r="K80" s="5" t="n">
        <v>0.5</v>
      </c>
      <c r="L80" s="5">
        <f>K80*J80*I80*H80</f>
        <v/>
      </c>
      <c r="M80" s="5" t="inlineStr"/>
    </row>
    <row r="81">
      <c r="A81" s="5" t="inlineStr">
        <is>
          <t>S5</t>
        </is>
      </c>
      <c r="B81" s="5" t="inlineStr">
        <is>
          <t>B</t>
        </is>
      </c>
      <c r="C81" s="5" t="inlineStr">
        <is>
          <t>5</t>
        </is>
      </c>
      <c r="D81" s="5" t="n"/>
      <c r="G81" s="5" t="inlineStr">
        <is>
          <t>M3</t>
        </is>
      </c>
      <c r="H81" s="5" t="n">
        <v>1</v>
      </c>
      <c r="I81" s="5" t="n">
        <v>1.5</v>
      </c>
      <c r="J81" s="5" t="n">
        <v>1.5</v>
      </c>
      <c r="K81" s="5" t="n">
        <v>0.5</v>
      </c>
      <c r="L81" s="5">
        <f>K81*J81*I81*H81</f>
        <v/>
      </c>
      <c r="M81" s="5" t="inlineStr"/>
    </row>
    <row r="82">
      <c r="A82" s="5" t="inlineStr">
        <is>
          <t>S4</t>
        </is>
      </c>
      <c r="B82" s="5" t="inlineStr">
        <is>
          <t>C</t>
        </is>
      </c>
      <c r="C82" s="5" t="inlineStr">
        <is>
          <t>6</t>
        </is>
      </c>
      <c r="D82" s="5" t="n"/>
      <c r="G82" s="5" t="inlineStr">
        <is>
          <t>M3</t>
        </is>
      </c>
      <c r="H82" s="5" t="n">
        <v>1</v>
      </c>
      <c r="I82" s="5" t="n">
        <v>1.5</v>
      </c>
      <c r="J82" s="5" t="n">
        <v>1.5</v>
      </c>
      <c r="K82" s="5" t="n">
        <v>0.5</v>
      </c>
      <c r="L82" s="5">
        <f>K82*J82*I82*H82</f>
        <v/>
      </c>
      <c r="M82" s="5" t="inlineStr"/>
    </row>
    <row r="83">
      <c r="A83" s="5" t="inlineStr">
        <is>
          <t>S4</t>
        </is>
      </c>
      <c r="B83" s="5" t="inlineStr">
        <is>
          <t>C</t>
        </is>
      </c>
      <c r="C83" s="5" t="inlineStr">
        <is>
          <t>7</t>
        </is>
      </c>
      <c r="D83" s="5" t="n"/>
      <c r="G83" s="5" t="inlineStr">
        <is>
          <t>M3</t>
        </is>
      </c>
      <c r="H83" s="5" t="n">
        <v>1</v>
      </c>
      <c r="I83" s="5" t="n">
        <v>1.5</v>
      </c>
      <c r="J83" s="5" t="n">
        <v>1.5</v>
      </c>
      <c r="K83" s="5" t="n">
        <v>0.5</v>
      </c>
      <c r="L83" s="5">
        <f>K83*J83*I83*H83</f>
        <v/>
      </c>
      <c r="M83" s="5" t="inlineStr"/>
    </row>
    <row r="84">
      <c r="A84" s="5" t="inlineStr">
        <is>
          <t>S3</t>
        </is>
      </c>
      <c r="B84" s="5" t="inlineStr">
        <is>
          <t>C</t>
        </is>
      </c>
      <c r="C84" s="5" t="inlineStr">
        <is>
          <t>8</t>
        </is>
      </c>
      <c r="D84" s="5" t="n"/>
      <c r="G84" s="5" t="inlineStr">
        <is>
          <t>M3</t>
        </is>
      </c>
      <c r="H84" s="5" t="n">
        <v>1</v>
      </c>
      <c r="I84" s="5" t="n">
        <v>1.2</v>
      </c>
      <c r="J84" s="5" t="n">
        <v>1.2</v>
      </c>
      <c r="K84" s="5" t="n">
        <v>0.5</v>
      </c>
      <c r="L84" s="5">
        <f>K84*J84*I84*H84</f>
        <v/>
      </c>
      <c r="M84" s="5" t="inlineStr"/>
    </row>
    <row r="85">
      <c r="A85" s="5" t="inlineStr">
        <is>
          <t>S4</t>
        </is>
      </c>
      <c r="B85" s="5" t="inlineStr">
        <is>
          <t>E</t>
        </is>
      </c>
      <c r="C85" s="5" t="inlineStr">
        <is>
          <t>6</t>
        </is>
      </c>
      <c r="D85" s="5" t="n"/>
      <c r="G85" s="5" t="inlineStr">
        <is>
          <t>M3</t>
        </is>
      </c>
      <c r="H85" s="5" t="n">
        <v>1</v>
      </c>
      <c r="I85" s="5" t="n">
        <v>1.5</v>
      </c>
      <c r="J85" s="5" t="n">
        <v>1.5</v>
      </c>
      <c r="K85" s="5" t="n">
        <v>0.5</v>
      </c>
      <c r="L85" s="5">
        <f>K85*J85*I85*H85</f>
        <v/>
      </c>
      <c r="M85" s="5" t="inlineStr"/>
    </row>
    <row r="86">
      <c r="A86" s="5" t="inlineStr">
        <is>
          <t>S4</t>
        </is>
      </c>
      <c r="B86" s="5" t="inlineStr">
        <is>
          <t>E</t>
        </is>
      </c>
      <c r="C86" s="5" t="inlineStr">
        <is>
          <t>7</t>
        </is>
      </c>
      <c r="D86" s="5" t="n"/>
      <c r="G86" s="5" t="inlineStr">
        <is>
          <t>M3</t>
        </is>
      </c>
      <c r="H86" s="5" t="n">
        <v>1</v>
      </c>
      <c r="I86" s="5" t="n">
        <v>1.5</v>
      </c>
      <c r="J86" s="5" t="n">
        <v>1.5</v>
      </c>
      <c r="K86" s="5" t="n">
        <v>0.5</v>
      </c>
      <c r="L86" s="5">
        <f>K86*J86*I86*H86</f>
        <v/>
      </c>
      <c r="M86" s="5" t="inlineStr"/>
    </row>
    <row r="87">
      <c r="A87" s="5" t="inlineStr">
        <is>
          <t>S3</t>
        </is>
      </c>
      <c r="B87" s="5" t="inlineStr">
        <is>
          <t>E</t>
        </is>
      </c>
      <c r="C87" s="5" t="inlineStr">
        <is>
          <t>8</t>
        </is>
      </c>
      <c r="D87" s="5" t="n"/>
      <c r="G87" s="5" t="inlineStr">
        <is>
          <t>M3</t>
        </is>
      </c>
      <c r="H87" s="5" t="n">
        <v>1</v>
      </c>
      <c r="I87" s="5" t="n">
        <v>1.2</v>
      </c>
      <c r="J87" s="5" t="n">
        <v>1.2</v>
      </c>
      <c r="K87" s="5" t="n">
        <v>0.5</v>
      </c>
      <c r="L87" s="5">
        <f>K87*J87*I87*H87</f>
        <v/>
      </c>
      <c r="M87" s="5" t="inlineStr"/>
    </row>
    <row r="88">
      <c r="A88" s="5" t="inlineStr">
        <is>
          <t>S5</t>
        </is>
      </c>
      <c r="B88" s="5" t="inlineStr">
        <is>
          <t>F</t>
        </is>
      </c>
      <c r="C88" s="5" t="inlineStr">
        <is>
          <t>5</t>
        </is>
      </c>
      <c r="D88" s="5" t="n"/>
      <c r="G88" s="5" t="inlineStr">
        <is>
          <t>M3</t>
        </is>
      </c>
      <c r="H88" s="5" t="n">
        <v>1</v>
      </c>
      <c r="I88" s="5" t="n">
        <v>1.5</v>
      </c>
      <c r="J88" s="5" t="n">
        <v>1.5</v>
      </c>
      <c r="K88" s="5" t="n">
        <v>0.5</v>
      </c>
      <c r="L88" s="5">
        <f>K88*J88*I88*H88</f>
        <v/>
      </c>
      <c r="M88" s="5" t="inlineStr"/>
    </row>
    <row r="89">
      <c r="A89" s="5" t="inlineStr">
        <is>
          <t>S1</t>
        </is>
      </c>
      <c r="B89" s="5" t="inlineStr">
        <is>
          <t>G</t>
        </is>
      </c>
      <c r="C89" s="5" t="inlineStr">
        <is>
          <t>1</t>
        </is>
      </c>
      <c r="D89" s="5" t="n"/>
      <c r="G89" s="5" t="inlineStr">
        <is>
          <t>M3</t>
        </is>
      </c>
      <c r="H89" s="5" t="n">
        <v>1</v>
      </c>
      <c r="I89" s="5" t="n">
        <v>1</v>
      </c>
      <c r="J89" s="5" t="n">
        <v>1</v>
      </c>
      <c r="K89" s="5" t="n">
        <v>0.5</v>
      </c>
      <c r="L89" s="5">
        <f>K89*J89*I89*H89</f>
        <v/>
      </c>
      <c r="M89" s="5" t="inlineStr"/>
    </row>
    <row r="90">
      <c r="A90" s="5" t="inlineStr">
        <is>
          <t>S4</t>
        </is>
      </c>
      <c r="B90" s="5" t="inlineStr">
        <is>
          <t>G</t>
        </is>
      </c>
      <c r="C90" s="5" t="inlineStr">
        <is>
          <t>2</t>
        </is>
      </c>
      <c r="D90" s="5" t="n"/>
      <c r="G90" s="5" t="inlineStr">
        <is>
          <t>M3</t>
        </is>
      </c>
      <c r="H90" s="5" t="n">
        <v>1</v>
      </c>
      <c r="I90" s="5" t="n">
        <v>1.5</v>
      </c>
      <c r="J90" s="5" t="n">
        <v>1.5</v>
      </c>
      <c r="K90" s="5" t="n">
        <v>0.5</v>
      </c>
      <c r="L90" s="5">
        <f>K90*J90*I90*H90</f>
        <v/>
      </c>
      <c r="M90" s="5" t="inlineStr"/>
    </row>
    <row r="91">
      <c r="A91" s="5" t="inlineStr">
        <is>
          <t>S4</t>
        </is>
      </c>
      <c r="B91" s="5" t="inlineStr">
        <is>
          <t>G</t>
        </is>
      </c>
      <c r="C91" s="5" t="inlineStr">
        <is>
          <t>3</t>
        </is>
      </c>
      <c r="D91" s="5" t="n"/>
      <c r="G91" s="5" t="inlineStr">
        <is>
          <t>M3</t>
        </is>
      </c>
      <c r="H91" s="5" t="n">
        <v>1</v>
      </c>
      <c r="I91" s="5" t="n">
        <v>1.5</v>
      </c>
      <c r="J91" s="5" t="n">
        <v>1.5</v>
      </c>
      <c r="K91" s="5" t="n">
        <v>0.5</v>
      </c>
      <c r="L91" s="5">
        <f>K91*J91*I91*H91</f>
        <v/>
      </c>
      <c r="M91" s="5" t="inlineStr"/>
    </row>
    <row r="92">
      <c r="A92" s="5" t="inlineStr">
        <is>
          <t>S5</t>
        </is>
      </c>
      <c r="B92" s="5" t="inlineStr">
        <is>
          <t>G</t>
        </is>
      </c>
      <c r="C92" s="5" t="inlineStr">
        <is>
          <t>5</t>
        </is>
      </c>
      <c r="D92" s="5" t="n"/>
      <c r="G92" s="5" t="inlineStr">
        <is>
          <t>M3</t>
        </is>
      </c>
      <c r="H92" s="5" t="n">
        <v>1</v>
      </c>
      <c r="I92" s="5" t="n">
        <v>1.5</v>
      </c>
      <c r="J92" s="5" t="n">
        <v>1.5</v>
      </c>
      <c r="K92" s="5" t="n">
        <v>0.5</v>
      </c>
      <c r="L92" s="5">
        <f>K92*J92*I92*H92</f>
        <v/>
      </c>
      <c r="M92" s="5" t="inlineStr"/>
    </row>
    <row r="93">
      <c r="A93" s="5" t="inlineStr">
        <is>
          <t>S3</t>
        </is>
      </c>
      <c r="B93" s="5" t="inlineStr">
        <is>
          <t>G</t>
        </is>
      </c>
      <c r="C93" s="5" t="inlineStr">
        <is>
          <t>6</t>
        </is>
      </c>
      <c r="D93" s="5" t="n"/>
      <c r="G93" s="5" t="inlineStr">
        <is>
          <t>M3</t>
        </is>
      </c>
      <c r="H93" s="5" t="n">
        <v>1</v>
      </c>
      <c r="I93" s="5" t="n">
        <v>1.2</v>
      </c>
      <c r="J93" s="5" t="n">
        <v>1.2</v>
      </c>
      <c r="K93" s="5" t="n">
        <v>0.5</v>
      </c>
      <c r="L93" s="5">
        <f>K93*J93*I93*H93</f>
        <v/>
      </c>
      <c r="M93" s="5" t="inlineStr"/>
    </row>
    <row r="94">
      <c r="A94" s="5" t="inlineStr">
        <is>
          <t>S3</t>
        </is>
      </c>
      <c r="B94" s="5" t="inlineStr">
        <is>
          <t>G</t>
        </is>
      </c>
      <c r="C94" s="5" t="inlineStr">
        <is>
          <t>7</t>
        </is>
      </c>
      <c r="D94" s="5" t="n"/>
      <c r="G94" s="5" t="inlineStr">
        <is>
          <t>M3</t>
        </is>
      </c>
      <c r="H94" s="5" t="n">
        <v>1</v>
      </c>
      <c r="I94" s="5" t="n">
        <v>1.2</v>
      </c>
      <c r="J94" s="5" t="n">
        <v>1.2</v>
      </c>
      <c r="K94" s="5" t="n">
        <v>0.5</v>
      </c>
      <c r="L94" s="5">
        <f>K94*J94*I94*H94</f>
        <v/>
      </c>
      <c r="M94" s="5" t="inlineStr"/>
    </row>
    <row r="95">
      <c r="A95" s="5" t="inlineStr">
        <is>
          <t>S3</t>
        </is>
      </c>
      <c r="B95" s="5" t="inlineStr">
        <is>
          <t>G</t>
        </is>
      </c>
      <c r="C95" s="5" t="inlineStr">
        <is>
          <t>8</t>
        </is>
      </c>
      <c r="D95" s="5" t="n"/>
      <c r="G95" s="5" t="inlineStr">
        <is>
          <t>M3</t>
        </is>
      </c>
      <c r="H95" s="5" t="n">
        <v>1</v>
      </c>
      <c r="I95" s="5" t="n">
        <v>1.2</v>
      </c>
      <c r="J95" s="5" t="n">
        <v>1.2</v>
      </c>
      <c r="K95" s="5" t="n">
        <v>0.5</v>
      </c>
      <c r="L95" s="5">
        <f>K95*J95*I95*H95</f>
        <v/>
      </c>
      <c r="M95" s="5" t="inlineStr"/>
    </row>
    <row r="96">
      <c r="A96" s="5" t="inlineStr">
        <is>
          <t>semelle perdu</t>
        </is>
      </c>
      <c r="B96" s="5" t="n"/>
      <c r="C96" s="5" t="n"/>
      <c r="D96" s="5" t="n"/>
      <c r="G96" s="5" t="inlineStr">
        <is>
          <t>M3</t>
        </is>
      </c>
      <c r="H96" s="5" t="n">
        <v>1</v>
      </c>
      <c r="I96" s="5" t="n">
        <v>1.6</v>
      </c>
      <c r="J96" s="5" t="n">
        <v>1.6</v>
      </c>
      <c r="K96" s="5" t="n">
        <v>1.4</v>
      </c>
      <c r="L96" s="5">
        <f>K96*J96*I96*H96</f>
        <v/>
      </c>
      <c r="M96" s="5" t="inlineStr"/>
    </row>
    <row r="97">
      <c r="A97" s="5" t="inlineStr">
        <is>
          <t>semelle perdu</t>
        </is>
      </c>
      <c r="B97" s="5" t="n"/>
      <c r="C97" s="5" t="n"/>
      <c r="D97" s="5" t="n"/>
      <c r="G97" s="5" t="inlineStr">
        <is>
          <t>M3</t>
        </is>
      </c>
      <c r="H97" s="5" t="n">
        <v>1</v>
      </c>
      <c r="I97" s="5" t="n">
        <v>1.6</v>
      </c>
      <c r="J97" s="5" t="n">
        <v>1.6</v>
      </c>
      <c r="K97" s="5" t="n">
        <v>1.4</v>
      </c>
      <c r="L97" s="5">
        <f>K97*J97*I97*H97</f>
        <v/>
      </c>
      <c r="M97" s="5" t="inlineStr"/>
    </row>
    <row r="98">
      <c r="A98" s="5" t="n"/>
      <c r="B98" s="5" t="inlineStr">
        <is>
          <t>G</t>
        </is>
      </c>
      <c r="C98" s="5" t="inlineStr">
        <is>
          <t>4-5</t>
        </is>
      </c>
      <c r="D98" s="5" t="n"/>
      <c r="G98" s="5" t="inlineStr">
        <is>
          <t>M3</t>
        </is>
      </c>
      <c r="H98" s="5" t="n">
        <v>1</v>
      </c>
      <c r="I98" s="5" t="n">
        <v>2.38</v>
      </c>
      <c r="J98" s="5" t="n">
        <v>0.4</v>
      </c>
      <c r="K98" s="5" t="n">
        <v>0.3</v>
      </c>
      <c r="L98" s="5">
        <f>K98*J98*I98*H98</f>
        <v/>
      </c>
      <c r="M98" s="5" t="inlineStr"/>
    </row>
    <row r="99">
      <c r="A99" s="5" t="n"/>
      <c r="B99" s="5" t="inlineStr">
        <is>
          <t>G</t>
        </is>
      </c>
      <c r="C99" s="5" t="inlineStr">
        <is>
          <t>5-6</t>
        </is>
      </c>
      <c r="D99" s="5" t="n"/>
      <c r="G99" s="5" t="inlineStr">
        <is>
          <t>M3</t>
        </is>
      </c>
      <c r="H99" s="5" t="n">
        <v>1</v>
      </c>
      <c r="I99" s="5" t="n">
        <v>4.78</v>
      </c>
      <c r="J99" s="5" t="n">
        <v>0.4</v>
      </c>
      <c r="K99" s="5" t="n">
        <v>0.3</v>
      </c>
      <c r="L99" s="5">
        <f>K99*J99*I99*H99</f>
        <v/>
      </c>
      <c r="M99" s="5" t="inlineStr"/>
    </row>
    <row r="100">
      <c r="A100" s="5" t="n"/>
      <c r="B100" s="5" t="inlineStr">
        <is>
          <t>G</t>
        </is>
      </c>
      <c r="C100" s="5" t="inlineStr">
        <is>
          <t>6-7</t>
        </is>
      </c>
      <c r="D100" s="5" t="n"/>
      <c r="G100" s="5" t="inlineStr">
        <is>
          <t>M3</t>
        </is>
      </c>
      <c r="H100" s="5" t="n">
        <v>1</v>
      </c>
      <c r="I100" s="5" t="n">
        <v>2.65</v>
      </c>
      <c r="J100" s="5" t="n">
        <v>0.4</v>
      </c>
      <c r="K100" s="5" t="n">
        <v>0.3</v>
      </c>
      <c r="L100" s="5">
        <f>K100*J100*I100*H100</f>
        <v/>
      </c>
      <c r="M100" s="5" t="inlineStr"/>
    </row>
    <row r="101">
      <c r="A101" s="5" t="n"/>
      <c r="B101" s="5" t="inlineStr">
        <is>
          <t>G</t>
        </is>
      </c>
      <c r="C101" s="5" t="inlineStr">
        <is>
          <t>7-8</t>
        </is>
      </c>
      <c r="D101" s="5" t="n"/>
      <c r="G101" s="5" t="inlineStr">
        <is>
          <t>M3</t>
        </is>
      </c>
      <c r="H101" s="5" t="n">
        <v>1</v>
      </c>
      <c r="I101" s="5" t="n">
        <v>4.6</v>
      </c>
      <c r="J101" s="5" t="n">
        <v>0.4</v>
      </c>
      <c r="K101" s="5" t="n">
        <v>0.3</v>
      </c>
      <c r="L101" s="5">
        <f>K101*J101*I101*H101</f>
        <v/>
      </c>
      <c r="M101" s="5" t="inlineStr"/>
    </row>
    <row r="102">
      <c r="A102" s="6" t="inlineStr">
        <is>
          <t>total</t>
        </is>
      </c>
      <c r="M102" s="6">
        <f>SUM(L80:L101)</f>
        <v/>
      </c>
    </row>
    <row r="103">
      <c r="A103" s="3" t="inlineStr">
        <is>
          <t>17</t>
        </is>
      </c>
      <c r="B103" s="4" t="inlineStr">
        <is>
          <t xml:space="preserve"> Maçonnerie de moellons en fondation exécutée selon descriptif </t>
        </is>
      </c>
    </row>
    <row r="104">
      <c r="B104" s="2" t="inlineStr">
        <is>
          <t>axe</t>
        </is>
      </c>
      <c r="C104" s="2" t="inlineStr">
        <is>
          <t>fill</t>
        </is>
      </c>
    </row>
    <row r="105">
      <c r="A105" s="5" t="n"/>
      <c r="B105" s="5" t="inlineStr">
        <is>
          <t>A</t>
        </is>
      </c>
      <c r="C105" s="5" t="inlineStr">
        <is>
          <t>1-2</t>
        </is>
      </c>
      <c r="D105" s="5" t="n"/>
      <c r="G105" s="5" t="inlineStr">
        <is>
          <t>M3</t>
        </is>
      </c>
      <c r="H105" s="5" t="n">
        <v>1</v>
      </c>
      <c r="I105" s="5" t="n">
        <v>2.48</v>
      </c>
      <c r="J105" s="5" t="n">
        <v>0.4</v>
      </c>
      <c r="K105" s="5">
        <f>$N$14-0.1</f>
        <v/>
      </c>
      <c r="L105" s="5">
        <f>K105*J105*I105*H105</f>
        <v/>
      </c>
      <c r="M105" s="5" t="inlineStr"/>
    </row>
    <row r="106">
      <c r="A106" s="5" t="n"/>
      <c r="B106" s="5" t="inlineStr">
        <is>
          <t>A</t>
        </is>
      </c>
      <c r="C106" s="5" t="inlineStr">
        <is>
          <t>2-4</t>
        </is>
      </c>
      <c r="D106" s="5" t="n"/>
      <c r="G106" s="5" t="inlineStr">
        <is>
          <t>M3</t>
        </is>
      </c>
      <c r="H106" s="5" t="n">
        <v>1</v>
      </c>
      <c r="I106" s="5" t="n">
        <v>7.25</v>
      </c>
      <c r="J106" s="5" t="n">
        <v>0.4</v>
      </c>
      <c r="K106" s="5">
        <f>$N$14-0.1</f>
        <v/>
      </c>
      <c r="L106" s="5">
        <f>K106*J106*I106*H106</f>
        <v/>
      </c>
      <c r="M106" s="5" t="inlineStr"/>
    </row>
    <row r="107">
      <c r="A107" s="5" t="n"/>
      <c r="B107" s="5" t="inlineStr">
        <is>
          <t>A</t>
        </is>
      </c>
      <c r="C107" s="5" t="inlineStr">
        <is>
          <t>4-5</t>
        </is>
      </c>
      <c r="D107" s="5" t="n"/>
      <c r="G107" s="5" t="inlineStr">
        <is>
          <t>M3</t>
        </is>
      </c>
      <c r="H107" s="5" t="n">
        <v>1</v>
      </c>
      <c r="I107" s="5" t="n">
        <v>2.38</v>
      </c>
      <c r="J107" s="5" t="n">
        <v>0.4</v>
      </c>
      <c r="K107" s="5">
        <f>$N$14-0.1</f>
        <v/>
      </c>
      <c r="L107" s="5">
        <f>K107*J107*I107*H107</f>
        <v/>
      </c>
      <c r="M107" s="5" t="inlineStr"/>
    </row>
    <row r="108">
      <c r="A108" s="5" t="n"/>
      <c r="B108" s="5" t="inlineStr">
        <is>
          <t>A</t>
        </is>
      </c>
      <c r="C108" s="5" t="inlineStr">
        <is>
          <t>5-6</t>
        </is>
      </c>
      <c r="D108" s="5" t="n"/>
      <c r="G108" s="5" t="inlineStr">
        <is>
          <t>M3</t>
        </is>
      </c>
      <c r="H108" s="5" t="n">
        <v>1</v>
      </c>
      <c r="I108" s="5" t="n">
        <v>4.78</v>
      </c>
      <c r="J108" s="5" t="n">
        <v>0.4</v>
      </c>
      <c r="K108" s="5">
        <f>$N$14-0.1</f>
        <v/>
      </c>
      <c r="L108" s="5">
        <f>K108*J108*I108*H108</f>
        <v/>
      </c>
      <c r="M108" s="5" t="inlineStr"/>
    </row>
    <row r="109">
      <c r="A109" s="5" t="n"/>
      <c r="B109" s="5" t="inlineStr">
        <is>
          <t>A</t>
        </is>
      </c>
      <c r="C109" s="5" t="inlineStr">
        <is>
          <t>6-7</t>
        </is>
      </c>
      <c r="D109" s="5" t="n"/>
      <c r="G109" s="5" t="inlineStr">
        <is>
          <t>M3</t>
        </is>
      </c>
      <c r="H109" s="5" t="n">
        <v>1</v>
      </c>
      <c r="I109" s="5" t="n">
        <v>2.65</v>
      </c>
      <c r="J109" s="5" t="n">
        <v>0.4</v>
      </c>
      <c r="K109" s="5">
        <f>$N$14-0.1</f>
        <v/>
      </c>
      <c r="L109" s="5">
        <f>K109*J109*I109*H109</f>
        <v/>
      </c>
      <c r="M109" s="5" t="inlineStr"/>
    </row>
    <row r="110">
      <c r="A110" s="5" t="n"/>
      <c r="B110" s="5" t="inlineStr">
        <is>
          <t>A</t>
        </is>
      </c>
      <c r="C110" s="5" t="inlineStr">
        <is>
          <t>7-8</t>
        </is>
      </c>
      <c r="D110" s="5" t="n"/>
      <c r="G110" s="5" t="inlineStr">
        <is>
          <t>M3</t>
        </is>
      </c>
      <c r="H110" s="5" t="n">
        <v>1</v>
      </c>
      <c r="I110" s="5" t="n">
        <v>4.6</v>
      </c>
      <c r="J110" s="5" t="n">
        <v>0.4</v>
      </c>
      <c r="K110" s="5">
        <f>$N$14-0.1</f>
        <v/>
      </c>
      <c r="L110" s="5">
        <f>K110*J110*I110*H110</f>
        <v/>
      </c>
      <c r="M110" s="5" t="inlineStr"/>
    </row>
    <row r="111">
      <c r="A111" s="5" t="n"/>
      <c r="B111" s="5" t="inlineStr">
        <is>
          <t>G</t>
        </is>
      </c>
      <c r="C111" s="5" t="inlineStr">
        <is>
          <t>1-2</t>
        </is>
      </c>
      <c r="D111" s="5" t="n"/>
      <c r="G111" s="5" t="inlineStr">
        <is>
          <t>M3</t>
        </is>
      </c>
      <c r="H111" s="5" t="n">
        <v>1</v>
      </c>
      <c r="I111" s="5" t="n">
        <v>2.48</v>
      </c>
      <c r="J111" s="5" t="n">
        <v>0.4</v>
      </c>
      <c r="K111" s="5">
        <f>$N$14-0.1</f>
        <v/>
      </c>
      <c r="L111" s="5">
        <f>K111*J111*I111*H111</f>
        <v/>
      </c>
      <c r="M111" s="5" t="inlineStr"/>
    </row>
    <row r="112">
      <c r="A112" s="5" t="n"/>
      <c r="B112" s="5" t="inlineStr">
        <is>
          <t>G</t>
        </is>
      </c>
      <c r="C112" s="5" t="inlineStr">
        <is>
          <t>2-4</t>
        </is>
      </c>
      <c r="D112" s="5" t="n"/>
      <c r="G112" s="5" t="inlineStr">
        <is>
          <t>M3</t>
        </is>
      </c>
      <c r="H112" s="5" t="n">
        <v>1</v>
      </c>
      <c r="I112" s="5" t="n">
        <v>7.25</v>
      </c>
      <c r="J112" s="5" t="n">
        <v>0.4</v>
      </c>
      <c r="K112" s="5">
        <f>$N$14-0.1</f>
        <v/>
      </c>
      <c r="L112" s="5">
        <f>K112*J112*I112*H112</f>
        <v/>
      </c>
      <c r="M112" s="5" t="inlineStr"/>
    </row>
    <row r="113">
      <c r="A113" s="5" t="n"/>
      <c r="B113" s="5" t="inlineStr">
        <is>
          <t>G</t>
        </is>
      </c>
      <c r="C113" s="5" t="inlineStr">
        <is>
          <t>4-5</t>
        </is>
      </c>
      <c r="D113" s="5" t="n"/>
      <c r="G113" s="5" t="inlineStr">
        <is>
          <t>M3</t>
        </is>
      </c>
      <c r="H113" s="5" t="n">
        <v>1</v>
      </c>
      <c r="I113" s="5" t="n">
        <v>2.38</v>
      </c>
      <c r="J113" s="5" t="n">
        <v>0.4</v>
      </c>
      <c r="K113" s="5">
        <f>$N$14-0.1</f>
        <v/>
      </c>
      <c r="L113" s="5">
        <f>K113*J113*I113*H113</f>
        <v/>
      </c>
      <c r="M113" s="5" t="inlineStr"/>
    </row>
    <row r="114">
      <c r="A114" s="5" t="n"/>
      <c r="B114" s="5" t="inlineStr">
        <is>
          <t>G</t>
        </is>
      </c>
      <c r="C114" s="5" t="inlineStr">
        <is>
          <t>5-6</t>
        </is>
      </c>
      <c r="D114" s="5" t="n"/>
      <c r="G114" s="5" t="inlineStr">
        <is>
          <t>M3</t>
        </is>
      </c>
      <c r="H114" s="5" t="n">
        <v>1</v>
      </c>
      <c r="I114" s="5" t="n">
        <v>4.78</v>
      </c>
      <c r="J114" s="5" t="n">
        <v>0.4</v>
      </c>
      <c r="K114" s="5">
        <f>$N$14-0.1</f>
        <v/>
      </c>
      <c r="L114" s="5">
        <f>K114*J114*I114*H114</f>
        <v/>
      </c>
      <c r="M114" s="5" t="inlineStr"/>
    </row>
    <row r="115">
      <c r="A115" s="5" t="n"/>
      <c r="B115" s="5" t="inlineStr">
        <is>
          <t>G</t>
        </is>
      </c>
      <c r="C115" s="5" t="inlineStr">
        <is>
          <t>6-7</t>
        </is>
      </c>
      <c r="D115" s="5" t="n"/>
      <c r="G115" s="5" t="inlineStr">
        <is>
          <t>M3</t>
        </is>
      </c>
      <c r="H115" s="5" t="n">
        <v>1</v>
      </c>
      <c r="I115" s="5" t="n">
        <v>2.65</v>
      </c>
      <c r="J115" s="5" t="n">
        <v>0.4</v>
      </c>
      <c r="K115" s="5">
        <f>$N$14-0.1</f>
        <v/>
      </c>
      <c r="L115" s="5">
        <f>K115*J115*I115*H115</f>
        <v/>
      </c>
      <c r="M115" s="5" t="inlineStr"/>
    </row>
    <row r="116">
      <c r="A116" s="5" t="n"/>
      <c r="B116" s="5" t="inlineStr">
        <is>
          <t>G</t>
        </is>
      </c>
      <c r="C116" s="5" t="inlineStr">
        <is>
          <t>7-8</t>
        </is>
      </c>
      <c r="D116" s="5" t="n"/>
      <c r="G116" s="5" t="inlineStr">
        <is>
          <t>M3</t>
        </is>
      </c>
      <c r="H116" s="5" t="n">
        <v>1</v>
      </c>
      <c r="I116" s="5" t="n">
        <v>4.6</v>
      </c>
      <c r="J116" s="5" t="n">
        <v>0.4</v>
      </c>
      <c r="K116" s="5">
        <f>$N$14-0.1</f>
        <v/>
      </c>
      <c r="L116" s="5">
        <f>K116*J116*I116*H116</f>
        <v/>
      </c>
      <c r="M116" s="5" t="inlineStr"/>
    </row>
    <row r="117">
      <c r="A117" s="5" t="n"/>
      <c r="B117" s="5" t="inlineStr">
        <is>
          <t>1</t>
        </is>
      </c>
      <c r="C117" s="5" t="inlineStr">
        <is>
          <t>A-D</t>
        </is>
      </c>
      <c r="D117" s="5" t="n"/>
      <c r="G117" s="5" t="inlineStr">
        <is>
          <t>M3</t>
        </is>
      </c>
      <c r="H117" s="5" t="n">
        <v>1</v>
      </c>
      <c r="I117" s="5">
        <f>3.82+0.4+0.82</f>
        <v/>
      </c>
      <c r="J117" s="5" t="n">
        <v>0.4</v>
      </c>
      <c r="K117" s="5">
        <f>$N$14-0.1</f>
        <v/>
      </c>
      <c r="L117" s="5">
        <f>K117*J117*I117*H117</f>
        <v/>
      </c>
      <c r="M117" s="5" t="inlineStr"/>
    </row>
    <row r="118">
      <c r="A118" s="5" t="n"/>
      <c r="B118" s="5" t="inlineStr">
        <is>
          <t>1</t>
        </is>
      </c>
      <c r="C118" s="5" t="inlineStr">
        <is>
          <t>D-G</t>
        </is>
      </c>
      <c r="D118" s="5" t="n"/>
      <c r="G118" s="5" t="inlineStr">
        <is>
          <t>M3</t>
        </is>
      </c>
      <c r="H118" s="5" t="n">
        <v>1</v>
      </c>
      <c r="I118" s="5">
        <f>1.08+0.15+3.82</f>
        <v/>
      </c>
      <c r="J118" s="5" t="n">
        <v>0.4</v>
      </c>
      <c r="K118" s="5">
        <f>$N$14-0.1</f>
        <v/>
      </c>
      <c r="L118" s="5">
        <f>K118*J118*I118*H118</f>
        <v/>
      </c>
      <c r="M118" s="5" t="inlineStr"/>
    </row>
    <row r="119">
      <c r="A119" s="5" t="n"/>
      <c r="B119" s="5" t="inlineStr">
        <is>
          <t>8</t>
        </is>
      </c>
      <c r="C119" s="5" t="inlineStr">
        <is>
          <t>A-C</t>
        </is>
      </c>
      <c r="D119" s="5" t="n"/>
      <c r="G119" s="5" t="inlineStr">
        <is>
          <t>M3</t>
        </is>
      </c>
      <c r="H119" s="5" t="n">
        <v>1</v>
      </c>
      <c r="I119" s="5">
        <f>3.82+0.4</f>
        <v/>
      </c>
      <c r="J119" s="5" t="n">
        <v>0.4</v>
      </c>
      <c r="K119" s="5">
        <f>$N$14-0.1</f>
        <v/>
      </c>
      <c r="L119" s="5">
        <f>K119*J119*I119*H119</f>
        <v/>
      </c>
      <c r="M119" s="5" t="inlineStr"/>
    </row>
    <row r="120">
      <c r="A120" s="5" t="n"/>
      <c r="B120" s="5" t="inlineStr">
        <is>
          <t>8</t>
        </is>
      </c>
      <c r="C120" s="5" t="inlineStr">
        <is>
          <t>C-E</t>
        </is>
      </c>
      <c r="D120" s="5" t="n"/>
      <c r="G120" s="5" t="inlineStr">
        <is>
          <t>M3</t>
        </is>
      </c>
      <c r="H120" s="5" t="n">
        <v>1</v>
      </c>
      <c r="I120" s="5">
        <f>0.82+1.08</f>
        <v/>
      </c>
      <c r="J120" s="5" t="n">
        <v>0.4</v>
      </c>
      <c r="K120" s="5">
        <f>$N$14-0.1</f>
        <v/>
      </c>
      <c r="L120" s="5">
        <f>K120*J120*I120*H120</f>
        <v/>
      </c>
      <c r="M120" s="5" t="inlineStr"/>
    </row>
    <row r="121">
      <c r="A121" s="5" t="n"/>
      <c r="B121" s="5" t="inlineStr">
        <is>
          <t>8</t>
        </is>
      </c>
      <c r="C121" s="5" t="inlineStr">
        <is>
          <t>E-G</t>
        </is>
      </c>
      <c r="D121" s="5" t="n"/>
      <c r="G121" s="5" t="inlineStr">
        <is>
          <t>M3</t>
        </is>
      </c>
      <c r="H121" s="5" t="n">
        <v>1</v>
      </c>
      <c r="I121" s="5">
        <f>0.15+3.82</f>
        <v/>
      </c>
      <c r="J121" s="5" t="n">
        <v>0.4</v>
      </c>
      <c r="K121" s="5">
        <f>$N$14-0.1</f>
        <v/>
      </c>
      <c r="L121" s="5">
        <f>K121*J121*I121*H121</f>
        <v/>
      </c>
      <c r="M121" s="5" t="inlineStr"/>
    </row>
    <row r="122">
      <c r="A122" s="6" t="inlineStr">
        <is>
          <t>total</t>
        </is>
      </c>
      <c r="M122" s="6">
        <f>SUM(L105:L121)</f>
        <v/>
      </c>
    </row>
    <row r="123">
      <c r="A123" s="3" t="inlineStr">
        <is>
          <t>20</t>
        </is>
      </c>
      <c r="B123" s="4" t="inlineStr">
        <is>
          <t xml:space="preserve"> Béton pour béton armé en fondation et en élévation</t>
        </is>
      </c>
    </row>
    <row r="124">
      <c r="A124" s="5" t="inlineStr">
        <is>
          <t>pour semelle isolee</t>
        </is>
      </c>
    </row>
    <row r="125">
      <c r="B125" s="2" t="inlineStr">
        <is>
          <t>axe</t>
        </is>
      </c>
      <c r="C125" s="2" t="inlineStr">
        <is>
          <t>fill</t>
        </is>
      </c>
    </row>
    <row r="126">
      <c r="A126" s="5" t="inlineStr">
        <is>
          <t>S1</t>
        </is>
      </c>
      <c r="B126" s="5" t="inlineStr">
        <is>
          <t>A</t>
        </is>
      </c>
      <c r="C126" s="5" t="inlineStr">
        <is>
          <t>1</t>
        </is>
      </c>
      <c r="D126" s="5" t="n"/>
      <c r="G126" s="5" t="inlineStr">
        <is>
          <t>M3</t>
        </is>
      </c>
      <c r="H126" s="5" t="n">
        <v>1</v>
      </c>
      <c r="I126" s="5" t="n">
        <v>1</v>
      </c>
      <c r="J126" s="5" t="n">
        <v>1</v>
      </c>
      <c r="K126" s="5" t="n">
        <v>0.25</v>
      </c>
      <c r="L126" s="5">
        <f>K126*J126*I126*H126</f>
        <v/>
      </c>
      <c r="M126" s="5" t="inlineStr"/>
    </row>
    <row r="127">
      <c r="A127" s="5" t="inlineStr">
        <is>
          <t>S4</t>
        </is>
      </c>
      <c r="B127" s="5" t="inlineStr">
        <is>
          <t>A</t>
        </is>
      </c>
      <c r="C127" s="5" t="inlineStr">
        <is>
          <t>2</t>
        </is>
      </c>
      <c r="D127" s="5" t="n"/>
      <c r="G127" s="5" t="inlineStr">
        <is>
          <t>M3</t>
        </is>
      </c>
      <c r="H127" s="5" t="n">
        <v>1</v>
      </c>
      <c r="I127" s="5" t="n">
        <v>1.5</v>
      </c>
      <c r="J127" s="5" t="n">
        <v>1.5</v>
      </c>
      <c r="K127" s="5" t="n">
        <v>0.4</v>
      </c>
      <c r="L127" s="5">
        <f>K127*J127*I127*H127</f>
        <v/>
      </c>
      <c r="M127" s="5" t="inlineStr"/>
    </row>
    <row r="128">
      <c r="A128" s="5" t="inlineStr">
        <is>
          <t>S4</t>
        </is>
      </c>
      <c r="B128" s="5" t="inlineStr">
        <is>
          <t>A</t>
        </is>
      </c>
      <c r="C128" s="5" t="inlineStr">
        <is>
          <t>4</t>
        </is>
      </c>
      <c r="D128" s="5" t="n"/>
      <c r="G128" s="5" t="inlineStr">
        <is>
          <t>M3</t>
        </is>
      </c>
      <c r="H128" s="5" t="n">
        <v>1</v>
      </c>
      <c r="I128" s="5" t="n">
        <v>1.5</v>
      </c>
      <c r="J128" s="5" t="n">
        <v>1.5</v>
      </c>
      <c r="K128" s="5" t="n">
        <v>0.4</v>
      </c>
      <c r="L128" s="5">
        <f>K128*J128*I128*H128</f>
        <v/>
      </c>
      <c r="M128" s="5" t="inlineStr"/>
    </row>
    <row r="129">
      <c r="A129" s="5" t="inlineStr">
        <is>
          <t>S2</t>
        </is>
      </c>
      <c r="B129" s="5" t="inlineStr">
        <is>
          <t>A</t>
        </is>
      </c>
      <c r="C129" s="5" t="inlineStr">
        <is>
          <t>5</t>
        </is>
      </c>
      <c r="D129" s="5" t="n"/>
      <c r="G129" s="5" t="inlineStr">
        <is>
          <t>M3</t>
        </is>
      </c>
      <c r="H129" s="5" t="n">
        <v>1</v>
      </c>
      <c r="I129" s="5" t="n">
        <v>1.1</v>
      </c>
      <c r="J129" s="5" t="n">
        <v>1.1</v>
      </c>
      <c r="K129" s="5" t="n">
        <v>0.25</v>
      </c>
      <c r="L129" s="5">
        <f>K129*J129*I129*H129</f>
        <v/>
      </c>
      <c r="M129" s="5" t="inlineStr"/>
    </row>
    <row r="130">
      <c r="A130" s="5" t="inlineStr">
        <is>
          <t>S3</t>
        </is>
      </c>
      <c r="B130" s="5" t="inlineStr">
        <is>
          <t>A</t>
        </is>
      </c>
      <c r="C130" s="5" t="inlineStr">
        <is>
          <t>6</t>
        </is>
      </c>
      <c r="D130" s="5" t="n"/>
      <c r="G130" s="5" t="inlineStr">
        <is>
          <t>M3</t>
        </is>
      </c>
      <c r="H130" s="5" t="n">
        <v>1</v>
      </c>
      <c r="I130" s="5" t="n">
        <v>1.2</v>
      </c>
      <c r="J130" s="5" t="n">
        <v>1.2</v>
      </c>
      <c r="K130" s="5" t="n">
        <v>0.3</v>
      </c>
      <c r="L130" s="5">
        <f>K130*J130*I130*H130</f>
        <v/>
      </c>
      <c r="M130" s="5" t="inlineStr"/>
    </row>
    <row r="131">
      <c r="A131" s="5" t="inlineStr">
        <is>
          <t>S3</t>
        </is>
      </c>
      <c r="B131" s="5" t="inlineStr">
        <is>
          <t>A</t>
        </is>
      </c>
      <c r="C131" s="5" t="inlineStr">
        <is>
          <t>7</t>
        </is>
      </c>
      <c r="D131" s="5" t="n"/>
      <c r="G131" s="5" t="inlineStr">
        <is>
          <t>M3</t>
        </is>
      </c>
      <c r="H131" s="5" t="n">
        <v>1</v>
      </c>
      <c r="I131" s="5" t="n">
        <v>1.2</v>
      </c>
      <c r="J131" s="5" t="n">
        <v>1.2</v>
      </c>
      <c r="K131" s="5" t="n">
        <v>0.3</v>
      </c>
      <c r="L131" s="5">
        <f>K131*J131*I131*H131</f>
        <v/>
      </c>
      <c r="M131" s="5" t="inlineStr"/>
    </row>
    <row r="132">
      <c r="A132" s="5" t="inlineStr">
        <is>
          <t>S3</t>
        </is>
      </c>
      <c r="B132" s="5" t="inlineStr">
        <is>
          <t>A</t>
        </is>
      </c>
      <c r="C132" s="5" t="inlineStr">
        <is>
          <t>8</t>
        </is>
      </c>
      <c r="D132" s="5" t="n"/>
      <c r="G132" s="5" t="inlineStr">
        <is>
          <t>M3</t>
        </is>
      </c>
      <c r="H132" s="5" t="n">
        <v>1</v>
      </c>
      <c r="I132" s="5" t="n">
        <v>1.2</v>
      </c>
      <c r="J132" s="5" t="n">
        <v>1.2</v>
      </c>
      <c r="K132" s="5" t="n">
        <v>0.3</v>
      </c>
      <c r="L132" s="5">
        <f>K132*J132*I132*H132</f>
        <v/>
      </c>
      <c r="M132" s="5" t="inlineStr"/>
    </row>
    <row r="133">
      <c r="A133" s="5" t="inlineStr">
        <is>
          <t>S5</t>
        </is>
      </c>
      <c r="B133" s="5" t="inlineStr">
        <is>
          <t>B</t>
        </is>
      </c>
      <c r="C133" s="5" t="inlineStr">
        <is>
          <t>5</t>
        </is>
      </c>
      <c r="D133" s="5" t="n"/>
      <c r="G133" s="5" t="inlineStr">
        <is>
          <t>M3</t>
        </is>
      </c>
      <c r="H133" s="5" t="n">
        <v>1</v>
      </c>
      <c r="I133" s="5" t="n">
        <v>1.5</v>
      </c>
      <c r="J133" s="5" t="n">
        <v>1.5</v>
      </c>
      <c r="K133" s="5" t="n">
        <v>0.4</v>
      </c>
      <c r="L133" s="5">
        <f>K133*J133*I133*H133</f>
        <v/>
      </c>
      <c r="M133" s="5" t="inlineStr"/>
    </row>
    <row r="134">
      <c r="A134" s="5" t="inlineStr">
        <is>
          <t>S4</t>
        </is>
      </c>
      <c r="B134" s="5" t="inlineStr">
        <is>
          <t>C</t>
        </is>
      </c>
      <c r="C134" s="5" t="inlineStr">
        <is>
          <t>6</t>
        </is>
      </c>
      <c r="D134" s="5" t="n"/>
      <c r="G134" s="5" t="inlineStr">
        <is>
          <t>M3</t>
        </is>
      </c>
      <c r="H134" s="5" t="n">
        <v>1</v>
      </c>
      <c r="I134" s="5" t="n">
        <v>1.5</v>
      </c>
      <c r="J134" s="5" t="n">
        <v>1.5</v>
      </c>
      <c r="K134" s="5" t="n">
        <v>0.4</v>
      </c>
      <c r="L134" s="5">
        <f>K134*J134*I134*H134</f>
        <v/>
      </c>
      <c r="M134" s="5" t="inlineStr"/>
    </row>
    <row r="135">
      <c r="A135" s="5" t="inlineStr">
        <is>
          <t>S4</t>
        </is>
      </c>
      <c r="B135" s="5" t="inlineStr">
        <is>
          <t>C</t>
        </is>
      </c>
      <c r="C135" s="5" t="inlineStr">
        <is>
          <t>7</t>
        </is>
      </c>
      <c r="D135" s="5" t="n"/>
      <c r="G135" s="5" t="inlineStr">
        <is>
          <t>M3</t>
        </is>
      </c>
      <c r="H135" s="5" t="n">
        <v>1</v>
      </c>
      <c r="I135" s="5" t="n">
        <v>1.5</v>
      </c>
      <c r="J135" s="5" t="n">
        <v>1.5</v>
      </c>
      <c r="K135" s="5" t="n">
        <v>0.4</v>
      </c>
      <c r="L135" s="5">
        <f>K135*J135*I135*H135</f>
        <v/>
      </c>
      <c r="M135" s="5" t="inlineStr"/>
    </row>
    <row r="136">
      <c r="A136" s="5" t="inlineStr">
        <is>
          <t>S3</t>
        </is>
      </c>
      <c r="B136" s="5" t="inlineStr">
        <is>
          <t>C</t>
        </is>
      </c>
      <c r="C136" s="5" t="inlineStr">
        <is>
          <t>8</t>
        </is>
      </c>
      <c r="D136" s="5" t="n"/>
      <c r="G136" s="5" t="inlineStr">
        <is>
          <t>M3</t>
        </is>
      </c>
      <c r="H136" s="5" t="n">
        <v>1</v>
      </c>
      <c r="I136" s="5" t="n">
        <v>1.2</v>
      </c>
      <c r="J136" s="5" t="n">
        <v>1.2</v>
      </c>
      <c r="K136" s="5" t="n">
        <v>0.3</v>
      </c>
      <c r="L136" s="5">
        <f>K136*J136*I136*H136</f>
        <v/>
      </c>
      <c r="M136" s="5" t="inlineStr"/>
    </row>
    <row r="137">
      <c r="A137" s="5" t="inlineStr">
        <is>
          <t>S4</t>
        </is>
      </c>
      <c r="B137" s="5" t="inlineStr">
        <is>
          <t>D</t>
        </is>
      </c>
      <c r="C137" s="5" t="inlineStr">
        <is>
          <t>1</t>
        </is>
      </c>
      <c r="D137" s="5" t="n"/>
      <c r="G137" s="5" t="inlineStr">
        <is>
          <t>M3</t>
        </is>
      </c>
      <c r="H137" s="5" t="n">
        <v>1</v>
      </c>
      <c r="I137" s="5" t="n">
        <v>1.5</v>
      </c>
      <c r="J137" s="5" t="n">
        <v>1.5</v>
      </c>
      <c r="K137" s="5" t="n">
        <v>0.4</v>
      </c>
      <c r="L137" s="5">
        <f>K137*J137*I137*H137</f>
        <v/>
      </c>
      <c r="M137" s="5" t="inlineStr"/>
    </row>
    <row r="138">
      <c r="A138" s="5" t="inlineStr">
        <is>
          <t>S4</t>
        </is>
      </c>
      <c r="B138" s="5" t="inlineStr">
        <is>
          <t>E</t>
        </is>
      </c>
      <c r="C138" s="5" t="inlineStr">
        <is>
          <t>6</t>
        </is>
      </c>
      <c r="D138" s="5" t="n"/>
      <c r="G138" s="5" t="inlineStr">
        <is>
          <t>M3</t>
        </is>
      </c>
      <c r="H138" s="5" t="n">
        <v>1</v>
      </c>
      <c r="I138" s="5" t="n">
        <v>1.5</v>
      </c>
      <c r="J138" s="5" t="n">
        <v>1.5</v>
      </c>
      <c r="K138" s="5" t="n">
        <v>0.4</v>
      </c>
      <c r="L138" s="5">
        <f>K138*J138*I138*H138</f>
        <v/>
      </c>
      <c r="M138" s="5" t="inlineStr"/>
    </row>
    <row r="139">
      <c r="A139" s="5" t="inlineStr">
        <is>
          <t>S4</t>
        </is>
      </c>
      <c r="B139" s="5" t="inlineStr">
        <is>
          <t>E</t>
        </is>
      </c>
      <c r="C139" s="5" t="inlineStr">
        <is>
          <t>7</t>
        </is>
      </c>
      <c r="D139" s="5" t="n"/>
      <c r="G139" s="5" t="inlineStr">
        <is>
          <t>M3</t>
        </is>
      </c>
      <c r="H139" s="5" t="n">
        <v>1</v>
      </c>
      <c r="I139" s="5" t="n">
        <v>1.5</v>
      </c>
      <c r="J139" s="5" t="n">
        <v>1.5</v>
      </c>
      <c r="K139" s="5" t="n">
        <v>0.4</v>
      </c>
      <c r="L139" s="5">
        <f>K139*J139*I139*H139</f>
        <v/>
      </c>
      <c r="M139" s="5" t="inlineStr"/>
    </row>
    <row r="140">
      <c r="A140" s="5" t="inlineStr">
        <is>
          <t>S3</t>
        </is>
      </c>
      <c r="B140" s="5" t="inlineStr">
        <is>
          <t>E</t>
        </is>
      </c>
      <c r="C140" s="5" t="inlineStr">
        <is>
          <t>8</t>
        </is>
      </c>
      <c r="D140" s="5" t="n"/>
      <c r="G140" s="5" t="inlineStr">
        <is>
          <t>M3</t>
        </is>
      </c>
      <c r="H140" s="5" t="n">
        <v>1</v>
      </c>
      <c r="I140" s="5" t="n">
        <v>1.2</v>
      </c>
      <c r="J140" s="5" t="n">
        <v>1.2</v>
      </c>
      <c r="K140" s="5" t="n">
        <v>0.3</v>
      </c>
      <c r="L140" s="5">
        <f>K140*J140*I140*H140</f>
        <v/>
      </c>
      <c r="M140" s="5" t="inlineStr"/>
    </row>
    <row r="141">
      <c r="A141" s="5" t="inlineStr">
        <is>
          <t>S5</t>
        </is>
      </c>
      <c r="B141" s="5" t="inlineStr">
        <is>
          <t>F</t>
        </is>
      </c>
      <c r="C141" s="5" t="inlineStr">
        <is>
          <t>5</t>
        </is>
      </c>
      <c r="D141" s="5" t="n"/>
      <c r="G141" s="5" t="inlineStr">
        <is>
          <t>M3</t>
        </is>
      </c>
      <c r="H141" s="5" t="n">
        <v>1</v>
      </c>
      <c r="I141" s="5" t="n">
        <v>1.5</v>
      </c>
      <c r="J141" s="5" t="n">
        <v>1.5</v>
      </c>
      <c r="K141" s="5" t="n">
        <v>0.4</v>
      </c>
      <c r="L141" s="5">
        <f>K141*J141*I141*H141</f>
        <v/>
      </c>
      <c r="M141" s="5" t="inlineStr"/>
    </row>
    <row r="142">
      <c r="A142" s="5" t="inlineStr">
        <is>
          <t>S1</t>
        </is>
      </c>
      <c r="B142" s="5" t="inlineStr">
        <is>
          <t>G</t>
        </is>
      </c>
      <c r="C142" s="5" t="inlineStr">
        <is>
          <t>1</t>
        </is>
      </c>
      <c r="D142" s="5" t="n"/>
      <c r="G142" s="5" t="inlineStr">
        <is>
          <t>M3</t>
        </is>
      </c>
      <c r="H142" s="5" t="n">
        <v>1</v>
      </c>
      <c r="I142" s="5" t="n">
        <v>1</v>
      </c>
      <c r="J142" s="5" t="n">
        <v>1</v>
      </c>
      <c r="K142" s="5" t="n">
        <v>0.25</v>
      </c>
      <c r="L142" s="5">
        <f>K142*J142*I142*H142</f>
        <v/>
      </c>
      <c r="M142" s="5" t="inlineStr"/>
    </row>
    <row r="143">
      <c r="A143" s="5" t="inlineStr">
        <is>
          <t>S4</t>
        </is>
      </c>
      <c r="B143" s="5" t="inlineStr">
        <is>
          <t>G</t>
        </is>
      </c>
      <c r="C143" s="5" t="inlineStr">
        <is>
          <t>2</t>
        </is>
      </c>
      <c r="D143" s="5" t="n"/>
      <c r="G143" s="5" t="inlineStr">
        <is>
          <t>M3</t>
        </is>
      </c>
      <c r="H143" s="5" t="n">
        <v>1</v>
      </c>
      <c r="I143" s="5" t="n">
        <v>1.5</v>
      </c>
      <c r="J143" s="5" t="n">
        <v>1.5</v>
      </c>
      <c r="K143" s="5" t="n">
        <v>0.4</v>
      </c>
      <c r="L143" s="5">
        <f>K143*J143*I143*H143</f>
        <v/>
      </c>
      <c r="M143" s="5" t="inlineStr"/>
    </row>
    <row r="144">
      <c r="A144" s="5" t="inlineStr">
        <is>
          <t>S4</t>
        </is>
      </c>
      <c r="B144" s="5" t="inlineStr">
        <is>
          <t>G</t>
        </is>
      </c>
      <c r="C144" s="5" t="inlineStr">
        <is>
          <t>3</t>
        </is>
      </c>
      <c r="D144" s="5" t="n"/>
      <c r="G144" s="5" t="inlineStr">
        <is>
          <t>M3</t>
        </is>
      </c>
      <c r="H144" s="5" t="n">
        <v>1</v>
      </c>
      <c r="I144" s="5" t="n">
        <v>1.5</v>
      </c>
      <c r="J144" s="5" t="n">
        <v>1.5</v>
      </c>
      <c r="K144" s="5" t="n">
        <v>0.4</v>
      </c>
      <c r="L144" s="5">
        <f>K144*J144*I144*H144</f>
        <v/>
      </c>
      <c r="M144" s="5" t="inlineStr"/>
    </row>
    <row r="145">
      <c r="A145" s="5" t="inlineStr">
        <is>
          <t>S5</t>
        </is>
      </c>
      <c r="B145" s="5" t="inlineStr">
        <is>
          <t>G</t>
        </is>
      </c>
      <c r="C145" s="5" t="inlineStr">
        <is>
          <t>5</t>
        </is>
      </c>
      <c r="D145" s="5" t="n"/>
      <c r="G145" s="5" t="inlineStr">
        <is>
          <t>M3</t>
        </is>
      </c>
      <c r="H145" s="5" t="n">
        <v>1</v>
      </c>
      <c r="I145" s="5" t="n">
        <v>1.5</v>
      </c>
      <c r="J145" s="5" t="n">
        <v>1.5</v>
      </c>
      <c r="K145" s="5" t="n">
        <v>0.4</v>
      </c>
      <c r="L145" s="5">
        <f>K145*J145*I145*H145</f>
        <v/>
      </c>
      <c r="M145" s="5" t="inlineStr"/>
    </row>
    <row r="146">
      <c r="A146" s="5" t="inlineStr">
        <is>
          <t>S3</t>
        </is>
      </c>
      <c r="B146" s="5" t="inlineStr">
        <is>
          <t>G</t>
        </is>
      </c>
      <c r="C146" s="5" t="inlineStr">
        <is>
          <t>6</t>
        </is>
      </c>
      <c r="D146" s="5" t="n"/>
      <c r="G146" s="5" t="inlineStr">
        <is>
          <t>M3</t>
        </is>
      </c>
      <c r="H146" s="5" t="n">
        <v>1</v>
      </c>
      <c r="I146" s="5" t="n">
        <v>1.2</v>
      </c>
      <c r="J146" s="5" t="n">
        <v>1.2</v>
      </c>
      <c r="K146" s="5" t="n">
        <v>0.3</v>
      </c>
      <c r="L146" s="5">
        <f>K146*J146*I146*H146</f>
        <v/>
      </c>
      <c r="M146" s="5" t="inlineStr"/>
    </row>
    <row r="147">
      <c r="A147" s="5" t="inlineStr">
        <is>
          <t>S3</t>
        </is>
      </c>
      <c r="B147" s="5" t="inlineStr">
        <is>
          <t>G</t>
        </is>
      </c>
      <c r="C147" s="5" t="inlineStr">
        <is>
          <t>7</t>
        </is>
      </c>
      <c r="D147" s="5" t="n"/>
      <c r="G147" s="5" t="inlineStr">
        <is>
          <t>M3</t>
        </is>
      </c>
      <c r="H147" s="5" t="n">
        <v>1</v>
      </c>
      <c r="I147" s="5" t="n">
        <v>1.2</v>
      </c>
      <c r="J147" s="5" t="n">
        <v>1.2</v>
      </c>
      <c r="K147" s="5" t="n">
        <v>0.3</v>
      </c>
      <c r="L147" s="5">
        <f>K147*J147*I147*H147</f>
        <v/>
      </c>
      <c r="M147" s="5" t="inlineStr"/>
    </row>
    <row r="148">
      <c r="A148" s="5" t="inlineStr">
        <is>
          <t>S3</t>
        </is>
      </c>
      <c r="B148" s="5" t="inlineStr">
        <is>
          <t>G</t>
        </is>
      </c>
      <c r="C148" s="5" t="inlineStr">
        <is>
          <t>8</t>
        </is>
      </c>
      <c r="D148" s="5" t="n"/>
      <c r="G148" s="5" t="inlineStr">
        <is>
          <t>M3</t>
        </is>
      </c>
      <c r="H148" s="5" t="n">
        <v>1</v>
      </c>
      <c r="I148" s="5" t="n">
        <v>1.2</v>
      </c>
      <c r="J148" s="5" t="n">
        <v>1.2</v>
      </c>
      <c r="K148" s="5" t="n">
        <v>0.3</v>
      </c>
      <c r="L148" s="5">
        <f>K148*J148*I148*H148</f>
        <v/>
      </c>
      <c r="M148" s="5" t="inlineStr"/>
    </row>
    <row r="149">
      <c r="A149" s="6" t="inlineStr">
        <is>
          <t>total</t>
        </is>
      </c>
      <c r="M149" s="6">
        <f>SUM(L126:L148)</f>
        <v/>
      </c>
    </row>
    <row r="150">
      <c r="A150" s="5" t="inlineStr">
        <is>
          <t xml:space="preserve">pour longrines </t>
        </is>
      </c>
    </row>
    <row r="151">
      <c r="A151" s="2" t="inlineStr">
        <is>
          <t>axe</t>
        </is>
      </c>
      <c r="B151" s="2" t="inlineStr">
        <is>
          <t>fill</t>
        </is>
      </c>
      <c r="C151" s="2" t="inlineStr">
        <is>
          <t>Nom</t>
        </is>
      </c>
    </row>
    <row r="152">
      <c r="A152" s="5" t="n"/>
      <c r="B152" s="5" t="inlineStr">
        <is>
          <t>C</t>
        </is>
      </c>
      <c r="C152" s="5" t="inlineStr">
        <is>
          <t>5-6</t>
        </is>
      </c>
      <c r="D152" s="5" t="inlineStr">
        <is>
          <t>LG</t>
        </is>
      </c>
      <c r="G152" s="5" t="inlineStr">
        <is>
          <t>M3</t>
        </is>
      </c>
      <c r="H152" s="5" t="n">
        <v>1</v>
      </c>
      <c r="I152" s="5" t="n">
        <v>4.78</v>
      </c>
      <c r="J152" s="5" t="n">
        <v>0.5</v>
      </c>
      <c r="K152" s="5" t="n">
        <v>0.2</v>
      </c>
      <c r="L152" s="5">
        <f>K152*J152*I152*H152</f>
        <v/>
      </c>
      <c r="M152" s="5" t="inlineStr"/>
    </row>
    <row r="153">
      <c r="A153" s="5" t="n"/>
      <c r="B153" s="5" t="inlineStr">
        <is>
          <t>C</t>
        </is>
      </c>
      <c r="C153" s="5" t="inlineStr">
        <is>
          <t>6-7</t>
        </is>
      </c>
      <c r="D153" s="5" t="inlineStr">
        <is>
          <t>LG</t>
        </is>
      </c>
      <c r="G153" s="5" t="inlineStr">
        <is>
          <t>M3</t>
        </is>
      </c>
      <c r="H153" s="5" t="n">
        <v>1</v>
      </c>
      <c r="I153" s="5" t="n">
        <v>2.65</v>
      </c>
      <c r="J153" s="5" t="n">
        <v>0.5</v>
      </c>
      <c r="K153" s="5" t="n">
        <v>0.2</v>
      </c>
      <c r="L153" s="5">
        <f>K153*J153*I153*H153</f>
        <v/>
      </c>
      <c r="M153" s="5" t="inlineStr"/>
    </row>
    <row r="154">
      <c r="A154" s="5" t="n"/>
      <c r="B154" s="5" t="inlineStr">
        <is>
          <t>C</t>
        </is>
      </c>
      <c r="C154" s="5" t="inlineStr">
        <is>
          <t>7-8</t>
        </is>
      </c>
      <c r="D154" s="5" t="inlineStr">
        <is>
          <t>LG</t>
        </is>
      </c>
      <c r="G154" s="5" t="inlineStr">
        <is>
          <t>M3</t>
        </is>
      </c>
      <c r="H154" s="5" t="n">
        <v>1</v>
      </c>
      <c r="I154" s="5" t="n">
        <v>4.6</v>
      </c>
      <c r="J154" s="5" t="n">
        <v>0.5</v>
      </c>
      <c r="K154" s="5" t="n">
        <v>0.2</v>
      </c>
      <c r="L154" s="5">
        <f>K154*J154*I154*H154</f>
        <v/>
      </c>
      <c r="M154" s="5" t="inlineStr"/>
    </row>
    <row r="155">
      <c r="A155" s="5" t="n"/>
      <c r="B155" s="5" t="inlineStr">
        <is>
          <t>D</t>
        </is>
      </c>
      <c r="C155" s="5" t="inlineStr">
        <is>
          <t>1-2</t>
        </is>
      </c>
      <c r="D155" s="5" t="inlineStr">
        <is>
          <t>LG2</t>
        </is>
      </c>
      <c r="G155" s="5" t="inlineStr">
        <is>
          <t>M3</t>
        </is>
      </c>
      <c r="H155" s="5" t="n">
        <v>1</v>
      </c>
      <c r="I155" s="5" t="n">
        <v>2.48</v>
      </c>
      <c r="J155" s="5" t="n">
        <v>0.4</v>
      </c>
      <c r="K155" s="5" t="n">
        <v>0.2</v>
      </c>
      <c r="L155" s="5">
        <f>K155*J155*I155*H155</f>
        <v/>
      </c>
      <c r="M155" s="5" t="inlineStr"/>
    </row>
    <row r="156">
      <c r="A156" s="5" t="n"/>
      <c r="B156" s="5" t="inlineStr">
        <is>
          <t>D</t>
        </is>
      </c>
      <c r="C156" s="5" t="inlineStr">
        <is>
          <t>2-3</t>
        </is>
      </c>
      <c r="D156" s="5" t="inlineStr">
        <is>
          <t>LG2</t>
        </is>
      </c>
      <c r="G156" s="5" t="inlineStr">
        <is>
          <t>M3</t>
        </is>
      </c>
      <c r="H156" s="5" t="n">
        <v>1</v>
      </c>
      <c r="I156" s="5">
        <f>3.7</f>
        <v/>
      </c>
      <c r="J156" s="5" t="n">
        <v>0.4</v>
      </c>
      <c r="K156" s="5" t="n">
        <v>0.2</v>
      </c>
      <c r="L156" s="5">
        <f>K156*J156*I156*H156</f>
        <v/>
      </c>
      <c r="M156" s="5" t="inlineStr"/>
    </row>
    <row r="157">
      <c r="A157" s="5" t="n"/>
      <c r="B157" s="5" t="inlineStr">
        <is>
          <t>D</t>
        </is>
      </c>
      <c r="C157" s="5" t="inlineStr">
        <is>
          <t>3-4</t>
        </is>
      </c>
      <c r="D157" s="5" t="inlineStr">
        <is>
          <t>LG2</t>
        </is>
      </c>
      <c r="G157" s="5" t="inlineStr">
        <is>
          <t>M3</t>
        </is>
      </c>
      <c r="H157" s="5" t="n">
        <v>1</v>
      </c>
      <c r="I157" s="5">
        <f>3.7</f>
        <v/>
      </c>
      <c r="J157" s="5" t="n">
        <v>0.4</v>
      </c>
      <c r="K157" s="5" t="n">
        <v>0.2</v>
      </c>
      <c r="L157" s="5">
        <f>K157*J157*I157*H157</f>
        <v/>
      </c>
      <c r="M157" s="5" t="inlineStr"/>
    </row>
    <row r="158">
      <c r="A158" s="5" t="n"/>
      <c r="B158" s="5" t="inlineStr">
        <is>
          <t>D</t>
        </is>
      </c>
      <c r="C158" s="5" t="inlineStr">
        <is>
          <t>4-5</t>
        </is>
      </c>
      <c r="D158" s="5" t="inlineStr">
        <is>
          <t>LG2</t>
        </is>
      </c>
      <c r="G158" s="5" t="inlineStr">
        <is>
          <t>M3</t>
        </is>
      </c>
      <c r="H158" s="5" t="n">
        <v>1</v>
      </c>
      <c r="I158" s="5" t="n">
        <v>2.38</v>
      </c>
      <c r="J158" s="5" t="n">
        <v>0.4</v>
      </c>
      <c r="K158" s="5" t="n">
        <v>0.2</v>
      </c>
      <c r="L158" s="5">
        <f>K158*J158*I158*H158</f>
        <v/>
      </c>
      <c r="M158" s="5" t="inlineStr"/>
    </row>
    <row r="159">
      <c r="A159" s="5" t="n"/>
      <c r="B159" s="5" t="inlineStr">
        <is>
          <t>E</t>
        </is>
      </c>
      <c r="C159" s="5" t="inlineStr">
        <is>
          <t>5-6</t>
        </is>
      </c>
      <c r="D159" s="5" t="inlineStr">
        <is>
          <t>LG</t>
        </is>
      </c>
      <c r="G159" s="5" t="inlineStr">
        <is>
          <t>M3</t>
        </is>
      </c>
      <c r="H159" s="5" t="n">
        <v>1</v>
      </c>
      <c r="I159" s="5" t="n">
        <v>4.78</v>
      </c>
      <c r="J159" s="5" t="n">
        <v>0.5</v>
      </c>
      <c r="K159" s="5" t="n">
        <v>0.2</v>
      </c>
      <c r="L159" s="5">
        <f>K159*J159*I159*H159</f>
        <v/>
      </c>
      <c r="M159" s="5" t="inlineStr"/>
    </row>
    <row r="160">
      <c r="A160" s="5" t="n"/>
      <c r="B160" s="5" t="inlineStr">
        <is>
          <t>E</t>
        </is>
      </c>
      <c r="C160" s="5" t="inlineStr">
        <is>
          <t>6-7</t>
        </is>
      </c>
      <c r="D160" s="5" t="inlineStr">
        <is>
          <t>LG</t>
        </is>
      </c>
      <c r="G160" s="5" t="inlineStr">
        <is>
          <t>M3</t>
        </is>
      </c>
      <c r="H160" s="5" t="n">
        <v>1</v>
      </c>
      <c r="I160" s="5" t="n">
        <v>2.65</v>
      </c>
      <c r="J160" s="5" t="n">
        <v>0.5</v>
      </c>
      <c r="K160" s="5" t="n">
        <v>0.2</v>
      </c>
      <c r="L160" s="5">
        <f>K160*J160*I160*H160</f>
        <v/>
      </c>
      <c r="M160" s="5" t="inlineStr"/>
    </row>
    <row r="161">
      <c r="A161" s="5" t="n"/>
      <c r="B161" s="5" t="inlineStr">
        <is>
          <t>2</t>
        </is>
      </c>
      <c r="C161" s="5" t="inlineStr">
        <is>
          <t>A-D</t>
        </is>
      </c>
      <c r="D161" s="5" t="inlineStr">
        <is>
          <t>LG2</t>
        </is>
      </c>
      <c r="G161" s="5" t="inlineStr">
        <is>
          <t>M3</t>
        </is>
      </c>
      <c r="H161" s="5" t="n">
        <v>1</v>
      </c>
      <c r="I161" s="5">
        <f>3.82+0.4+0.82</f>
        <v/>
      </c>
      <c r="J161" s="5" t="n">
        <v>0.4</v>
      </c>
      <c r="K161" s="5" t="n">
        <v>0.2</v>
      </c>
      <c r="L161" s="5">
        <f>K161*J161*I161*H161</f>
        <v/>
      </c>
      <c r="M161" s="5" t="inlineStr"/>
    </row>
    <row r="162">
      <c r="A162" s="5" t="n"/>
      <c r="B162" s="5" t="inlineStr">
        <is>
          <t>2</t>
        </is>
      </c>
      <c r="C162" s="5" t="inlineStr">
        <is>
          <t>D-G</t>
        </is>
      </c>
      <c r="D162" s="5" t="inlineStr">
        <is>
          <t>LG2</t>
        </is>
      </c>
      <c r="G162" s="5" t="inlineStr">
        <is>
          <t>M3</t>
        </is>
      </c>
      <c r="H162" s="5" t="n">
        <v>1</v>
      </c>
      <c r="I162" s="5">
        <f>1.08+0.15+3.82</f>
        <v/>
      </c>
      <c r="J162" s="5" t="n">
        <v>0.4</v>
      </c>
      <c r="K162" s="5" t="n">
        <v>0.2</v>
      </c>
      <c r="L162" s="5">
        <f>K162*J162*I162*H162</f>
        <v/>
      </c>
      <c r="M162" s="5" t="inlineStr"/>
    </row>
    <row r="163">
      <c r="A163" s="5" t="n"/>
      <c r="B163" s="5" t="inlineStr">
        <is>
          <t>3</t>
        </is>
      </c>
      <c r="C163" s="5" t="inlineStr">
        <is>
          <t>D-G</t>
        </is>
      </c>
      <c r="D163" s="5" t="inlineStr">
        <is>
          <t>LG2</t>
        </is>
      </c>
      <c r="G163" s="5" t="inlineStr">
        <is>
          <t>M3</t>
        </is>
      </c>
      <c r="H163" s="5" t="n">
        <v>1</v>
      </c>
      <c r="I163" s="5">
        <f>1.08+0.15+3.82</f>
        <v/>
      </c>
      <c r="J163" s="5" t="n">
        <v>0.4</v>
      </c>
      <c r="K163" s="5" t="n">
        <v>0.2</v>
      </c>
      <c r="L163" s="5">
        <f>K163*J163*I163*H163</f>
        <v/>
      </c>
      <c r="M163" s="5" t="inlineStr"/>
    </row>
    <row r="164">
      <c r="A164" s="5" t="n"/>
      <c r="B164" s="5" t="inlineStr">
        <is>
          <t>4</t>
        </is>
      </c>
      <c r="C164" s="5" t="inlineStr">
        <is>
          <t>A-D</t>
        </is>
      </c>
      <c r="D164" s="5" t="inlineStr">
        <is>
          <t>LG2</t>
        </is>
      </c>
      <c r="G164" s="5" t="inlineStr">
        <is>
          <t>M3</t>
        </is>
      </c>
      <c r="H164" s="5" t="n">
        <v>1</v>
      </c>
      <c r="I164" s="5">
        <f>3.82+0.4+0.82</f>
        <v/>
      </c>
      <c r="J164" s="5" t="n">
        <v>0.4</v>
      </c>
      <c r="K164" s="5" t="n">
        <v>0.2</v>
      </c>
      <c r="L164" s="5">
        <f>K164*J164*I164*H164</f>
        <v/>
      </c>
      <c r="M164" s="5" t="inlineStr"/>
    </row>
    <row r="165">
      <c r="A165" s="5" t="n"/>
      <c r="B165" s="5" t="inlineStr">
        <is>
          <t>5</t>
        </is>
      </c>
      <c r="C165" s="5" t="inlineStr">
        <is>
          <t>A-E</t>
        </is>
      </c>
      <c r="D165" s="5" t="inlineStr">
        <is>
          <t>LG</t>
        </is>
      </c>
      <c r="G165" s="5" t="inlineStr">
        <is>
          <t>M3</t>
        </is>
      </c>
      <c r="H165" s="5" t="n">
        <v>1</v>
      </c>
      <c r="I165" s="5">
        <f>3.82+0.4+0.82+1.08</f>
        <v/>
      </c>
      <c r="J165" s="5" t="n">
        <v>0.5</v>
      </c>
      <c r="K165" s="5" t="n">
        <v>0.2</v>
      </c>
      <c r="L165" s="5">
        <f>K165*J165*I165*H165</f>
        <v/>
      </c>
      <c r="M165" s="5" t="inlineStr"/>
    </row>
    <row r="166">
      <c r="A166" s="5" t="n"/>
      <c r="B166" s="5" t="inlineStr">
        <is>
          <t>5</t>
        </is>
      </c>
      <c r="C166" s="5" t="inlineStr">
        <is>
          <t>E-G</t>
        </is>
      </c>
      <c r="D166" s="5" t="inlineStr">
        <is>
          <t>LG</t>
        </is>
      </c>
      <c r="G166" s="5" t="inlineStr">
        <is>
          <t>M3</t>
        </is>
      </c>
      <c r="H166" s="5" t="n">
        <v>1</v>
      </c>
      <c r="I166" s="5">
        <f>0.15+3.82</f>
        <v/>
      </c>
      <c r="J166" s="5" t="n">
        <v>0.5</v>
      </c>
      <c r="K166" s="5" t="n">
        <v>0.2</v>
      </c>
      <c r="L166" s="5">
        <f>K166*J166*I166*H166</f>
        <v/>
      </c>
      <c r="M166" s="5" t="inlineStr"/>
    </row>
    <row r="167">
      <c r="A167" s="5" t="n"/>
      <c r="B167" s="5" t="inlineStr">
        <is>
          <t>6</t>
        </is>
      </c>
      <c r="C167" s="5" t="inlineStr">
        <is>
          <t>A-E</t>
        </is>
      </c>
      <c r="D167" s="5" t="inlineStr">
        <is>
          <t>LG</t>
        </is>
      </c>
      <c r="G167" s="5" t="inlineStr">
        <is>
          <t>M3</t>
        </is>
      </c>
      <c r="H167" s="5" t="n">
        <v>1</v>
      </c>
      <c r="I167" s="5">
        <f>3.82+0.4+0.82+1.08</f>
        <v/>
      </c>
      <c r="J167" s="5" t="n">
        <v>0.5</v>
      </c>
      <c r="K167" s="5" t="n">
        <v>0.2</v>
      </c>
      <c r="L167" s="5">
        <f>K167*J167*I167*H167</f>
        <v/>
      </c>
      <c r="M167" s="5" t="inlineStr"/>
    </row>
    <row r="168">
      <c r="A168" s="5" t="n"/>
      <c r="B168" s="5" t="inlineStr">
        <is>
          <t>6</t>
        </is>
      </c>
      <c r="C168" s="5" t="inlineStr">
        <is>
          <t>E-G</t>
        </is>
      </c>
      <c r="D168" s="5" t="inlineStr">
        <is>
          <t>LG</t>
        </is>
      </c>
      <c r="G168" s="5" t="inlineStr">
        <is>
          <t>M3</t>
        </is>
      </c>
      <c r="H168" s="5" t="n">
        <v>1</v>
      </c>
      <c r="I168" s="5">
        <f>0.15+3.82</f>
        <v/>
      </c>
      <c r="J168" s="5" t="n">
        <v>0.5</v>
      </c>
      <c r="K168" s="5" t="n">
        <v>0.2</v>
      </c>
      <c r="L168" s="5">
        <f>K168*J168*I168*H168</f>
        <v/>
      </c>
      <c r="M168" s="5" t="inlineStr"/>
    </row>
    <row r="169">
      <c r="A169" s="5" t="n"/>
      <c r="B169" s="5" t="inlineStr">
        <is>
          <t>7</t>
        </is>
      </c>
      <c r="C169" s="5" t="inlineStr">
        <is>
          <t>A-E</t>
        </is>
      </c>
      <c r="D169" s="5" t="inlineStr">
        <is>
          <t>LG</t>
        </is>
      </c>
      <c r="G169" s="5" t="inlineStr">
        <is>
          <t>M3</t>
        </is>
      </c>
      <c r="H169" s="5" t="n">
        <v>1</v>
      </c>
      <c r="I169" s="5">
        <f>3.82+0.4+0.82+1.08</f>
        <v/>
      </c>
      <c r="J169" s="5" t="n">
        <v>0.5</v>
      </c>
      <c r="K169" s="5" t="n">
        <v>0.2</v>
      </c>
      <c r="L169" s="5">
        <f>K169*J169*I169*H169</f>
        <v/>
      </c>
      <c r="M169" s="5" t="inlineStr"/>
    </row>
    <row r="170">
      <c r="A170" s="5" t="n"/>
      <c r="B170" s="5" t="inlineStr">
        <is>
          <t>7</t>
        </is>
      </c>
      <c r="C170" s="5" t="inlineStr">
        <is>
          <t>E-G</t>
        </is>
      </c>
      <c r="D170" s="5" t="inlineStr">
        <is>
          <t>LG</t>
        </is>
      </c>
      <c r="G170" s="5" t="inlineStr">
        <is>
          <t>M3</t>
        </is>
      </c>
      <c r="H170" s="5" t="n">
        <v>1</v>
      </c>
      <c r="I170" s="5">
        <f>0.15+3.82</f>
        <v/>
      </c>
      <c r="J170" s="5" t="n">
        <v>0.5</v>
      </c>
      <c r="K170" s="5" t="n">
        <v>0.2</v>
      </c>
      <c r="L170" s="5">
        <f>K170*J170*I170*H170</f>
        <v/>
      </c>
      <c r="M170" s="5" t="inlineStr"/>
    </row>
    <row r="171">
      <c r="A171" s="6" t="inlineStr">
        <is>
          <t>total</t>
        </is>
      </c>
      <c r="M171" s="6">
        <f>SUM(L152:L170)</f>
        <v/>
      </c>
    </row>
    <row r="172">
      <c r="A172" s="5" t="inlineStr">
        <is>
          <t>pour chainage</t>
        </is>
      </c>
    </row>
    <row r="173">
      <c r="A173" s="2" t="inlineStr">
        <is>
          <t>axe</t>
        </is>
      </c>
      <c r="B173" s="2" t="inlineStr">
        <is>
          <t>fill</t>
        </is>
      </c>
      <c r="C173" s="2" t="inlineStr">
        <is>
          <t>Nom</t>
        </is>
      </c>
    </row>
    <row r="174">
      <c r="A174" s="5" t="n"/>
      <c r="B174" s="5" t="inlineStr">
        <is>
          <t>A</t>
        </is>
      </c>
      <c r="C174" s="5" t="inlineStr">
        <is>
          <t>1-2</t>
        </is>
      </c>
      <c r="D174" s="5" t="inlineStr">
        <is>
          <t>CH</t>
        </is>
      </c>
      <c r="G174" s="5" t="inlineStr">
        <is>
          <t>M3</t>
        </is>
      </c>
      <c r="H174" s="5" t="n">
        <v>1</v>
      </c>
      <c r="I174" s="5" t="n">
        <v>2.48</v>
      </c>
      <c r="J174" s="5" t="n">
        <v>0.4</v>
      </c>
      <c r="K174" s="5" t="n">
        <v>0.2</v>
      </c>
      <c r="L174" s="5">
        <f>K174*J174*I174*H174</f>
        <v/>
      </c>
      <c r="M174" s="5" t="inlineStr"/>
    </row>
    <row r="175">
      <c r="A175" s="5" t="n"/>
      <c r="B175" s="5" t="inlineStr">
        <is>
          <t>A</t>
        </is>
      </c>
      <c r="C175" s="5" t="inlineStr">
        <is>
          <t>2-4</t>
        </is>
      </c>
      <c r="D175" s="5" t="inlineStr">
        <is>
          <t>CH</t>
        </is>
      </c>
      <c r="G175" s="5" t="inlineStr">
        <is>
          <t>M3</t>
        </is>
      </c>
      <c r="H175" s="5" t="n">
        <v>1</v>
      </c>
      <c r="I175" s="5" t="n">
        <v>7.25</v>
      </c>
      <c r="J175" s="5" t="n">
        <v>0.4</v>
      </c>
      <c r="K175" s="5" t="n">
        <v>0.2</v>
      </c>
      <c r="L175" s="5">
        <f>K175*J175*I175*H175</f>
        <v/>
      </c>
      <c r="M175" s="5" t="inlineStr"/>
    </row>
    <row r="176">
      <c r="A176" s="5" t="n"/>
      <c r="B176" s="5" t="inlineStr">
        <is>
          <t>A</t>
        </is>
      </c>
      <c r="C176" s="5" t="inlineStr">
        <is>
          <t>4-5</t>
        </is>
      </c>
      <c r="D176" s="5" t="inlineStr">
        <is>
          <t>CH</t>
        </is>
      </c>
      <c r="G176" s="5" t="inlineStr">
        <is>
          <t>M3</t>
        </is>
      </c>
      <c r="H176" s="5" t="n">
        <v>1</v>
      </c>
      <c r="I176" s="5" t="n">
        <v>2.38</v>
      </c>
      <c r="J176" s="5" t="n">
        <v>0.4</v>
      </c>
      <c r="K176" s="5" t="n">
        <v>0.2</v>
      </c>
      <c r="L176" s="5">
        <f>K176*J176*I176*H176</f>
        <v/>
      </c>
      <c r="M176" s="5" t="inlineStr"/>
    </row>
    <row r="177">
      <c r="A177" s="5" t="n"/>
      <c r="B177" s="5" t="inlineStr">
        <is>
          <t>A</t>
        </is>
      </c>
      <c r="C177" s="5" t="inlineStr">
        <is>
          <t>5-6</t>
        </is>
      </c>
      <c r="D177" s="5" t="inlineStr">
        <is>
          <t>CH</t>
        </is>
      </c>
      <c r="G177" s="5" t="inlineStr">
        <is>
          <t>M3</t>
        </is>
      </c>
      <c r="H177" s="5" t="n">
        <v>1</v>
      </c>
      <c r="I177" s="5" t="n">
        <v>4.78</v>
      </c>
      <c r="J177" s="5" t="n">
        <v>0.4</v>
      </c>
      <c r="K177" s="5" t="n">
        <v>0.2</v>
      </c>
      <c r="L177" s="5">
        <f>K177*J177*I177*H177</f>
        <v/>
      </c>
      <c r="M177" s="5" t="inlineStr"/>
    </row>
    <row r="178">
      <c r="A178" s="5" t="n"/>
      <c r="B178" s="5" t="inlineStr">
        <is>
          <t>A</t>
        </is>
      </c>
      <c r="C178" s="5" t="inlineStr">
        <is>
          <t>6-7</t>
        </is>
      </c>
      <c r="D178" s="5" t="inlineStr">
        <is>
          <t>CH</t>
        </is>
      </c>
      <c r="G178" s="5" t="inlineStr">
        <is>
          <t>M3</t>
        </is>
      </c>
      <c r="H178" s="5" t="n">
        <v>1</v>
      </c>
      <c r="I178" s="5" t="n">
        <v>2.65</v>
      </c>
      <c r="J178" s="5" t="n">
        <v>0.4</v>
      </c>
      <c r="K178" s="5" t="n">
        <v>0.2</v>
      </c>
      <c r="L178" s="5">
        <f>K178*J178*I178*H178</f>
        <v/>
      </c>
      <c r="M178" s="5" t="inlineStr"/>
    </row>
    <row r="179">
      <c r="A179" s="5" t="n"/>
      <c r="B179" s="5" t="inlineStr">
        <is>
          <t>A</t>
        </is>
      </c>
      <c r="C179" s="5" t="inlineStr">
        <is>
          <t>7-8</t>
        </is>
      </c>
      <c r="D179" s="5" t="inlineStr">
        <is>
          <t>CH</t>
        </is>
      </c>
      <c r="G179" s="5" t="inlineStr">
        <is>
          <t>M3</t>
        </is>
      </c>
      <c r="H179" s="5" t="n">
        <v>1</v>
      </c>
      <c r="I179" s="5" t="n">
        <v>4.6</v>
      </c>
      <c r="J179" s="5" t="n">
        <v>0.4</v>
      </c>
      <c r="K179" s="5" t="n">
        <v>0.2</v>
      </c>
      <c r="L179" s="5">
        <f>K179*J179*I179*H179</f>
        <v/>
      </c>
      <c r="M179" s="5" t="inlineStr"/>
    </row>
    <row r="180">
      <c r="A180" s="5" t="n"/>
      <c r="B180" s="5" t="inlineStr">
        <is>
          <t>G</t>
        </is>
      </c>
      <c r="C180" s="5" t="inlineStr">
        <is>
          <t>1-2</t>
        </is>
      </c>
      <c r="D180" s="5" t="inlineStr">
        <is>
          <t>CH</t>
        </is>
      </c>
      <c r="G180" s="5" t="inlineStr">
        <is>
          <t>M3</t>
        </is>
      </c>
      <c r="H180" s="5" t="n">
        <v>1</v>
      </c>
      <c r="I180" s="5" t="n">
        <v>2.48</v>
      </c>
      <c r="J180" s="5" t="n">
        <v>0.4</v>
      </c>
      <c r="K180" s="5" t="n">
        <v>0.2</v>
      </c>
      <c r="L180" s="5">
        <f>K180*J180*I180*H180</f>
        <v/>
      </c>
      <c r="M180" s="5" t="inlineStr"/>
    </row>
    <row r="181">
      <c r="A181" s="5" t="n"/>
      <c r="B181" s="5" t="inlineStr">
        <is>
          <t>G</t>
        </is>
      </c>
      <c r="C181" s="5" t="inlineStr">
        <is>
          <t>2-4</t>
        </is>
      </c>
      <c r="D181" s="5" t="inlineStr">
        <is>
          <t>CH</t>
        </is>
      </c>
      <c r="G181" s="5" t="inlineStr">
        <is>
          <t>M3</t>
        </is>
      </c>
      <c r="H181" s="5" t="n">
        <v>1</v>
      </c>
      <c r="I181" s="5" t="n">
        <v>7.25</v>
      </c>
      <c r="J181" s="5" t="n">
        <v>0.4</v>
      </c>
      <c r="K181" s="5" t="n">
        <v>0.2</v>
      </c>
      <c r="L181" s="5">
        <f>K181*J181*I181*H181</f>
        <v/>
      </c>
      <c r="M181" s="5" t="inlineStr"/>
    </row>
    <row r="182">
      <c r="A182" s="5" t="n"/>
      <c r="B182" s="5" t="inlineStr">
        <is>
          <t>G</t>
        </is>
      </c>
      <c r="C182" s="5" t="inlineStr">
        <is>
          <t>4-5</t>
        </is>
      </c>
      <c r="D182" s="5" t="inlineStr">
        <is>
          <t>CH</t>
        </is>
      </c>
      <c r="G182" s="5" t="inlineStr">
        <is>
          <t>M3</t>
        </is>
      </c>
      <c r="H182" s="5" t="n">
        <v>1</v>
      </c>
      <c r="I182" s="5" t="n">
        <v>2.38</v>
      </c>
      <c r="J182" s="5" t="n">
        <v>0.4</v>
      </c>
      <c r="K182" s="5" t="n">
        <v>0.2</v>
      </c>
      <c r="L182" s="5">
        <f>K182*J182*I182*H182</f>
        <v/>
      </c>
      <c r="M182" s="5" t="inlineStr"/>
    </row>
    <row r="183">
      <c r="A183" s="5" t="n"/>
      <c r="B183" s="5" t="inlineStr">
        <is>
          <t>G</t>
        </is>
      </c>
      <c r="C183" s="5" t="inlineStr">
        <is>
          <t>5-6</t>
        </is>
      </c>
      <c r="D183" s="5" t="inlineStr">
        <is>
          <t>CH</t>
        </is>
      </c>
      <c r="G183" s="5" t="inlineStr">
        <is>
          <t>M3</t>
        </is>
      </c>
      <c r="H183" s="5" t="n">
        <v>1</v>
      </c>
      <c r="I183" s="5" t="n">
        <v>4.78</v>
      </c>
      <c r="J183" s="5" t="n">
        <v>0.4</v>
      </c>
      <c r="K183" s="5" t="n">
        <v>0.2</v>
      </c>
      <c r="L183" s="5">
        <f>K183*J183*I183*H183</f>
        <v/>
      </c>
      <c r="M183" s="5" t="inlineStr"/>
    </row>
    <row r="184">
      <c r="A184" s="5" t="n"/>
      <c r="B184" s="5" t="inlineStr">
        <is>
          <t>G</t>
        </is>
      </c>
      <c r="C184" s="5" t="inlineStr">
        <is>
          <t>6-7</t>
        </is>
      </c>
      <c r="D184" s="5" t="inlineStr">
        <is>
          <t>CH</t>
        </is>
      </c>
      <c r="G184" s="5" t="inlineStr">
        <is>
          <t>M3</t>
        </is>
      </c>
      <c r="H184" s="5" t="n">
        <v>1</v>
      </c>
      <c r="I184" s="5" t="n">
        <v>2.65</v>
      </c>
      <c r="J184" s="5" t="n">
        <v>0.4</v>
      </c>
      <c r="K184" s="5" t="n">
        <v>0.2</v>
      </c>
      <c r="L184" s="5">
        <f>K184*J184*I184*H184</f>
        <v/>
      </c>
      <c r="M184" s="5" t="inlineStr"/>
    </row>
    <row r="185">
      <c r="A185" s="5" t="n"/>
      <c r="B185" s="5" t="inlineStr">
        <is>
          <t>G</t>
        </is>
      </c>
      <c r="C185" s="5" t="inlineStr">
        <is>
          <t>7-8</t>
        </is>
      </c>
      <c r="D185" s="5" t="inlineStr">
        <is>
          <t>CH</t>
        </is>
      </c>
      <c r="G185" s="5" t="inlineStr">
        <is>
          <t>M3</t>
        </is>
      </c>
      <c r="H185" s="5" t="n">
        <v>1</v>
      </c>
      <c r="I185" s="5" t="n">
        <v>4.6</v>
      </c>
      <c r="J185" s="5" t="n">
        <v>0.4</v>
      </c>
      <c r="K185" s="5" t="n">
        <v>0.2</v>
      </c>
      <c r="L185" s="5">
        <f>K185*J185*I185*H185</f>
        <v/>
      </c>
      <c r="M185" s="5" t="inlineStr"/>
    </row>
    <row r="186">
      <c r="A186" s="5" t="n"/>
      <c r="B186" s="5" t="inlineStr">
        <is>
          <t>1</t>
        </is>
      </c>
      <c r="C186" s="5" t="inlineStr">
        <is>
          <t>A-D</t>
        </is>
      </c>
      <c r="D186" s="5" t="inlineStr">
        <is>
          <t>CH</t>
        </is>
      </c>
      <c r="G186" s="5" t="inlineStr">
        <is>
          <t>M3</t>
        </is>
      </c>
      <c r="H186" s="5" t="n">
        <v>1</v>
      </c>
      <c r="I186" s="5">
        <f>3.82+0.4+0.82</f>
        <v/>
      </c>
      <c r="J186" s="5" t="n">
        <v>0.4</v>
      </c>
      <c r="K186" s="5" t="n">
        <v>0.2</v>
      </c>
      <c r="L186" s="5">
        <f>K186*J186*I186*H186</f>
        <v/>
      </c>
      <c r="M186" s="5" t="inlineStr"/>
    </row>
    <row r="187">
      <c r="A187" s="5" t="n"/>
      <c r="B187" s="5" t="inlineStr">
        <is>
          <t>1</t>
        </is>
      </c>
      <c r="C187" s="5" t="inlineStr">
        <is>
          <t>D-G</t>
        </is>
      </c>
      <c r="D187" s="5" t="inlineStr">
        <is>
          <t>CH</t>
        </is>
      </c>
      <c r="G187" s="5" t="inlineStr">
        <is>
          <t>M3</t>
        </is>
      </c>
      <c r="H187" s="5" t="n">
        <v>1</v>
      </c>
      <c r="I187" s="5">
        <f>1.08+0.15+3.82</f>
        <v/>
      </c>
      <c r="J187" s="5" t="n">
        <v>0.4</v>
      </c>
      <c r="K187" s="5" t="n">
        <v>0.2</v>
      </c>
      <c r="L187" s="5">
        <f>K187*J187*I187*H187</f>
        <v/>
      </c>
      <c r="M187" s="5" t="inlineStr"/>
    </row>
    <row r="188">
      <c r="A188" s="5" t="n"/>
      <c r="B188" s="5" t="inlineStr">
        <is>
          <t>8</t>
        </is>
      </c>
      <c r="C188" s="5" t="inlineStr">
        <is>
          <t>A-C</t>
        </is>
      </c>
      <c r="D188" s="5" t="inlineStr">
        <is>
          <t>CH</t>
        </is>
      </c>
      <c r="G188" s="5" t="inlineStr">
        <is>
          <t>M3</t>
        </is>
      </c>
      <c r="H188" s="5" t="n">
        <v>1</v>
      </c>
      <c r="I188" s="5">
        <f>3.82+0.4</f>
        <v/>
      </c>
      <c r="J188" s="5" t="n">
        <v>0.4</v>
      </c>
      <c r="K188" s="5" t="n">
        <v>0.2</v>
      </c>
      <c r="L188" s="5">
        <f>K188*J188*I188*H188</f>
        <v/>
      </c>
      <c r="M188" s="5" t="inlineStr"/>
    </row>
    <row r="189">
      <c r="A189" s="5" t="n"/>
      <c r="B189" s="5" t="inlineStr">
        <is>
          <t>8</t>
        </is>
      </c>
      <c r="C189" s="5" t="inlineStr">
        <is>
          <t>C-E</t>
        </is>
      </c>
      <c r="D189" s="5" t="inlineStr">
        <is>
          <t>CH</t>
        </is>
      </c>
      <c r="G189" s="5" t="inlineStr">
        <is>
          <t>M3</t>
        </is>
      </c>
      <c r="H189" s="5" t="n">
        <v>1</v>
      </c>
      <c r="I189" s="5">
        <f>0.82+1.08</f>
        <v/>
      </c>
      <c r="J189" s="5" t="n">
        <v>0.4</v>
      </c>
      <c r="K189" s="5" t="n">
        <v>0.2</v>
      </c>
      <c r="L189" s="5">
        <f>K189*J189*I189*H189</f>
        <v/>
      </c>
      <c r="M189" s="5" t="inlineStr"/>
    </row>
    <row r="190">
      <c r="A190" s="5" t="n"/>
      <c r="B190" s="5" t="inlineStr">
        <is>
          <t>8</t>
        </is>
      </c>
      <c r="C190" s="5" t="inlineStr">
        <is>
          <t>E-G</t>
        </is>
      </c>
      <c r="D190" s="5" t="inlineStr">
        <is>
          <t>CH</t>
        </is>
      </c>
      <c r="G190" s="5" t="inlineStr">
        <is>
          <t>M3</t>
        </is>
      </c>
      <c r="H190" s="5" t="n">
        <v>1</v>
      </c>
      <c r="I190" s="5">
        <f>0.15+3.82</f>
        <v/>
      </c>
      <c r="J190" s="5" t="n">
        <v>0.4</v>
      </c>
      <c r="K190" s="5" t="n">
        <v>0.2</v>
      </c>
      <c r="L190" s="5">
        <f>K190*J190*I190*H190</f>
        <v/>
      </c>
      <c r="M190" s="5" t="inlineStr"/>
    </row>
    <row r="191">
      <c r="A191" s="6" t="inlineStr">
        <is>
          <t>total</t>
        </is>
      </c>
      <c r="M191" s="6">
        <f>SUM(L174:L190)</f>
        <v/>
      </c>
    </row>
    <row r="192">
      <c r="A192" s="5" t="inlineStr">
        <is>
          <t>fût des poteaux</t>
        </is>
      </c>
    </row>
    <row r="193">
      <c r="B193" s="2" t="inlineStr">
        <is>
          <t>axe</t>
        </is>
      </c>
      <c r="C193" s="2" t="inlineStr">
        <is>
          <t>fill</t>
        </is>
      </c>
      <c r="D193" s="2" t="inlineStr">
        <is>
          <t>Nom</t>
        </is>
      </c>
    </row>
    <row r="194">
      <c r="A194" s="5" t="n"/>
      <c r="B194" s="5" t="inlineStr">
        <is>
          <t>A</t>
        </is>
      </c>
      <c r="C194" s="5" t="inlineStr">
        <is>
          <t>1</t>
        </is>
      </c>
      <c r="D194" s="5" t="inlineStr">
        <is>
          <t>P3</t>
        </is>
      </c>
      <c r="G194" s="5" t="inlineStr">
        <is>
          <t>M3</t>
        </is>
      </c>
      <c r="H194" s="5" t="n">
        <v>1</v>
      </c>
      <c r="I194" s="5" t="n">
        <v>0.3</v>
      </c>
      <c r="J194" s="5" t="n">
        <v>0.3</v>
      </c>
      <c r="K194" s="5">
        <f>$N$14-0.13-0.1-0.25</f>
        <v/>
      </c>
      <c r="L194" s="5">
        <f>K194*J194*I194*H194</f>
        <v/>
      </c>
      <c r="M194" s="5" t="inlineStr"/>
    </row>
    <row r="195">
      <c r="A195" s="5" t="n"/>
      <c r="B195" s="5" t="inlineStr">
        <is>
          <t>A</t>
        </is>
      </c>
      <c r="C195" s="5" t="inlineStr">
        <is>
          <t>2</t>
        </is>
      </c>
      <c r="D195" s="5" t="inlineStr">
        <is>
          <t>P2</t>
        </is>
      </c>
      <c r="G195" s="5" t="inlineStr">
        <is>
          <t>M3</t>
        </is>
      </c>
      <c r="H195" s="5" t="n">
        <v>1</v>
      </c>
      <c r="I195" s="5" t="n">
        <v>0.4</v>
      </c>
      <c r="J195" s="5" t="n">
        <v>0.4</v>
      </c>
      <c r="K195" s="5">
        <f>$N$14-0.13-0.1-0.25</f>
        <v/>
      </c>
      <c r="L195" s="5">
        <f>K195*J195*I195*H195</f>
        <v/>
      </c>
      <c r="M195" s="5" t="inlineStr"/>
    </row>
    <row r="196">
      <c r="A196" s="5" t="n"/>
      <c r="B196" s="5" t="inlineStr">
        <is>
          <t>A</t>
        </is>
      </c>
      <c r="C196" s="5" t="inlineStr">
        <is>
          <t>4</t>
        </is>
      </c>
      <c r="D196" s="5" t="inlineStr">
        <is>
          <t>P2</t>
        </is>
      </c>
      <c r="G196" s="5" t="inlineStr">
        <is>
          <t>M3</t>
        </is>
      </c>
      <c r="H196" s="5" t="n">
        <v>1</v>
      </c>
      <c r="I196" s="5" t="n">
        <v>0.4</v>
      </c>
      <c r="J196" s="5" t="n">
        <v>0.4</v>
      </c>
      <c r="K196" s="5">
        <f>$N$14-0.13-0.1-0.25</f>
        <v/>
      </c>
      <c r="L196" s="5">
        <f>K196*J196*I196*H196</f>
        <v/>
      </c>
      <c r="M196" s="5" t="inlineStr"/>
    </row>
    <row r="197">
      <c r="A197" s="5" t="n"/>
      <c r="B197" s="5" t="inlineStr">
        <is>
          <t>A</t>
        </is>
      </c>
      <c r="C197" s="5" t="inlineStr">
        <is>
          <t>5</t>
        </is>
      </c>
      <c r="D197" s="5" t="inlineStr">
        <is>
          <t>P3</t>
        </is>
      </c>
      <c r="G197" s="5" t="inlineStr">
        <is>
          <t>M3</t>
        </is>
      </c>
      <c r="H197" s="5" t="n">
        <v>1</v>
      </c>
      <c r="I197" s="5" t="n">
        <v>0.3</v>
      </c>
      <c r="J197" s="5" t="n">
        <v>0.3</v>
      </c>
      <c r="K197" s="5">
        <f>$N$14-0.13-0.1-0.25</f>
        <v/>
      </c>
      <c r="L197" s="5">
        <f>K197*J197*I197*H197</f>
        <v/>
      </c>
      <c r="M197" s="5" t="inlineStr"/>
    </row>
    <row r="198">
      <c r="A198" s="5" t="n"/>
      <c r="B198" s="5" t="inlineStr">
        <is>
          <t>A</t>
        </is>
      </c>
      <c r="C198" s="5" t="inlineStr">
        <is>
          <t>6</t>
        </is>
      </c>
      <c r="D198" s="5" t="inlineStr">
        <is>
          <t>P1</t>
        </is>
      </c>
      <c r="G198" s="5" t="inlineStr">
        <is>
          <t>M3</t>
        </is>
      </c>
      <c r="H198" s="5" t="n">
        <v>1</v>
      </c>
      <c r="I198" s="5" t="n">
        <v>0.25</v>
      </c>
      <c r="J198" s="5" t="n">
        <v>0.35</v>
      </c>
      <c r="K198" s="5">
        <f>$N$14-0.13-0.1-0.25</f>
        <v/>
      </c>
      <c r="L198" s="5">
        <f>K198*J198*I198*H198</f>
        <v/>
      </c>
      <c r="M198" s="5" t="inlineStr"/>
    </row>
    <row r="199">
      <c r="A199" s="5" t="n"/>
      <c r="B199" s="5" t="inlineStr">
        <is>
          <t>A</t>
        </is>
      </c>
      <c r="C199" s="5" t="inlineStr">
        <is>
          <t>7</t>
        </is>
      </c>
      <c r="D199" s="5" t="inlineStr">
        <is>
          <t>P1</t>
        </is>
      </c>
      <c r="G199" s="5" t="inlineStr">
        <is>
          <t>M3</t>
        </is>
      </c>
      <c r="H199" s="5" t="n">
        <v>1</v>
      </c>
      <c r="I199" s="5" t="n">
        <v>0.25</v>
      </c>
      <c r="J199" s="5" t="n">
        <v>0.35</v>
      </c>
      <c r="K199" s="5">
        <f>$N$14-0.13-0.1-0.25</f>
        <v/>
      </c>
      <c r="L199" s="5">
        <f>K199*J199*I199*H199</f>
        <v/>
      </c>
      <c r="M199" s="5" t="inlineStr"/>
    </row>
    <row r="200">
      <c r="A200" s="5" t="n"/>
      <c r="B200" s="5" t="inlineStr">
        <is>
          <t>A</t>
        </is>
      </c>
      <c r="C200" s="5" t="inlineStr">
        <is>
          <t>8</t>
        </is>
      </c>
      <c r="D200" s="5" t="inlineStr">
        <is>
          <t>P1</t>
        </is>
      </c>
      <c r="G200" s="5" t="inlineStr">
        <is>
          <t>M3</t>
        </is>
      </c>
      <c r="H200" s="5" t="n">
        <v>1</v>
      </c>
      <c r="I200" s="5" t="n">
        <v>0.25</v>
      </c>
      <c r="J200" s="5" t="n">
        <v>0.35</v>
      </c>
      <c r="K200" s="5">
        <f>$N$14-0.13-0.1-0.25</f>
        <v/>
      </c>
      <c r="L200" s="5">
        <f>K200*J200*I200*H200</f>
        <v/>
      </c>
      <c r="M200" s="5" t="inlineStr"/>
    </row>
    <row r="201">
      <c r="A201" s="5" t="n"/>
      <c r="B201" s="5" t="inlineStr">
        <is>
          <t>B</t>
        </is>
      </c>
      <c r="C201" s="5" t="inlineStr">
        <is>
          <t>5</t>
        </is>
      </c>
      <c r="D201" s="5" t="inlineStr">
        <is>
          <t>P4</t>
        </is>
      </c>
      <c r="G201" s="5" t="inlineStr">
        <is>
          <t>M3</t>
        </is>
      </c>
      <c r="H201" s="5" t="n">
        <v>1</v>
      </c>
      <c r="I201" s="5" t="n">
        <v>0.35</v>
      </c>
      <c r="J201" s="5" t="n">
        <v>0.35</v>
      </c>
      <c r="K201" s="5">
        <f>$N$14-0.13-0.1-0.25</f>
        <v/>
      </c>
      <c r="L201" s="5">
        <f>K201*J201*I201*H201</f>
        <v/>
      </c>
      <c r="M201" s="5" t="inlineStr"/>
    </row>
    <row r="202">
      <c r="A202" s="5" t="n"/>
      <c r="B202" s="5" t="inlineStr">
        <is>
          <t>C</t>
        </is>
      </c>
      <c r="C202" s="5" t="inlineStr">
        <is>
          <t>6</t>
        </is>
      </c>
      <c r="D202" s="5" t="inlineStr">
        <is>
          <t>P1</t>
        </is>
      </c>
      <c r="G202" s="5" t="inlineStr">
        <is>
          <t>M3</t>
        </is>
      </c>
      <c r="H202" s="5" t="n">
        <v>1</v>
      </c>
      <c r="I202" s="5" t="n">
        <v>0.25</v>
      </c>
      <c r="J202" s="5" t="n">
        <v>0.35</v>
      </c>
      <c r="K202" s="5">
        <f>$N$14-0.13-0.1-0.25</f>
        <v/>
      </c>
      <c r="L202" s="5">
        <f>K202*J202*I202*H202</f>
        <v/>
      </c>
      <c r="M202" s="5" t="inlineStr"/>
    </row>
    <row r="203">
      <c r="A203" s="5" t="n"/>
      <c r="B203" s="5" t="inlineStr">
        <is>
          <t>C</t>
        </is>
      </c>
      <c r="C203" s="5" t="inlineStr">
        <is>
          <t>7</t>
        </is>
      </c>
      <c r="D203" s="5" t="inlineStr">
        <is>
          <t>P1</t>
        </is>
      </c>
      <c r="G203" s="5" t="inlineStr">
        <is>
          <t>M3</t>
        </is>
      </c>
      <c r="H203" s="5" t="n">
        <v>1</v>
      </c>
      <c r="I203" s="5" t="n">
        <v>0.25</v>
      </c>
      <c r="J203" s="5" t="n">
        <v>0.35</v>
      </c>
      <c r="K203" s="5">
        <f>$N$14-0.13-0.1-0.25</f>
        <v/>
      </c>
      <c r="L203" s="5">
        <f>K203*J203*I203*H203</f>
        <v/>
      </c>
      <c r="M203" s="5" t="inlineStr"/>
    </row>
    <row r="204">
      <c r="A204" s="5" t="n"/>
      <c r="B204" s="5" t="inlineStr">
        <is>
          <t>C</t>
        </is>
      </c>
      <c r="C204" s="5" t="inlineStr">
        <is>
          <t>8</t>
        </is>
      </c>
      <c r="D204" s="5" t="inlineStr">
        <is>
          <t>P1</t>
        </is>
      </c>
      <c r="G204" s="5" t="inlineStr">
        <is>
          <t>M3</t>
        </is>
      </c>
      <c r="H204" s="5" t="n">
        <v>1</v>
      </c>
      <c r="I204" s="5" t="n">
        <v>0.25</v>
      </c>
      <c r="J204" s="5" t="n">
        <v>0.35</v>
      </c>
      <c r="K204" s="5">
        <f>$N$14-0.13-0.1-0.25</f>
        <v/>
      </c>
      <c r="L204" s="5">
        <f>K204*J204*I204*H204</f>
        <v/>
      </c>
      <c r="M204" s="5" t="inlineStr"/>
    </row>
    <row r="205">
      <c r="A205" s="5" t="n"/>
      <c r="B205" s="5" t="inlineStr">
        <is>
          <t>D</t>
        </is>
      </c>
      <c r="C205" s="5" t="inlineStr">
        <is>
          <t>1</t>
        </is>
      </c>
      <c r="D205" s="5" t="inlineStr">
        <is>
          <t>P2</t>
        </is>
      </c>
      <c r="G205" s="5" t="inlineStr">
        <is>
          <t>M3</t>
        </is>
      </c>
      <c r="H205" s="5" t="n">
        <v>1</v>
      </c>
      <c r="I205" s="5" t="n">
        <v>0.4</v>
      </c>
      <c r="J205" s="5" t="n">
        <v>0.4</v>
      </c>
      <c r="K205" s="5">
        <f>$N$14-0.13-0.1-0.25</f>
        <v/>
      </c>
      <c r="L205" s="5">
        <f>K205*J205*I205*H205</f>
        <v/>
      </c>
      <c r="M205" s="5" t="inlineStr"/>
    </row>
    <row r="206">
      <c r="A206" s="5" t="n"/>
      <c r="B206" s="5" t="inlineStr">
        <is>
          <t>E</t>
        </is>
      </c>
      <c r="C206" s="5" t="inlineStr">
        <is>
          <t>6</t>
        </is>
      </c>
      <c r="D206" s="5" t="inlineStr">
        <is>
          <t>P1</t>
        </is>
      </c>
      <c r="G206" s="5" t="inlineStr">
        <is>
          <t>M3</t>
        </is>
      </c>
      <c r="H206" s="5" t="n">
        <v>1</v>
      </c>
      <c r="I206" s="5" t="n">
        <v>0.25</v>
      </c>
      <c r="J206" s="5" t="n">
        <v>0.35</v>
      </c>
      <c r="K206" s="5">
        <f>$N$14-0.13-0.1-0.25</f>
        <v/>
      </c>
      <c r="L206" s="5">
        <f>K206*J206*I206*H206</f>
        <v/>
      </c>
      <c r="M206" s="5" t="inlineStr"/>
    </row>
    <row r="207">
      <c r="A207" s="5" t="n"/>
      <c r="B207" s="5" t="inlineStr">
        <is>
          <t>E</t>
        </is>
      </c>
      <c r="C207" s="5" t="inlineStr">
        <is>
          <t>7</t>
        </is>
      </c>
      <c r="D207" s="5" t="inlineStr">
        <is>
          <t>P1</t>
        </is>
      </c>
      <c r="G207" s="5" t="inlineStr">
        <is>
          <t>M3</t>
        </is>
      </c>
      <c r="H207" s="5" t="n">
        <v>1</v>
      </c>
      <c r="I207" s="5" t="n">
        <v>0.25</v>
      </c>
      <c r="J207" s="5" t="n">
        <v>0.35</v>
      </c>
      <c r="K207" s="5">
        <f>$N$14-0.13-0.1-0.25</f>
        <v/>
      </c>
      <c r="L207" s="5">
        <f>K207*J207*I207*H207</f>
        <v/>
      </c>
      <c r="M207" s="5" t="inlineStr"/>
    </row>
    <row r="208">
      <c r="A208" s="5" t="n"/>
      <c r="B208" s="5" t="inlineStr">
        <is>
          <t>E</t>
        </is>
      </c>
      <c r="C208" s="5" t="inlineStr">
        <is>
          <t>8</t>
        </is>
      </c>
      <c r="D208" s="5" t="inlineStr">
        <is>
          <t>P1</t>
        </is>
      </c>
      <c r="G208" s="5" t="inlineStr">
        <is>
          <t>M3</t>
        </is>
      </c>
      <c r="H208" s="5" t="n">
        <v>1</v>
      </c>
      <c r="I208" s="5" t="n">
        <v>0.25</v>
      </c>
      <c r="J208" s="5" t="n">
        <v>0.35</v>
      </c>
      <c r="K208" s="5">
        <f>$N$14-0.13-0.1-0.25</f>
        <v/>
      </c>
      <c r="L208" s="5">
        <f>K208*J208*I208*H208</f>
        <v/>
      </c>
      <c r="M208" s="5" t="inlineStr"/>
    </row>
    <row r="209">
      <c r="A209" s="5" t="n"/>
      <c r="B209" s="5" t="inlineStr">
        <is>
          <t>F</t>
        </is>
      </c>
      <c r="C209" s="5" t="inlineStr">
        <is>
          <t>5</t>
        </is>
      </c>
      <c r="D209" s="5" t="inlineStr">
        <is>
          <t>P4</t>
        </is>
      </c>
      <c r="G209" s="5" t="inlineStr">
        <is>
          <t>M3</t>
        </is>
      </c>
      <c r="H209" s="5" t="n">
        <v>1</v>
      </c>
      <c r="I209" s="5" t="n">
        <v>0.35</v>
      </c>
      <c r="J209" s="5" t="n">
        <v>0.35</v>
      </c>
      <c r="K209" s="5">
        <f>$N$14-0.13-0.1-0.25</f>
        <v/>
      </c>
      <c r="L209" s="5">
        <f>K209*J209*I209*H209</f>
        <v/>
      </c>
      <c r="M209" s="5" t="inlineStr"/>
    </row>
    <row r="210">
      <c r="A210" s="5" t="n"/>
      <c r="B210" s="5" t="inlineStr">
        <is>
          <t>G</t>
        </is>
      </c>
      <c r="C210" s="5" t="inlineStr">
        <is>
          <t>1</t>
        </is>
      </c>
      <c r="D210" s="5" t="inlineStr">
        <is>
          <t>P3</t>
        </is>
      </c>
      <c r="G210" s="5" t="inlineStr">
        <is>
          <t>M3</t>
        </is>
      </c>
      <c r="H210" s="5" t="n">
        <v>1</v>
      </c>
      <c r="I210" s="5" t="n">
        <v>0.3</v>
      </c>
      <c r="J210" s="5" t="n">
        <v>0.3</v>
      </c>
      <c r="K210" s="5">
        <f>$N$14-0.13-0.1-0.25</f>
        <v/>
      </c>
      <c r="L210" s="5">
        <f>K210*J210*I210*H210</f>
        <v/>
      </c>
      <c r="M210" s="5" t="inlineStr"/>
    </row>
    <row r="211">
      <c r="A211" s="5" t="n"/>
      <c r="B211" s="5" t="inlineStr">
        <is>
          <t>G</t>
        </is>
      </c>
      <c r="C211" s="5" t="inlineStr">
        <is>
          <t>2</t>
        </is>
      </c>
      <c r="D211" s="5" t="inlineStr">
        <is>
          <t>P2</t>
        </is>
      </c>
      <c r="G211" s="5" t="inlineStr">
        <is>
          <t>M3</t>
        </is>
      </c>
      <c r="H211" s="5" t="n">
        <v>1</v>
      </c>
      <c r="I211" s="5" t="n">
        <v>0.4</v>
      </c>
      <c r="J211" s="5" t="n">
        <v>0.4</v>
      </c>
      <c r="K211" s="5">
        <f>$N$14-0.13-0.1-0.25</f>
        <v/>
      </c>
      <c r="L211" s="5">
        <f>K211*J211*I211*H211</f>
        <v/>
      </c>
      <c r="M211" s="5" t="inlineStr"/>
    </row>
    <row r="212">
      <c r="A212" s="5" t="n"/>
      <c r="B212" s="5" t="inlineStr">
        <is>
          <t>G</t>
        </is>
      </c>
      <c r="C212" s="5" t="inlineStr">
        <is>
          <t>3</t>
        </is>
      </c>
      <c r="D212" s="5" t="inlineStr">
        <is>
          <t>P2</t>
        </is>
      </c>
      <c r="G212" s="5" t="inlineStr">
        <is>
          <t>M3</t>
        </is>
      </c>
      <c r="H212" s="5" t="n">
        <v>1</v>
      </c>
      <c r="I212" s="5" t="n">
        <v>0.4</v>
      </c>
      <c r="J212" s="5" t="n">
        <v>0.4</v>
      </c>
      <c r="K212" s="5">
        <f>$N$14-0.13-0.1-0.25</f>
        <v/>
      </c>
      <c r="L212" s="5">
        <f>K212*J212*I212*H212</f>
        <v/>
      </c>
      <c r="M212" s="5" t="inlineStr"/>
    </row>
    <row r="213">
      <c r="A213" s="5" t="n"/>
      <c r="B213" s="5" t="inlineStr">
        <is>
          <t>G</t>
        </is>
      </c>
      <c r="C213" s="5" t="inlineStr">
        <is>
          <t>5</t>
        </is>
      </c>
      <c r="D213" s="5" t="inlineStr">
        <is>
          <t>P3</t>
        </is>
      </c>
      <c r="G213" s="5" t="inlineStr">
        <is>
          <t>M3</t>
        </is>
      </c>
      <c r="H213" s="5" t="n">
        <v>1</v>
      </c>
      <c r="I213" s="5" t="n">
        <v>0.3</v>
      </c>
      <c r="J213" s="5" t="n">
        <v>0.3</v>
      </c>
      <c r="K213" s="5">
        <f>$N$14-0.13-0.1-0.25</f>
        <v/>
      </c>
      <c r="L213" s="5">
        <f>K213*J213*I213*H213</f>
        <v/>
      </c>
      <c r="M213" s="5" t="inlineStr"/>
    </row>
    <row r="214">
      <c r="A214" s="5" t="n"/>
      <c r="B214" s="5" t="inlineStr">
        <is>
          <t>G</t>
        </is>
      </c>
      <c r="C214" s="5" t="inlineStr">
        <is>
          <t>6</t>
        </is>
      </c>
      <c r="D214" s="5" t="inlineStr">
        <is>
          <t>P1</t>
        </is>
      </c>
      <c r="G214" s="5" t="inlineStr">
        <is>
          <t>M3</t>
        </is>
      </c>
      <c r="H214" s="5" t="n">
        <v>1</v>
      </c>
      <c r="I214" s="5" t="n">
        <v>0.25</v>
      </c>
      <c r="J214" s="5" t="n">
        <v>0.35</v>
      </c>
      <c r="K214" s="5">
        <f>$N$14-0.13-0.1-0.25</f>
        <v/>
      </c>
      <c r="L214" s="5">
        <f>K214*J214*I214*H214</f>
        <v/>
      </c>
      <c r="M214" s="5" t="inlineStr"/>
    </row>
    <row r="215">
      <c r="A215" s="5" t="n"/>
      <c r="B215" s="5" t="inlineStr">
        <is>
          <t>G</t>
        </is>
      </c>
      <c r="C215" s="5" t="inlineStr">
        <is>
          <t>7</t>
        </is>
      </c>
      <c r="D215" s="5" t="inlineStr">
        <is>
          <t>P1</t>
        </is>
      </c>
      <c r="G215" s="5" t="inlineStr">
        <is>
          <t>M3</t>
        </is>
      </c>
      <c r="H215" s="5" t="n">
        <v>1</v>
      </c>
      <c r="I215" s="5" t="n">
        <v>0.25</v>
      </c>
      <c r="J215" s="5" t="n">
        <v>0.35</v>
      </c>
      <c r="K215" s="5">
        <f>$N$14-0.13-0.1-0.25</f>
        <v/>
      </c>
      <c r="L215" s="5">
        <f>K215*J215*I215*H215</f>
        <v/>
      </c>
      <c r="M215" s="5" t="inlineStr"/>
    </row>
    <row r="216">
      <c r="A216" s="5" t="n"/>
      <c r="B216" s="5" t="inlineStr">
        <is>
          <t>G</t>
        </is>
      </c>
      <c r="C216" s="5" t="inlineStr">
        <is>
          <t>8</t>
        </is>
      </c>
      <c r="D216" s="5" t="inlineStr">
        <is>
          <t>P1</t>
        </is>
      </c>
      <c r="G216" s="5" t="inlineStr">
        <is>
          <t>M3</t>
        </is>
      </c>
      <c r="H216" s="5" t="n">
        <v>1</v>
      </c>
      <c r="I216" s="5" t="n">
        <v>0.25</v>
      </c>
      <c r="J216" s="5" t="n">
        <v>0.35</v>
      </c>
      <c r="K216" s="5">
        <f>$N$14-0.13-0.1-0.25</f>
        <v/>
      </c>
      <c r="L216" s="5">
        <f>K216*J216*I216*H216</f>
        <v/>
      </c>
      <c r="M216" s="5" t="inlineStr"/>
    </row>
    <row r="217">
      <c r="A217" s="6" t="inlineStr">
        <is>
          <t>total</t>
        </is>
      </c>
      <c r="M217" s="6">
        <f>SUM(L194:L216)</f>
        <v/>
      </c>
    </row>
    <row r="218">
      <c r="A218" s="5" t="inlineStr">
        <is>
          <t>pour les massifs</t>
        </is>
      </c>
    </row>
    <row r="219">
      <c r="H219" s="5" t="n">
        <v>3</v>
      </c>
      <c r="I219" s="5" t="n">
        <v>0.5</v>
      </c>
      <c r="J219" s="5" t="n">
        <v>0.5</v>
      </c>
      <c r="K219" s="5" t="n">
        <v>0.5</v>
      </c>
      <c r="L219" s="5">
        <f>K219*J219*I219*H219</f>
        <v/>
      </c>
    </row>
    <row r="220">
      <c r="A220" s="6" t="inlineStr">
        <is>
          <t>total</t>
        </is>
      </c>
      <c r="M220" s="6">
        <f>SUM(L219:L219)</f>
        <v/>
      </c>
    </row>
    <row r="221">
      <c r="A221" s="5" t="inlineStr">
        <is>
          <t>poteaux (élévation)</t>
        </is>
      </c>
      <c r="N221" s="5" t="inlineStr"/>
    </row>
    <row r="222">
      <c r="B222" s="2" t="inlineStr">
        <is>
          <t>axe</t>
        </is>
      </c>
      <c r="C222" s="2" t="inlineStr">
        <is>
          <t>fill</t>
        </is>
      </c>
      <c r="D222" s="2" t="inlineStr">
        <is>
          <t>Nom</t>
        </is>
      </c>
    </row>
    <row r="223">
      <c r="A223" s="5" t="n"/>
      <c r="B223" s="5" t="inlineStr">
        <is>
          <t>A</t>
        </is>
      </c>
      <c r="C223" s="5" t="inlineStr">
        <is>
          <t>1</t>
        </is>
      </c>
      <c r="D223" s="5" t="inlineStr">
        <is>
          <t>P3</t>
        </is>
      </c>
      <c r="G223" s="5" t="inlineStr">
        <is>
          <t>M3</t>
        </is>
      </c>
      <c r="H223" s="5" t="n">
        <v>1</v>
      </c>
      <c r="I223" s="5" t="n">
        <v>0.3</v>
      </c>
      <c r="J223" s="5" t="n">
        <v>0.3</v>
      </c>
      <c r="K223" s="5" t="n">
        <v>6.8</v>
      </c>
      <c r="L223" s="5">
        <f>K223*J223*I223*H223</f>
        <v/>
      </c>
      <c r="M223" s="5" t="inlineStr"/>
    </row>
    <row r="224">
      <c r="A224" s="5" t="n"/>
      <c r="B224" s="5" t="inlineStr">
        <is>
          <t>A</t>
        </is>
      </c>
      <c r="C224" s="5" t="inlineStr">
        <is>
          <t>2</t>
        </is>
      </c>
      <c r="D224" s="5" t="inlineStr">
        <is>
          <t>P2</t>
        </is>
      </c>
      <c r="G224" s="5" t="inlineStr">
        <is>
          <t>M3</t>
        </is>
      </c>
      <c r="H224" s="5" t="n">
        <v>1</v>
      </c>
      <c r="I224" s="5" t="n">
        <v>0.4</v>
      </c>
      <c r="J224" s="5" t="n">
        <v>0.4</v>
      </c>
      <c r="K224" s="5" t="n">
        <v>6.8</v>
      </c>
      <c r="L224" s="5">
        <f>K224*J224*I224*H224</f>
        <v/>
      </c>
      <c r="M224" s="5" t="inlineStr"/>
    </row>
    <row r="225">
      <c r="A225" s="5" t="n"/>
      <c r="B225" s="5" t="inlineStr">
        <is>
          <t>A</t>
        </is>
      </c>
      <c r="C225" s="5" t="inlineStr">
        <is>
          <t>4</t>
        </is>
      </c>
      <c r="D225" s="5" t="inlineStr">
        <is>
          <t>P2</t>
        </is>
      </c>
      <c r="G225" s="5" t="inlineStr">
        <is>
          <t>M3</t>
        </is>
      </c>
      <c r="H225" s="5" t="n">
        <v>1</v>
      </c>
      <c r="I225" s="5" t="n">
        <v>0.4</v>
      </c>
      <c r="J225" s="5" t="n">
        <v>0.4</v>
      </c>
      <c r="K225" s="5" t="n">
        <v>6.8</v>
      </c>
      <c r="L225" s="5">
        <f>K225*J225*I225*H225</f>
        <v/>
      </c>
      <c r="M225" s="5" t="inlineStr"/>
    </row>
    <row r="226">
      <c r="A226" s="5" t="n"/>
      <c r="B226" s="5" t="inlineStr">
        <is>
          <t>A</t>
        </is>
      </c>
      <c r="C226" s="5" t="inlineStr">
        <is>
          <t>5</t>
        </is>
      </c>
      <c r="D226" s="5" t="inlineStr">
        <is>
          <t>P3</t>
        </is>
      </c>
      <c r="G226" s="5" t="inlineStr">
        <is>
          <t>M3</t>
        </is>
      </c>
      <c r="H226" s="5" t="n">
        <v>1</v>
      </c>
      <c r="I226" s="5" t="n">
        <v>0.3</v>
      </c>
      <c r="J226" s="5" t="n">
        <v>0.3</v>
      </c>
      <c r="K226" s="5" t="n">
        <v>6.8</v>
      </c>
      <c r="L226" s="5">
        <f>K226*J226*I226*H226</f>
        <v/>
      </c>
      <c r="M226" s="5" t="inlineStr"/>
    </row>
    <row r="227">
      <c r="A227" s="5" t="n"/>
      <c r="B227" s="5" t="inlineStr">
        <is>
          <t>A</t>
        </is>
      </c>
      <c r="C227" s="5" t="inlineStr">
        <is>
          <t>6</t>
        </is>
      </c>
      <c r="D227" s="5" t="inlineStr">
        <is>
          <t>P1</t>
        </is>
      </c>
      <c r="G227" s="5" t="inlineStr">
        <is>
          <t>M3</t>
        </is>
      </c>
      <c r="H227" s="5" t="n">
        <v>1</v>
      </c>
      <c r="I227" s="5" t="n">
        <v>0.25</v>
      </c>
      <c r="J227" s="5" t="n">
        <v>0.35</v>
      </c>
      <c r="K227" s="5" t="n">
        <v>6.8</v>
      </c>
      <c r="L227" s="5">
        <f>K227*J227*I227*H227</f>
        <v/>
      </c>
      <c r="M227" s="5" t="inlineStr"/>
    </row>
    <row r="228">
      <c r="A228" s="5" t="n"/>
      <c r="B228" s="5" t="inlineStr">
        <is>
          <t>A</t>
        </is>
      </c>
      <c r="C228" s="5" t="inlineStr">
        <is>
          <t>7</t>
        </is>
      </c>
      <c r="D228" s="5" t="inlineStr">
        <is>
          <t>P1</t>
        </is>
      </c>
      <c r="G228" s="5" t="inlineStr">
        <is>
          <t>M3</t>
        </is>
      </c>
      <c r="H228" s="5" t="n">
        <v>1</v>
      </c>
      <c r="I228" s="5" t="n">
        <v>0.25</v>
      </c>
      <c r="J228" s="5" t="n">
        <v>0.35</v>
      </c>
      <c r="K228" s="5" t="n">
        <v>6.8</v>
      </c>
      <c r="L228" s="5">
        <f>K228*J228*I228*H228</f>
        <v/>
      </c>
      <c r="M228" s="5" t="inlineStr"/>
    </row>
    <row r="229">
      <c r="A229" s="5" t="n"/>
      <c r="B229" s="5" t="inlineStr">
        <is>
          <t>A</t>
        </is>
      </c>
      <c r="C229" s="5" t="inlineStr">
        <is>
          <t>8</t>
        </is>
      </c>
      <c r="D229" s="5" t="inlineStr">
        <is>
          <t>P1</t>
        </is>
      </c>
      <c r="G229" s="5" t="inlineStr">
        <is>
          <t>M3</t>
        </is>
      </c>
      <c r="H229" s="5" t="n">
        <v>1</v>
      </c>
      <c r="I229" s="5" t="n">
        <v>0.25</v>
      </c>
      <c r="J229" s="5" t="n">
        <v>0.35</v>
      </c>
      <c r="K229" s="5" t="n">
        <v>6.8</v>
      </c>
      <c r="L229" s="5">
        <f>K229*J229*I229*H229</f>
        <v/>
      </c>
      <c r="M229" s="5" t="inlineStr"/>
    </row>
    <row r="230">
      <c r="A230" s="5" t="n"/>
      <c r="B230" s="5" t="inlineStr">
        <is>
          <t>B</t>
        </is>
      </c>
      <c r="C230" s="5" t="inlineStr">
        <is>
          <t>5</t>
        </is>
      </c>
      <c r="D230" s="5" t="inlineStr">
        <is>
          <t>P4</t>
        </is>
      </c>
      <c r="G230" s="5" t="inlineStr">
        <is>
          <t>M3</t>
        </is>
      </c>
      <c r="H230" s="5" t="n">
        <v>1</v>
      </c>
      <c r="I230" s="5" t="n">
        <v>0.35</v>
      </c>
      <c r="J230" s="5" t="n">
        <v>0.35</v>
      </c>
      <c r="K230" s="5" t="n">
        <v>6.8</v>
      </c>
      <c r="L230" s="5">
        <f>K230*J230*I230*H230</f>
        <v/>
      </c>
      <c r="M230" s="5" t="inlineStr"/>
    </row>
    <row r="231">
      <c r="A231" s="5" t="n"/>
      <c r="B231" s="5" t="inlineStr">
        <is>
          <t>C</t>
        </is>
      </c>
      <c r="C231" s="5" t="inlineStr">
        <is>
          <t>6</t>
        </is>
      </c>
      <c r="D231" s="5" t="inlineStr">
        <is>
          <t>P1</t>
        </is>
      </c>
      <c r="G231" s="5" t="inlineStr">
        <is>
          <t>M3</t>
        </is>
      </c>
      <c r="H231" s="5" t="n">
        <v>1</v>
      </c>
      <c r="I231" s="5" t="n">
        <v>0.25</v>
      </c>
      <c r="J231" s="5" t="n">
        <v>0.35</v>
      </c>
      <c r="K231" s="5" t="n">
        <v>6.8</v>
      </c>
      <c r="L231" s="5">
        <f>K231*J231*I231*H231</f>
        <v/>
      </c>
      <c r="M231" s="5" t="inlineStr"/>
    </row>
    <row r="232">
      <c r="A232" s="5" t="n"/>
      <c r="B232" s="5" t="inlineStr">
        <is>
          <t>C</t>
        </is>
      </c>
      <c r="C232" s="5" t="inlineStr">
        <is>
          <t>7</t>
        </is>
      </c>
      <c r="D232" s="5" t="inlineStr">
        <is>
          <t>P1</t>
        </is>
      </c>
      <c r="G232" s="5" t="inlineStr">
        <is>
          <t>M3</t>
        </is>
      </c>
      <c r="H232" s="5" t="n">
        <v>1</v>
      </c>
      <c r="I232" s="5" t="n">
        <v>0.25</v>
      </c>
      <c r="J232" s="5" t="n">
        <v>0.35</v>
      </c>
      <c r="K232" s="5" t="n">
        <v>6.8</v>
      </c>
      <c r="L232" s="5">
        <f>K232*J232*I232*H232</f>
        <v/>
      </c>
      <c r="M232" s="5" t="inlineStr"/>
    </row>
    <row r="233">
      <c r="A233" s="5" t="n"/>
      <c r="B233" s="5" t="inlineStr">
        <is>
          <t>C</t>
        </is>
      </c>
      <c r="C233" s="5" t="inlineStr">
        <is>
          <t>8</t>
        </is>
      </c>
      <c r="D233" s="5" t="inlineStr">
        <is>
          <t>P1</t>
        </is>
      </c>
      <c r="G233" s="5" t="inlineStr">
        <is>
          <t>M3</t>
        </is>
      </c>
      <c r="H233" s="5" t="n">
        <v>1</v>
      </c>
      <c r="I233" s="5" t="n">
        <v>0.25</v>
      </c>
      <c r="J233" s="5" t="n">
        <v>0.35</v>
      </c>
      <c r="K233" s="5" t="n">
        <v>6.8</v>
      </c>
      <c r="L233" s="5">
        <f>K233*J233*I233*H233</f>
        <v/>
      </c>
      <c r="M233" s="5" t="inlineStr"/>
    </row>
    <row r="234">
      <c r="A234" s="5" t="n"/>
      <c r="B234" s="5" t="inlineStr">
        <is>
          <t>D</t>
        </is>
      </c>
      <c r="C234" s="5" t="inlineStr">
        <is>
          <t>1</t>
        </is>
      </c>
      <c r="D234" s="5" t="inlineStr">
        <is>
          <t>P2</t>
        </is>
      </c>
      <c r="G234" s="5" t="inlineStr">
        <is>
          <t>M3</t>
        </is>
      </c>
      <c r="H234" s="5" t="n">
        <v>1</v>
      </c>
      <c r="I234" s="5" t="n">
        <v>0.4</v>
      </c>
      <c r="J234" s="5" t="n">
        <v>0.4</v>
      </c>
      <c r="K234" s="5" t="n">
        <v>6.8</v>
      </c>
      <c r="L234" s="5">
        <f>K234*J234*I234*H234</f>
        <v/>
      </c>
      <c r="M234" s="5" t="inlineStr"/>
    </row>
    <row r="235">
      <c r="A235" s="5" t="n"/>
      <c r="B235" s="5" t="inlineStr">
        <is>
          <t>E</t>
        </is>
      </c>
      <c r="C235" s="5" t="inlineStr">
        <is>
          <t>6</t>
        </is>
      </c>
      <c r="D235" s="5" t="inlineStr">
        <is>
          <t>P1</t>
        </is>
      </c>
      <c r="G235" s="5" t="inlineStr">
        <is>
          <t>M3</t>
        </is>
      </c>
      <c r="H235" s="5" t="n">
        <v>1</v>
      </c>
      <c r="I235" s="5" t="n">
        <v>0.25</v>
      </c>
      <c r="J235" s="5" t="n">
        <v>0.35</v>
      </c>
      <c r="K235" s="5" t="n">
        <v>6.8</v>
      </c>
      <c r="L235" s="5">
        <f>K235*J235*I235*H235</f>
        <v/>
      </c>
      <c r="M235" s="5" t="inlineStr"/>
    </row>
    <row r="236">
      <c r="A236" s="5" t="n"/>
      <c r="B236" s="5" t="inlineStr">
        <is>
          <t>E</t>
        </is>
      </c>
      <c r="C236" s="5" t="inlineStr">
        <is>
          <t>7</t>
        </is>
      </c>
      <c r="D236" s="5" t="inlineStr">
        <is>
          <t>P1</t>
        </is>
      </c>
      <c r="G236" s="5" t="inlineStr">
        <is>
          <t>M3</t>
        </is>
      </c>
      <c r="H236" s="5" t="n">
        <v>1</v>
      </c>
      <c r="I236" s="5" t="n">
        <v>0.25</v>
      </c>
      <c r="J236" s="5" t="n">
        <v>0.35</v>
      </c>
      <c r="K236" s="5" t="n">
        <v>6.8</v>
      </c>
      <c r="L236" s="5">
        <f>K236*J236*I236*H236</f>
        <v/>
      </c>
      <c r="M236" s="5" t="inlineStr"/>
    </row>
    <row r="237">
      <c r="A237" s="5" t="n"/>
      <c r="B237" s="5" t="inlineStr">
        <is>
          <t>E</t>
        </is>
      </c>
      <c r="C237" s="5" t="inlineStr">
        <is>
          <t>8</t>
        </is>
      </c>
      <c r="D237" s="5" t="inlineStr">
        <is>
          <t>P1</t>
        </is>
      </c>
      <c r="G237" s="5" t="inlineStr">
        <is>
          <t>M3</t>
        </is>
      </c>
      <c r="H237" s="5" t="n">
        <v>1</v>
      </c>
      <c r="I237" s="5" t="n">
        <v>0.25</v>
      </c>
      <c r="J237" s="5" t="n">
        <v>0.35</v>
      </c>
      <c r="K237" s="5" t="n">
        <v>6.8</v>
      </c>
      <c r="L237" s="5">
        <f>K237*J237*I237*H237</f>
        <v/>
      </c>
      <c r="M237" s="5" t="inlineStr"/>
    </row>
    <row r="238">
      <c r="A238" s="5" t="n"/>
      <c r="B238" s="5" t="inlineStr">
        <is>
          <t>F</t>
        </is>
      </c>
      <c r="C238" s="5" t="inlineStr">
        <is>
          <t>5</t>
        </is>
      </c>
      <c r="D238" s="5" t="inlineStr">
        <is>
          <t>P4</t>
        </is>
      </c>
      <c r="G238" s="5" t="inlineStr">
        <is>
          <t>M3</t>
        </is>
      </c>
      <c r="H238" s="5" t="n">
        <v>1</v>
      </c>
      <c r="I238" s="5" t="n">
        <v>0.35</v>
      </c>
      <c r="J238" s="5" t="n">
        <v>0.35</v>
      </c>
      <c r="K238" s="5" t="n">
        <v>6.8</v>
      </c>
      <c r="L238" s="5">
        <f>K238*J238*I238*H238</f>
        <v/>
      </c>
      <c r="M238" s="5" t="inlineStr"/>
    </row>
    <row r="239">
      <c r="A239" s="5" t="n"/>
      <c r="B239" s="5" t="inlineStr">
        <is>
          <t>G</t>
        </is>
      </c>
      <c r="C239" s="5" t="inlineStr">
        <is>
          <t>1</t>
        </is>
      </c>
      <c r="D239" s="5" t="inlineStr">
        <is>
          <t>P3</t>
        </is>
      </c>
      <c r="G239" s="5" t="inlineStr">
        <is>
          <t>M3</t>
        </is>
      </c>
      <c r="H239" s="5" t="n">
        <v>1</v>
      </c>
      <c r="I239" s="5" t="n">
        <v>0.3</v>
      </c>
      <c r="J239" s="5" t="n">
        <v>0.3</v>
      </c>
      <c r="K239" s="5" t="n">
        <v>6.8</v>
      </c>
      <c r="L239" s="5">
        <f>K239*J239*I239*H239</f>
        <v/>
      </c>
      <c r="M239" s="5" t="inlineStr"/>
    </row>
    <row r="240">
      <c r="A240" s="5" t="n"/>
      <c r="B240" s="5" t="inlineStr">
        <is>
          <t>G</t>
        </is>
      </c>
      <c r="C240" s="5" t="inlineStr">
        <is>
          <t>2</t>
        </is>
      </c>
      <c r="D240" s="5" t="inlineStr">
        <is>
          <t>P2</t>
        </is>
      </c>
      <c r="G240" s="5" t="inlineStr">
        <is>
          <t>M3</t>
        </is>
      </c>
      <c r="H240" s="5" t="n">
        <v>1</v>
      </c>
      <c r="I240" s="5" t="n">
        <v>0.4</v>
      </c>
      <c r="J240" s="5" t="n">
        <v>0.4</v>
      </c>
      <c r="K240" s="5" t="n">
        <v>6.8</v>
      </c>
      <c r="L240" s="5">
        <f>K240*J240*I240*H240</f>
        <v/>
      </c>
      <c r="M240" s="5" t="inlineStr"/>
    </row>
    <row r="241">
      <c r="A241" s="5" t="n"/>
      <c r="B241" s="5" t="inlineStr">
        <is>
          <t>G</t>
        </is>
      </c>
      <c r="C241" s="5" t="inlineStr">
        <is>
          <t>3</t>
        </is>
      </c>
      <c r="D241" s="5" t="inlineStr">
        <is>
          <t>P2</t>
        </is>
      </c>
      <c r="G241" s="5" t="inlineStr">
        <is>
          <t>M3</t>
        </is>
      </c>
      <c r="H241" s="5" t="n">
        <v>1</v>
      </c>
      <c r="I241" s="5" t="n">
        <v>0.4</v>
      </c>
      <c r="J241" s="5" t="n">
        <v>0.4</v>
      </c>
      <c r="K241" s="5" t="n">
        <v>6.8</v>
      </c>
      <c r="L241" s="5">
        <f>K241*J241*I241*H241</f>
        <v/>
      </c>
      <c r="M241" s="5" t="inlineStr"/>
    </row>
    <row r="242">
      <c r="A242" s="5" t="n"/>
      <c r="B242" s="5" t="inlineStr">
        <is>
          <t>G</t>
        </is>
      </c>
      <c r="C242" s="5" t="inlineStr">
        <is>
          <t>5</t>
        </is>
      </c>
      <c r="D242" s="5" t="inlineStr">
        <is>
          <t>P3</t>
        </is>
      </c>
      <c r="G242" s="5" t="inlineStr">
        <is>
          <t>M3</t>
        </is>
      </c>
      <c r="H242" s="5" t="n">
        <v>1</v>
      </c>
      <c r="I242" s="5" t="n">
        <v>0.3</v>
      </c>
      <c r="J242" s="5" t="n">
        <v>0.3</v>
      </c>
      <c r="K242" s="5" t="n">
        <v>6.8</v>
      </c>
      <c r="L242" s="5">
        <f>K242*J242*I242*H242</f>
        <v/>
      </c>
      <c r="M242" s="5" t="inlineStr"/>
    </row>
    <row r="243">
      <c r="A243" s="5" t="n"/>
      <c r="B243" s="5" t="inlineStr">
        <is>
          <t>G</t>
        </is>
      </c>
      <c r="C243" s="5" t="inlineStr">
        <is>
          <t>6</t>
        </is>
      </c>
      <c r="D243" s="5" t="inlineStr">
        <is>
          <t>P1</t>
        </is>
      </c>
      <c r="G243" s="5" t="inlineStr">
        <is>
          <t>M3</t>
        </is>
      </c>
      <c r="H243" s="5" t="n">
        <v>1</v>
      </c>
      <c r="I243" s="5" t="n">
        <v>0.25</v>
      </c>
      <c r="J243" s="5" t="n">
        <v>0.35</v>
      </c>
      <c r="K243" s="5" t="n">
        <v>6.8</v>
      </c>
      <c r="L243" s="5">
        <f>K243*J243*I243*H243</f>
        <v/>
      </c>
      <c r="M243" s="5" t="inlineStr"/>
    </row>
    <row r="244">
      <c r="A244" s="5" t="n"/>
      <c r="B244" s="5" t="inlineStr">
        <is>
          <t>G</t>
        </is>
      </c>
      <c r="C244" s="5" t="inlineStr">
        <is>
          <t>7</t>
        </is>
      </c>
      <c r="D244" s="5" t="inlineStr">
        <is>
          <t>P1</t>
        </is>
      </c>
      <c r="G244" s="5" t="inlineStr">
        <is>
          <t>M3</t>
        </is>
      </c>
      <c r="H244" s="5" t="n">
        <v>1</v>
      </c>
      <c r="I244" s="5" t="n">
        <v>0.25</v>
      </c>
      <c r="J244" s="5" t="n">
        <v>0.35</v>
      </c>
      <c r="K244" s="5" t="n">
        <v>6.8</v>
      </c>
      <c r="L244" s="5">
        <f>K244*J244*I244*H244</f>
        <v/>
      </c>
      <c r="M244" s="5" t="inlineStr"/>
    </row>
    <row r="245">
      <c r="A245" s="5" t="n"/>
      <c r="B245" s="5" t="inlineStr">
        <is>
          <t>G</t>
        </is>
      </c>
      <c r="C245" s="5" t="inlineStr">
        <is>
          <t>8</t>
        </is>
      </c>
      <c r="D245" s="5" t="inlineStr">
        <is>
          <t>P1</t>
        </is>
      </c>
      <c r="G245" s="5" t="inlineStr">
        <is>
          <t>M3</t>
        </is>
      </c>
      <c r="H245" s="5" t="n">
        <v>1</v>
      </c>
      <c r="I245" s="5" t="n">
        <v>0.25</v>
      </c>
      <c r="J245" s="5" t="n">
        <v>0.35</v>
      </c>
      <c r="K245" s="5" t="n">
        <v>6.8</v>
      </c>
      <c r="L245" s="5">
        <f>K245*J245*I245*H245</f>
        <v/>
      </c>
      <c r="M245" s="5" t="inlineStr"/>
    </row>
    <row r="246">
      <c r="A246" s="6" t="inlineStr">
        <is>
          <t>total</t>
        </is>
      </c>
      <c r="M246" s="6">
        <f>SUM(L223:L245)</f>
        <v/>
      </c>
    </row>
    <row r="247">
      <c r="A247" s="3" t="inlineStr">
        <is>
          <t>POUTRE MEZZANINE</t>
        </is>
      </c>
    </row>
    <row r="248">
      <c r="A248" s="2" t="inlineStr">
        <is>
          <t>NOM</t>
        </is>
      </c>
      <c r="B248" s="2" t="inlineStr">
        <is>
          <t>axe</t>
        </is>
      </c>
      <c r="C248" s="2" t="inlineStr">
        <is>
          <t>fill</t>
        </is>
      </c>
    </row>
    <row r="249">
      <c r="A249" s="5" t="inlineStr">
        <is>
          <t>CH1</t>
        </is>
      </c>
      <c r="B249" s="5" t="inlineStr">
        <is>
          <t>A</t>
        </is>
      </c>
      <c r="C249" s="5" t="inlineStr">
        <is>
          <t>1-2</t>
        </is>
      </c>
      <c r="D249" s="5" t="inlineStr">
        <is>
          <t>CH1</t>
        </is>
      </c>
      <c r="G249" s="5" t="inlineStr">
        <is>
          <t>M3</t>
        </is>
      </c>
      <c r="H249" s="5" t="n">
        <v>1</v>
      </c>
      <c r="I249" s="5" t="n">
        <v>2.48</v>
      </c>
      <c r="J249" s="5" t="n">
        <v>0.2</v>
      </c>
      <c r="K249" s="5" t="n">
        <v>0.2</v>
      </c>
      <c r="L249" s="5">
        <f>K249*J249*I249*H249</f>
        <v/>
      </c>
      <c r="M249" s="5" t="inlineStr"/>
    </row>
    <row r="250">
      <c r="A250" s="5" t="inlineStr">
        <is>
          <t>CH1</t>
        </is>
      </c>
      <c r="B250" s="5" t="inlineStr">
        <is>
          <t>A</t>
        </is>
      </c>
      <c r="C250" s="5" t="inlineStr">
        <is>
          <t>2-4</t>
        </is>
      </c>
      <c r="D250" s="5" t="inlineStr">
        <is>
          <t>CH1</t>
        </is>
      </c>
      <c r="G250" s="5" t="inlineStr">
        <is>
          <t>M3</t>
        </is>
      </c>
      <c r="H250" s="5" t="n">
        <v>1</v>
      </c>
      <c r="I250" s="5" t="n">
        <v>7.25</v>
      </c>
      <c r="J250" s="5" t="n">
        <v>0.2</v>
      </c>
      <c r="K250" s="5" t="n">
        <v>0.2</v>
      </c>
      <c r="L250" s="5">
        <f>K250*J250*I250*H250</f>
        <v/>
      </c>
      <c r="M250" s="5" t="inlineStr"/>
    </row>
    <row r="251">
      <c r="A251" s="5" t="inlineStr">
        <is>
          <t>CH1</t>
        </is>
      </c>
      <c r="B251" s="5" t="inlineStr">
        <is>
          <t>A</t>
        </is>
      </c>
      <c r="C251" s="5" t="inlineStr">
        <is>
          <t>4-5</t>
        </is>
      </c>
      <c r="D251" s="5" t="inlineStr">
        <is>
          <t>CH1</t>
        </is>
      </c>
      <c r="G251" s="5" t="inlineStr">
        <is>
          <t>M3</t>
        </is>
      </c>
      <c r="H251" s="5" t="n">
        <v>1</v>
      </c>
      <c r="I251" s="5" t="n">
        <v>2.38</v>
      </c>
      <c r="J251" s="5" t="n">
        <v>0.2</v>
      </c>
      <c r="K251" s="5" t="n">
        <v>0.2</v>
      </c>
      <c r="L251" s="5">
        <f>K251*J251*I251*H251</f>
        <v/>
      </c>
      <c r="M251" s="5" t="inlineStr"/>
    </row>
    <row r="252">
      <c r="A252" s="5" t="inlineStr">
        <is>
          <t>N2</t>
        </is>
      </c>
      <c r="B252" s="5" t="inlineStr">
        <is>
          <t>A</t>
        </is>
      </c>
      <c r="C252" s="5" t="inlineStr">
        <is>
          <t>5-6</t>
        </is>
      </c>
      <c r="D252" s="5" t="inlineStr">
        <is>
          <t>N2</t>
        </is>
      </c>
      <c r="G252" s="5" t="inlineStr">
        <is>
          <t>M3</t>
        </is>
      </c>
      <c r="H252" s="5" t="n">
        <v>1</v>
      </c>
      <c r="I252" s="5" t="n">
        <v>4.78</v>
      </c>
      <c r="J252" s="5" t="n">
        <v>0.2</v>
      </c>
      <c r="K252" s="5" t="n">
        <v>0.35</v>
      </c>
      <c r="L252" s="5">
        <f>K252*J252*I252*H252</f>
        <v/>
      </c>
      <c r="M252" s="5" t="inlineStr"/>
    </row>
    <row r="253">
      <c r="A253" s="5" t="inlineStr">
        <is>
          <t>N1</t>
        </is>
      </c>
      <c r="B253" s="5" t="inlineStr">
        <is>
          <t>A</t>
        </is>
      </c>
      <c r="C253" s="5" t="inlineStr">
        <is>
          <t>6-7</t>
        </is>
      </c>
      <c r="D253" s="5" t="inlineStr">
        <is>
          <t>N1</t>
        </is>
      </c>
      <c r="G253" s="5" t="inlineStr">
        <is>
          <t>M3</t>
        </is>
      </c>
      <c r="H253" s="5" t="n">
        <v>1</v>
      </c>
      <c r="I253" s="5" t="n">
        <v>2.65</v>
      </c>
      <c r="J253" s="5" t="n">
        <v>0.2</v>
      </c>
      <c r="K253" s="5" t="n">
        <v>0.3</v>
      </c>
      <c r="L253" s="5">
        <f>K253*J253*I253*H253</f>
        <v/>
      </c>
      <c r="M253" s="5" t="inlineStr"/>
    </row>
    <row r="254">
      <c r="A254" s="5" t="inlineStr">
        <is>
          <t>N2</t>
        </is>
      </c>
      <c r="B254" s="5" t="inlineStr">
        <is>
          <t>A</t>
        </is>
      </c>
      <c r="C254" s="5" t="inlineStr">
        <is>
          <t>7-8</t>
        </is>
      </c>
      <c r="D254" s="5" t="inlineStr">
        <is>
          <t>N2</t>
        </is>
      </c>
      <c r="G254" s="5" t="inlineStr">
        <is>
          <t>M3</t>
        </is>
      </c>
      <c r="H254" s="5" t="n">
        <v>1</v>
      </c>
      <c r="I254" s="5" t="n">
        <v>4.6</v>
      </c>
      <c r="J254" s="5" t="n">
        <v>0.2</v>
      </c>
      <c r="K254" s="5" t="n">
        <v>0.35</v>
      </c>
      <c r="L254" s="5">
        <f>K254*J254*I254*H254</f>
        <v/>
      </c>
      <c r="M254" s="5" t="inlineStr"/>
    </row>
    <row r="255">
      <c r="A255" s="5" t="inlineStr">
        <is>
          <t>CH1</t>
        </is>
      </c>
      <c r="B255" s="5" t="inlineStr">
        <is>
          <t>G</t>
        </is>
      </c>
      <c r="C255" s="5" t="inlineStr">
        <is>
          <t>1-2</t>
        </is>
      </c>
      <c r="D255" s="5" t="inlineStr">
        <is>
          <t>CH1</t>
        </is>
      </c>
      <c r="G255" s="5" t="inlineStr">
        <is>
          <t>M3</t>
        </is>
      </c>
      <c r="H255" s="5" t="n">
        <v>1</v>
      </c>
      <c r="I255" s="5" t="n">
        <v>2.48</v>
      </c>
      <c r="J255" s="5" t="n">
        <v>0.2</v>
      </c>
      <c r="K255" s="5" t="n">
        <v>0.2</v>
      </c>
      <c r="L255" s="5">
        <f>K255*J255*I255*H255</f>
        <v/>
      </c>
      <c r="M255" s="5" t="inlineStr"/>
    </row>
    <row r="256">
      <c r="A256" s="5" t="inlineStr">
        <is>
          <t>CH1</t>
        </is>
      </c>
      <c r="B256" s="5" t="inlineStr">
        <is>
          <t>G</t>
        </is>
      </c>
      <c r="C256" s="5" t="inlineStr">
        <is>
          <t>2-4</t>
        </is>
      </c>
      <c r="D256" s="5" t="inlineStr">
        <is>
          <t>CH1</t>
        </is>
      </c>
      <c r="G256" s="5" t="inlineStr">
        <is>
          <t>M3</t>
        </is>
      </c>
      <c r="H256" s="5" t="n">
        <v>1</v>
      </c>
      <c r="I256" s="5" t="n">
        <v>7.25</v>
      </c>
      <c r="J256" s="5" t="n">
        <v>0.2</v>
      </c>
      <c r="K256" s="5" t="n">
        <v>0.2</v>
      </c>
      <c r="L256" s="5">
        <f>K256*J256*I256*H256</f>
        <v/>
      </c>
      <c r="M256" s="5" t="inlineStr">
        <is>
          <t>le plan suggère un arrêt au poteau G3 (CH1 2-3 + 3-4) ; total identique — segmentation référence reprise</t>
        </is>
      </c>
    </row>
    <row r="257">
      <c r="A257" s="5" t="inlineStr">
        <is>
          <t>N2</t>
        </is>
      </c>
      <c r="B257" s="5" t="inlineStr">
        <is>
          <t>G</t>
        </is>
      </c>
      <c r="C257" s="5" t="inlineStr">
        <is>
          <t>5-6</t>
        </is>
      </c>
      <c r="D257" s="5" t="inlineStr">
        <is>
          <t>N2</t>
        </is>
      </c>
      <c r="G257" s="5" t="inlineStr">
        <is>
          <t>M3</t>
        </is>
      </c>
      <c r="H257" s="5" t="n">
        <v>1</v>
      </c>
      <c r="I257" s="5" t="n">
        <v>4.78</v>
      </c>
      <c r="J257" s="5" t="n">
        <v>0.2</v>
      </c>
      <c r="K257" s="5" t="n">
        <v>0.35</v>
      </c>
      <c r="L257" s="5">
        <f>K257*J257*I257*H257</f>
        <v/>
      </c>
      <c r="M257" s="5" t="inlineStr"/>
    </row>
    <row r="258">
      <c r="A258" s="5" t="inlineStr">
        <is>
          <t>N1</t>
        </is>
      </c>
      <c r="B258" s="5" t="inlineStr">
        <is>
          <t>G</t>
        </is>
      </c>
      <c r="C258" s="5" t="inlineStr">
        <is>
          <t>6-7</t>
        </is>
      </c>
      <c r="D258" s="5" t="inlineStr">
        <is>
          <t>N1</t>
        </is>
      </c>
      <c r="G258" s="5" t="inlineStr">
        <is>
          <t>M3</t>
        </is>
      </c>
      <c r="H258" s="5" t="n">
        <v>1</v>
      </c>
      <c r="I258" s="5" t="n">
        <v>2.65</v>
      </c>
      <c r="J258" s="5" t="n">
        <v>0.2</v>
      </c>
      <c r="K258" s="5" t="n">
        <v>0.3</v>
      </c>
      <c r="L258" s="5">
        <f>K258*J258*I258*H258</f>
        <v/>
      </c>
      <c r="M258" s="5" t="inlineStr"/>
    </row>
    <row r="259">
      <c r="A259" s="5" t="inlineStr">
        <is>
          <t>N2</t>
        </is>
      </c>
      <c r="B259" s="5" t="inlineStr">
        <is>
          <t>G</t>
        </is>
      </c>
      <c r="C259" s="5" t="inlineStr">
        <is>
          <t>7-8</t>
        </is>
      </c>
      <c r="D259" s="5" t="inlineStr">
        <is>
          <t>N2</t>
        </is>
      </c>
      <c r="G259" s="5" t="inlineStr">
        <is>
          <t>M3</t>
        </is>
      </c>
      <c r="H259" s="5" t="n">
        <v>1</v>
      </c>
      <c r="I259" s="5" t="n">
        <v>4.6</v>
      </c>
      <c r="J259" s="5" t="n">
        <v>0.2</v>
      </c>
      <c r="K259" s="5" t="n">
        <v>0.35</v>
      </c>
      <c r="L259" s="5">
        <f>K259*J259*I259*H259</f>
        <v/>
      </c>
      <c r="M259" s="5" t="inlineStr"/>
    </row>
    <row r="260">
      <c r="A260" s="5" t="inlineStr">
        <is>
          <t>CH1</t>
        </is>
      </c>
      <c r="B260" s="5" t="inlineStr">
        <is>
          <t>1</t>
        </is>
      </c>
      <c r="C260" s="5" t="inlineStr">
        <is>
          <t>A-D</t>
        </is>
      </c>
      <c r="D260" s="5" t="inlineStr">
        <is>
          <t>CH1</t>
        </is>
      </c>
      <c r="G260" s="5" t="inlineStr">
        <is>
          <t>M3</t>
        </is>
      </c>
      <c r="H260" s="5" t="n">
        <v>1</v>
      </c>
      <c r="I260" s="5">
        <f>3.82+0.4+0.82</f>
        <v/>
      </c>
      <c r="J260" s="5" t="n">
        <v>0.2</v>
      </c>
      <c r="K260" s="5" t="n">
        <v>0.2</v>
      </c>
      <c r="L260" s="5">
        <f>K260*J260*I260*H260</f>
        <v/>
      </c>
      <c r="M260" s="5" t="inlineStr"/>
    </row>
    <row r="261">
      <c r="A261" s="5" t="inlineStr">
        <is>
          <t>CH1</t>
        </is>
      </c>
      <c r="B261" s="5" t="inlineStr">
        <is>
          <t>1</t>
        </is>
      </c>
      <c r="C261" s="5" t="inlineStr">
        <is>
          <t>D-G</t>
        </is>
      </c>
      <c r="D261" s="5" t="inlineStr">
        <is>
          <t>CH1</t>
        </is>
      </c>
      <c r="G261" s="5" t="inlineStr">
        <is>
          <t>M3</t>
        </is>
      </c>
      <c r="H261" s="5" t="n">
        <v>1</v>
      </c>
      <c r="I261" s="5">
        <f>1.08+0.15+3.82</f>
        <v/>
      </c>
      <c r="J261" s="5" t="n">
        <v>0.2</v>
      </c>
      <c r="K261" s="5" t="n">
        <v>0.2</v>
      </c>
      <c r="L261" s="5">
        <f>K261*J261*I261*H261</f>
        <v/>
      </c>
      <c r="M261" s="5" t="inlineStr"/>
    </row>
    <row r="262">
      <c r="A262" s="5" t="inlineStr">
        <is>
          <t>N4</t>
        </is>
      </c>
      <c r="B262" s="5" t="inlineStr">
        <is>
          <t>5</t>
        </is>
      </c>
      <c r="C262" s="5" t="inlineStr">
        <is>
          <t>A-B</t>
        </is>
      </c>
      <c r="D262" s="5" t="inlineStr">
        <is>
          <t>N4</t>
        </is>
      </c>
      <c r="G262" s="5" t="inlineStr">
        <is>
          <t>M3</t>
        </is>
      </c>
      <c r="H262" s="5" t="n">
        <v>1</v>
      </c>
      <c r="I262" s="5" t="n">
        <v>3.82</v>
      </c>
      <c r="J262" s="5" t="n">
        <v>0.2</v>
      </c>
      <c r="K262" s="5" t="n">
        <v>0.45</v>
      </c>
      <c r="L262" s="5">
        <f>K262*J262*I262*H262</f>
        <v/>
      </c>
      <c r="M262" s="5" t="inlineStr"/>
    </row>
    <row r="263">
      <c r="A263" s="5" t="inlineStr">
        <is>
          <t>N3</t>
        </is>
      </c>
      <c r="B263" s="5" t="inlineStr">
        <is>
          <t>5</t>
        </is>
      </c>
      <c r="C263" s="5" t="inlineStr">
        <is>
          <t>B-F</t>
        </is>
      </c>
      <c r="D263" s="5" t="inlineStr">
        <is>
          <t>N3</t>
        </is>
      </c>
      <c r="G263" s="5" t="inlineStr">
        <is>
          <t>M3</t>
        </is>
      </c>
      <c r="H263" s="5" t="n">
        <v>1</v>
      </c>
      <c r="I263" s="5">
        <f>0.4+0.82+1.08+0.15</f>
        <v/>
      </c>
      <c r="J263" s="5" t="n">
        <v>0.2</v>
      </c>
      <c r="K263" s="5" t="n">
        <v>0.4</v>
      </c>
      <c r="L263" s="5">
        <f>K263*J263*I263*H263</f>
        <v/>
      </c>
      <c r="M263" s="5" t="inlineStr"/>
    </row>
    <row r="264">
      <c r="A264" s="5" t="inlineStr">
        <is>
          <t>N4</t>
        </is>
      </c>
      <c r="B264" s="5" t="inlineStr">
        <is>
          <t>5</t>
        </is>
      </c>
      <c r="C264" s="5" t="inlineStr">
        <is>
          <t>F-G</t>
        </is>
      </c>
      <c r="D264" s="5" t="inlineStr">
        <is>
          <t>N4</t>
        </is>
      </c>
      <c r="G264" s="5" t="inlineStr">
        <is>
          <t>M3</t>
        </is>
      </c>
      <c r="H264" s="5" t="n">
        <v>1</v>
      </c>
      <c r="I264" s="5" t="n">
        <v>3.82</v>
      </c>
      <c r="J264" s="5" t="n">
        <v>0.2</v>
      </c>
      <c r="K264" s="5" t="n">
        <v>0.45</v>
      </c>
      <c r="L264" s="5">
        <f>K264*J264*I264*H264</f>
        <v/>
      </c>
      <c r="M264" s="5" t="inlineStr">
        <is>
          <t>présent sur le plan, absent du métré de référence</t>
        </is>
      </c>
    </row>
    <row r="265">
      <c r="A265" s="5" t="inlineStr">
        <is>
          <t>N3</t>
        </is>
      </c>
      <c r="B265" s="5" t="inlineStr">
        <is>
          <t>6</t>
        </is>
      </c>
      <c r="C265" s="5" t="inlineStr">
        <is>
          <t>A-C</t>
        </is>
      </c>
      <c r="D265" s="5" t="inlineStr">
        <is>
          <t>N3</t>
        </is>
      </c>
      <c r="G265" s="5" t="inlineStr">
        <is>
          <t>M3</t>
        </is>
      </c>
      <c r="H265" s="5" t="n">
        <v>1</v>
      </c>
      <c r="I265" s="5">
        <f>3.82+0.4</f>
        <v/>
      </c>
      <c r="J265" s="5" t="n">
        <v>0.2</v>
      </c>
      <c r="K265" s="5" t="n">
        <v>0.4</v>
      </c>
      <c r="L265" s="5">
        <f>K265*J265*I265*H265</f>
        <v/>
      </c>
      <c r="M265" s="5" t="inlineStr"/>
    </row>
    <row r="266">
      <c r="A266" s="5" t="inlineStr">
        <is>
          <t>N1</t>
        </is>
      </c>
      <c r="B266" s="5" t="inlineStr">
        <is>
          <t>6</t>
        </is>
      </c>
      <c r="C266" s="5" t="inlineStr">
        <is>
          <t>C-E</t>
        </is>
      </c>
      <c r="D266" s="5" t="inlineStr">
        <is>
          <t>N1</t>
        </is>
      </c>
      <c r="G266" s="5" t="inlineStr">
        <is>
          <t>M3</t>
        </is>
      </c>
      <c r="H266" s="5" t="n">
        <v>1</v>
      </c>
      <c r="I266" s="5">
        <f>0.82+1.08</f>
        <v/>
      </c>
      <c r="J266" s="5" t="n">
        <v>0.2</v>
      </c>
      <c r="K266" s="5" t="n">
        <v>0.3</v>
      </c>
      <c r="L266" s="5">
        <f>K266*J266*I266*H266</f>
        <v/>
      </c>
      <c r="M266" s="5" t="inlineStr"/>
    </row>
    <row r="267">
      <c r="A267" s="5" t="inlineStr">
        <is>
          <t>N3</t>
        </is>
      </c>
      <c r="B267" s="5" t="inlineStr">
        <is>
          <t>6</t>
        </is>
      </c>
      <c r="C267" s="5" t="inlineStr">
        <is>
          <t>E-G</t>
        </is>
      </c>
      <c r="D267" s="5" t="inlineStr">
        <is>
          <t>N3</t>
        </is>
      </c>
      <c r="G267" s="5" t="inlineStr">
        <is>
          <t>M3</t>
        </is>
      </c>
      <c r="H267" s="5" t="n">
        <v>1</v>
      </c>
      <c r="I267" s="5">
        <f>0.15+3.82</f>
        <v/>
      </c>
      <c r="J267" s="5" t="n">
        <v>0.2</v>
      </c>
      <c r="K267" s="5" t="n">
        <v>0.4</v>
      </c>
      <c r="L267" s="5">
        <f>K267*J267*I267*H267</f>
        <v/>
      </c>
      <c r="M267" s="5" t="inlineStr"/>
    </row>
    <row r="268">
      <c r="A268" s="5" t="inlineStr">
        <is>
          <t>N3</t>
        </is>
      </c>
      <c r="B268" s="5" t="inlineStr">
        <is>
          <t>7</t>
        </is>
      </c>
      <c r="C268" s="5" t="inlineStr">
        <is>
          <t>A-C</t>
        </is>
      </c>
      <c r="D268" s="5" t="inlineStr">
        <is>
          <t>N3</t>
        </is>
      </c>
      <c r="G268" s="5" t="inlineStr">
        <is>
          <t>M3</t>
        </is>
      </c>
      <c r="H268" s="5" t="n">
        <v>1</v>
      </c>
      <c r="I268" s="5">
        <f>3.82+0.4</f>
        <v/>
      </c>
      <c r="J268" s="5" t="n">
        <v>0.2</v>
      </c>
      <c r="K268" s="5" t="n">
        <v>0.4</v>
      </c>
      <c r="L268" s="5">
        <f>K268*J268*I268*H268</f>
        <v/>
      </c>
      <c r="M268" s="5" t="inlineStr"/>
    </row>
    <row r="269">
      <c r="A269" s="5" t="inlineStr">
        <is>
          <t>N1</t>
        </is>
      </c>
      <c r="B269" s="5" t="inlineStr">
        <is>
          <t>7</t>
        </is>
      </c>
      <c r="C269" s="5" t="inlineStr">
        <is>
          <t>C-E</t>
        </is>
      </c>
      <c r="D269" s="5" t="inlineStr">
        <is>
          <t>N1</t>
        </is>
      </c>
      <c r="G269" s="5" t="inlineStr">
        <is>
          <t>M3</t>
        </is>
      </c>
      <c r="H269" s="5" t="n">
        <v>1</v>
      </c>
      <c r="I269" s="5">
        <f>0.82+1.08</f>
        <v/>
      </c>
      <c r="J269" s="5" t="n">
        <v>0.2</v>
      </c>
      <c r="K269" s="5" t="n">
        <v>0.3</v>
      </c>
      <c r="L269" s="5">
        <f>K269*J269*I269*H269</f>
        <v/>
      </c>
      <c r="M269" s="5" t="inlineStr"/>
    </row>
    <row r="270">
      <c r="A270" s="5" t="inlineStr">
        <is>
          <t>N3</t>
        </is>
      </c>
      <c r="B270" s="5" t="inlineStr">
        <is>
          <t>7</t>
        </is>
      </c>
      <c r="C270" s="5" t="inlineStr">
        <is>
          <t>E-G</t>
        </is>
      </c>
      <c r="D270" s="5" t="inlineStr">
        <is>
          <t>N3</t>
        </is>
      </c>
      <c r="G270" s="5" t="inlineStr">
        <is>
          <t>M3</t>
        </is>
      </c>
      <c r="H270" s="5" t="n">
        <v>1</v>
      </c>
      <c r="I270" s="5">
        <f>0.15+3.82</f>
        <v/>
      </c>
      <c r="J270" s="5" t="n">
        <v>0.2</v>
      </c>
      <c r="K270" s="5" t="n">
        <v>0.4</v>
      </c>
      <c r="L270" s="5">
        <f>K270*J270*I270*H270</f>
        <v/>
      </c>
      <c r="M270" s="5" t="inlineStr"/>
    </row>
    <row r="271">
      <c r="A271" s="5" t="inlineStr">
        <is>
          <t>N3</t>
        </is>
      </c>
      <c r="B271" s="5" t="inlineStr">
        <is>
          <t>8</t>
        </is>
      </c>
      <c r="C271" s="5" t="inlineStr">
        <is>
          <t>A-C</t>
        </is>
      </c>
      <c r="D271" s="5" t="inlineStr">
        <is>
          <t>N3</t>
        </is>
      </c>
      <c r="G271" s="5" t="inlineStr">
        <is>
          <t>M3</t>
        </is>
      </c>
      <c r="H271" s="5" t="n">
        <v>1</v>
      </c>
      <c r="I271" s="5">
        <f>3.82+0.4</f>
        <v/>
      </c>
      <c r="J271" s="5" t="n">
        <v>0.2</v>
      </c>
      <c r="K271" s="5" t="n">
        <v>0.4</v>
      </c>
      <c r="L271" s="5">
        <f>K271*J271*I271*H271</f>
        <v/>
      </c>
      <c r="M271" s="5" t="inlineStr">
        <is>
          <t>axe 8 absent du métré de référence</t>
        </is>
      </c>
    </row>
    <row r="272">
      <c r="A272" s="5" t="inlineStr">
        <is>
          <t>N1</t>
        </is>
      </c>
      <c r="B272" s="5" t="inlineStr">
        <is>
          <t>8</t>
        </is>
      </c>
      <c r="C272" s="5" t="inlineStr">
        <is>
          <t>C-E</t>
        </is>
      </c>
      <c r="D272" s="5" t="inlineStr">
        <is>
          <t>N1</t>
        </is>
      </c>
      <c r="G272" s="5" t="inlineStr">
        <is>
          <t>M3</t>
        </is>
      </c>
      <c r="H272" s="5" t="n">
        <v>1</v>
      </c>
      <c r="I272" s="5">
        <f>0.82+1.08</f>
        <v/>
      </c>
      <c r="J272" s="5" t="n">
        <v>0.2</v>
      </c>
      <c r="K272" s="5" t="n">
        <v>0.3</v>
      </c>
      <c r="L272" s="5">
        <f>K272*J272*I272*H272</f>
        <v/>
      </c>
      <c r="M272" s="5" t="inlineStr">
        <is>
          <t>axe 8 absent du métré de référence</t>
        </is>
      </c>
    </row>
    <row r="273">
      <c r="A273" s="5" t="inlineStr">
        <is>
          <t>N3</t>
        </is>
      </c>
      <c r="B273" s="5" t="inlineStr">
        <is>
          <t>8</t>
        </is>
      </c>
      <c r="C273" s="5" t="inlineStr">
        <is>
          <t>E-G</t>
        </is>
      </c>
      <c r="D273" s="5" t="inlineStr">
        <is>
          <t>N3</t>
        </is>
      </c>
      <c r="G273" s="5" t="inlineStr">
        <is>
          <t>M3</t>
        </is>
      </c>
      <c r="H273" s="5" t="n">
        <v>1</v>
      </c>
      <c r="I273" s="5">
        <f>0.15+3.82</f>
        <v/>
      </c>
      <c r="J273" s="5" t="n">
        <v>0.2</v>
      </c>
      <c r="K273" s="5" t="n">
        <v>0.4</v>
      </c>
      <c r="L273" s="5">
        <f>K273*J273*I273*H273</f>
        <v/>
      </c>
      <c r="M273" s="5" t="inlineStr">
        <is>
          <t>axe 8 absent du métré de référence</t>
        </is>
      </c>
    </row>
    <row r="274">
      <c r="A274" s="5" t="inlineStr">
        <is>
          <t>BN2</t>
        </is>
      </c>
      <c r="B274" s="5" t="inlineStr">
        <is>
          <t>C</t>
        </is>
      </c>
      <c r="C274" s="5" t="inlineStr">
        <is>
          <t>5-6</t>
        </is>
      </c>
      <c r="D274" s="5" t="inlineStr">
        <is>
          <t>BN2</t>
        </is>
      </c>
      <c r="G274" s="5" t="inlineStr">
        <is>
          <t>M3</t>
        </is>
      </c>
      <c r="H274" s="5" t="n">
        <v>1</v>
      </c>
      <c r="I274" s="5" t="n">
        <v>4.78</v>
      </c>
      <c r="J274" s="5" t="n">
        <v>0.2</v>
      </c>
      <c r="K274" s="5" t="n">
        <v>0.2</v>
      </c>
      <c r="L274" s="5">
        <f>K274*J274*I274*H274</f>
        <v/>
      </c>
      <c r="M274" s="5" t="inlineStr"/>
    </row>
    <row r="275">
      <c r="A275" s="5" t="inlineStr">
        <is>
          <t>BN2</t>
        </is>
      </c>
      <c r="B275" s="5" t="inlineStr">
        <is>
          <t>C</t>
        </is>
      </c>
      <c r="C275" s="5" t="inlineStr">
        <is>
          <t>6-7</t>
        </is>
      </c>
      <c r="D275" s="5" t="inlineStr">
        <is>
          <t>BN2</t>
        </is>
      </c>
      <c r="G275" s="5" t="inlineStr">
        <is>
          <t>M3</t>
        </is>
      </c>
      <c r="H275" s="5" t="n">
        <v>1</v>
      </c>
      <c r="I275" s="5" t="n">
        <v>2.65</v>
      </c>
      <c r="J275" s="5" t="n">
        <v>0.2</v>
      </c>
      <c r="K275" s="5" t="n">
        <v>0.2</v>
      </c>
      <c r="L275" s="5">
        <f>K275*J275*I275*H275</f>
        <v/>
      </c>
      <c r="M275" s="5" t="inlineStr"/>
    </row>
    <row r="276">
      <c r="A276" s="5" t="inlineStr">
        <is>
          <t>BN2</t>
        </is>
      </c>
      <c r="B276" s="5" t="inlineStr">
        <is>
          <t>C</t>
        </is>
      </c>
      <c r="C276" s="5" t="inlineStr">
        <is>
          <t>7-8</t>
        </is>
      </c>
      <c r="D276" s="5" t="inlineStr">
        <is>
          <t>BN2</t>
        </is>
      </c>
      <c r="G276" s="5" t="inlineStr">
        <is>
          <t>M3</t>
        </is>
      </c>
      <c r="H276" s="5" t="n">
        <v>1</v>
      </c>
      <c r="I276" s="5" t="n">
        <v>4.6</v>
      </c>
      <c r="J276" s="5" t="n">
        <v>0.2</v>
      </c>
      <c r="K276" s="5" t="n">
        <v>0.2</v>
      </c>
      <c r="L276" s="5">
        <f>K276*J276*I276*H276</f>
        <v/>
      </c>
      <c r="M276" s="5" t="inlineStr"/>
    </row>
    <row r="277">
      <c r="A277" s="5" t="inlineStr">
        <is>
          <t>BN2</t>
        </is>
      </c>
      <c r="B277" s="5" t="inlineStr">
        <is>
          <t>E</t>
        </is>
      </c>
      <c r="C277" s="5" t="inlineStr">
        <is>
          <t>5-6</t>
        </is>
      </c>
      <c r="D277" s="5" t="inlineStr">
        <is>
          <t>BN2</t>
        </is>
      </c>
      <c r="G277" s="5" t="inlineStr">
        <is>
          <t>M3</t>
        </is>
      </c>
      <c r="H277" s="5" t="n">
        <v>1</v>
      </c>
      <c r="I277" s="5" t="n">
        <v>4.78</v>
      </c>
      <c r="J277" s="5" t="n">
        <v>0.2</v>
      </c>
      <c r="K277" s="5" t="n">
        <v>0.2</v>
      </c>
      <c r="L277" s="5">
        <f>K277*J277*I277*H277</f>
        <v/>
      </c>
      <c r="M277" s="5" t="inlineStr"/>
    </row>
    <row r="278">
      <c r="A278" s="5" t="inlineStr">
        <is>
          <t>BN2</t>
        </is>
      </c>
      <c r="B278" s="5" t="inlineStr">
        <is>
          <t>E</t>
        </is>
      </c>
      <c r="C278" s="5" t="inlineStr">
        <is>
          <t>6-7</t>
        </is>
      </c>
      <c r="D278" s="5" t="inlineStr">
        <is>
          <t>BN2</t>
        </is>
      </c>
      <c r="G278" s="5" t="inlineStr">
        <is>
          <t>M3</t>
        </is>
      </c>
      <c r="H278" s="5" t="n">
        <v>1</v>
      </c>
      <c r="I278" s="5" t="n">
        <v>2.65</v>
      </c>
      <c r="J278" s="5" t="n">
        <v>0.2</v>
      </c>
      <c r="K278" s="5" t="n">
        <v>0.2</v>
      </c>
      <c r="L278" s="5">
        <f>K278*J278*I278*H278</f>
        <v/>
      </c>
      <c r="M278" s="5" t="inlineStr"/>
    </row>
    <row r="279">
      <c r="A279" s="5" t="inlineStr">
        <is>
          <t>BN2</t>
        </is>
      </c>
      <c r="B279" s="5" t="inlineStr">
        <is>
          <t>E</t>
        </is>
      </c>
      <c r="C279" s="5" t="inlineStr">
        <is>
          <t>7-8</t>
        </is>
      </c>
      <c r="D279" s="5" t="inlineStr">
        <is>
          <t>BN2</t>
        </is>
      </c>
      <c r="G279" s="5" t="inlineStr">
        <is>
          <t>M3</t>
        </is>
      </c>
      <c r="H279" s="5" t="n">
        <v>1</v>
      </c>
      <c r="I279" s="5" t="n">
        <v>4.6</v>
      </c>
      <c r="J279" s="5" t="n">
        <v>0.2</v>
      </c>
      <c r="K279" s="5" t="n">
        <v>0.2</v>
      </c>
      <c r="L279" s="5">
        <f>K279*J279*I279*H279</f>
        <v/>
      </c>
      <c r="M279" s="5" t="inlineStr"/>
    </row>
    <row r="280">
      <c r="A280" s="6" t="inlineStr">
        <is>
          <t>total</t>
        </is>
      </c>
      <c r="M280" s="6">
        <f>SUM(L249:L279)</f>
        <v/>
      </c>
    </row>
    <row r="281">
      <c r="A281" s="3" t="inlineStr">
        <is>
          <t>POUTRE PH RDC</t>
        </is>
      </c>
    </row>
    <row r="282">
      <c r="A282" s="2" t="inlineStr">
        <is>
          <t>NOM</t>
        </is>
      </c>
      <c r="B282" s="2" t="inlineStr">
        <is>
          <t>axe</t>
        </is>
      </c>
      <c r="C282" s="2" t="inlineStr">
        <is>
          <t>fill</t>
        </is>
      </c>
    </row>
    <row r="283">
      <c r="A283" s="5" t="inlineStr">
        <is>
          <t>N1</t>
        </is>
      </c>
      <c r="B283" s="5" t="inlineStr">
        <is>
          <t>A</t>
        </is>
      </c>
      <c r="C283" s="5" t="inlineStr">
        <is>
          <t>1-2</t>
        </is>
      </c>
      <c r="D283" s="5" t="inlineStr">
        <is>
          <t>N1</t>
        </is>
      </c>
      <c r="G283" s="5" t="inlineStr">
        <is>
          <t>M3</t>
        </is>
      </c>
      <c r="H283" s="5" t="n">
        <v>1</v>
      </c>
      <c r="I283" s="5" t="n">
        <v>2.48</v>
      </c>
      <c r="J283" s="5" t="n">
        <v>0.2</v>
      </c>
      <c r="K283" s="5" t="n">
        <v>0.3</v>
      </c>
      <c r="L283" s="5">
        <f>K283*J283*I283*H283</f>
        <v/>
      </c>
      <c r="M283" s="5" t="inlineStr">
        <is>
          <t>référence : longueur erronée 5.05 au lieu de 2.48</t>
        </is>
      </c>
    </row>
    <row r="284">
      <c r="A284" s="5" t="inlineStr">
        <is>
          <t>N6</t>
        </is>
      </c>
      <c r="B284" s="5" t="inlineStr">
        <is>
          <t>A</t>
        </is>
      </c>
      <c r="C284" s="5" t="inlineStr">
        <is>
          <t>2-4</t>
        </is>
      </c>
      <c r="D284" s="5" t="inlineStr">
        <is>
          <t>N6</t>
        </is>
      </c>
      <c r="G284" s="5" t="inlineStr">
        <is>
          <t>M3</t>
        </is>
      </c>
      <c r="H284" s="5" t="n">
        <v>1</v>
      </c>
      <c r="I284" s="5" t="n">
        <v>7.25</v>
      </c>
      <c r="J284" s="5" t="n">
        <v>0.4</v>
      </c>
      <c r="K284" s="5" t="n">
        <v>0.9</v>
      </c>
      <c r="L284" s="5">
        <f>K284*J284*I284*H284</f>
        <v/>
      </c>
      <c r="M284" s="5" t="inlineStr"/>
    </row>
    <row r="285">
      <c r="A285" s="5" t="inlineStr">
        <is>
          <t>N1</t>
        </is>
      </c>
      <c r="B285" s="5" t="inlineStr">
        <is>
          <t>A</t>
        </is>
      </c>
      <c r="C285" s="5" t="inlineStr">
        <is>
          <t>4-5</t>
        </is>
      </c>
      <c r="D285" s="5" t="inlineStr">
        <is>
          <t>N1</t>
        </is>
      </c>
      <c r="G285" s="5" t="inlineStr">
        <is>
          <t>M3</t>
        </is>
      </c>
      <c r="H285" s="5" t="n">
        <v>1</v>
      </c>
      <c r="I285" s="5" t="n">
        <v>2.38</v>
      </c>
      <c r="J285" s="5" t="n">
        <v>0.2</v>
      </c>
      <c r="K285" s="5" t="n">
        <v>0.3</v>
      </c>
      <c r="L285" s="5">
        <f>K285*J285*I285*H285</f>
        <v/>
      </c>
      <c r="M285" s="5" t="inlineStr"/>
    </row>
    <row r="286">
      <c r="A286" s="5" t="inlineStr">
        <is>
          <t>N2</t>
        </is>
      </c>
      <c r="B286" s="5" t="inlineStr">
        <is>
          <t>A</t>
        </is>
      </c>
      <c r="C286" s="5" t="inlineStr">
        <is>
          <t>5-6</t>
        </is>
      </c>
      <c r="D286" s="5" t="inlineStr">
        <is>
          <t>N2</t>
        </is>
      </c>
      <c r="G286" s="5" t="inlineStr">
        <is>
          <t>M3</t>
        </is>
      </c>
      <c r="H286" s="5" t="n">
        <v>1</v>
      </c>
      <c r="I286" s="5" t="n">
        <v>4.78</v>
      </c>
      <c r="J286" s="5" t="n">
        <v>0.2</v>
      </c>
      <c r="K286" s="5" t="n">
        <v>0.35</v>
      </c>
      <c r="L286" s="5">
        <f>K286*J286*I286*H286</f>
        <v/>
      </c>
      <c r="M286" s="5" t="inlineStr"/>
    </row>
    <row r="287">
      <c r="A287" s="5" t="inlineStr">
        <is>
          <t>N1</t>
        </is>
      </c>
      <c r="B287" s="5" t="inlineStr">
        <is>
          <t>A</t>
        </is>
      </c>
      <c r="C287" s="5" t="inlineStr">
        <is>
          <t>6-7</t>
        </is>
      </c>
      <c r="D287" s="5" t="inlineStr">
        <is>
          <t>N1</t>
        </is>
      </c>
      <c r="G287" s="5" t="inlineStr">
        <is>
          <t>M3</t>
        </is>
      </c>
      <c r="H287" s="5" t="n">
        <v>1</v>
      </c>
      <c r="I287" s="5" t="n">
        <v>2.65</v>
      </c>
      <c r="J287" s="5" t="n">
        <v>0.2</v>
      </c>
      <c r="K287" s="5" t="n">
        <v>0.3</v>
      </c>
      <c r="L287" s="5">
        <f>K287*J287*I287*H287</f>
        <v/>
      </c>
      <c r="M287" s="5" t="inlineStr">
        <is>
          <t>référence : longueur 0.65 au lieu de 2.65</t>
        </is>
      </c>
    </row>
    <row r="288">
      <c r="A288" s="5" t="inlineStr">
        <is>
          <t>N2</t>
        </is>
      </c>
      <c r="B288" s="5" t="inlineStr">
        <is>
          <t>A</t>
        </is>
      </c>
      <c r="C288" s="5" t="inlineStr">
        <is>
          <t>7-8</t>
        </is>
      </c>
      <c r="D288" s="5" t="inlineStr">
        <is>
          <t>N2</t>
        </is>
      </c>
      <c r="G288" s="5" t="inlineStr">
        <is>
          <t>M3</t>
        </is>
      </c>
      <c r="H288" s="5" t="n">
        <v>1</v>
      </c>
      <c r="I288" s="5" t="n">
        <v>4.6</v>
      </c>
      <c r="J288" s="5" t="n">
        <v>0.2</v>
      </c>
      <c r="K288" s="5" t="n">
        <v>0.35</v>
      </c>
      <c r="L288" s="5">
        <f>K288*J288*I288*H288</f>
        <v/>
      </c>
      <c r="M288" s="5" t="inlineStr"/>
    </row>
    <row r="289">
      <c r="A289" s="5" t="inlineStr">
        <is>
          <t>N1</t>
        </is>
      </c>
      <c r="B289" s="5" t="inlineStr">
        <is>
          <t>G</t>
        </is>
      </c>
      <c r="C289" s="5" t="inlineStr">
        <is>
          <t>1-2</t>
        </is>
      </c>
      <c r="D289" s="5" t="inlineStr">
        <is>
          <t>N1</t>
        </is>
      </c>
      <c r="G289" s="5" t="inlineStr">
        <is>
          <t>M3</t>
        </is>
      </c>
      <c r="H289" s="5" t="n">
        <v>1</v>
      </c>
      <c r="I289" s="5" t="n">
        <v>2.48</v>
      </c>
      <c r="J289" s="5" t="n">
        <v>0.2</v>
      </c>
      <c r="K289" s="5" t="n">
        <v>0.3</v>
      </c>
      <c r="L289" s="5">
        <f>K289*J289*I289*H289</f>
        <v/>
      </c>
      <c r="M289" s="5" t="inlineStr"/>
    </row>
    <row r="290">
      <c r="A290" s="5" t="inlineStr">
        <is>
          <t>N1</t>
        </is>
      </c>
      <c r="B290" s="5" t="inlineStr">
        <is>
          <t>G</t>
        </is>
      </c>
      <c r="C290" s="5" t="inlineStr">
        <is>
          <t>2-3</t>
        </is>
      </c>
      <c r="D290" s="5" t="inlineStr">
        <is>
          <t>N1</t>
        </is>
      </c>
      <c r="G290" s="5" t="inlineStr">
        <is>
          <t>M3</t>
        </is>
      </c>
      <c r="H290" s="5" t="n">
        <v>1</v>
      </c>
      <c r="I290" s="5">
        <f>7.25/2</f>
        <v/>
      </c>
      <c r="J290" s="5" t="n">
        <v>0.2</v>
      </c>
      <c r="K290" s="5" t="n">
        <v>0.3</v>
      </c>
      <c r="L290" s="5">
        <f>K290*J290*I290*H290</f>
        <v/>
      </c>
      <c r="M290" s="5" t="inlineStr">
        <is>
          <t>longueur référence 7.25/2 (axe 3 non coté) ; géométrie: 3.74</t>
        </is>
      </c>
    </row>
    <row r="291">
      <c r="A291" s="5" t="inlineStr">
        <is>
          <t>N4</t>
        </is>
      </c>
      <c r="B291" s="5" t="inlineStr">
        <is>
          <t>G</t>
        </is>
      </c>
      <c r="C291" s="5" t="inlineStr">
        <is>
          <t>3-5</t>
        </is>
      </c>
      <c r="D291" s="5" t="inlineStr">
        <is>
          <t>N4</t>
        </is>
      </c>
      <c r="G291" s="5" t="inlineStr">
        <is>
          <t>M3</t>
        </is>
      </c>
      <c r="H291" s="5" t="n">
        <v>1</v>
      </c>
      <c r="I291" s="5">
        <f>7.25/2+2.38</f>
        <v/>
      </c>
      <c r="J291" s="5" t="n">
        <v>0.2</v>
      </c>
      <c r="K291" s="5" t="n">
        <v>0.45</v>
      </c>
      <c r="L291" s="5">
        <f>K291*J291*I291*H291</f>
        <v/>
      </c>
      <c r="M291" s="5" t="inlineStr">
        <is>
          <t>longueur référence (axe 3 non coté) ; géométrie: 5.89</t>
        </is>
      </c>
    </row>
    <row r="292">
      <c r="A292" s="5" t="inlineStr">
        <is>
          <t>N2</t>
        </is>
      </c>
      <c r="B292" s="5" t="inlineStr">
        <is>
          <t>G</t>
        </is>
      </c>
      <c r="C292" s="5" t="inlineStr">
        <is>
          <t>5-6</t>
        </is>
      </c>
      <c r="D292" s="5" t="inlineStr">
        <is>
          <t>N2</t>
        </is>
      </c>
      <c r="G292" s="5" t="inlineStr">
        <is>
          <t>M3</t>
        </is>
      </c>
      <c r="H292" s="5" t="n">
        <v>1</v>
      </c>
      <c r="I292" s="5" t="n">
        <v>4.78</v>
      </c>
      <c r="J292" s="5" t="n">
        <v>0.2</v>
      </c>
      <c r="K292" s="5" t="n">
        <v>0.35</v>
      </c>
      <c r="L292" s="5">
        <f>K292*J292*I292*H292</f>
        <v/>
      </c>
      <c r="M292" s="5" t="inlineStr"/>
    </row>
    <row r="293">
      <c r="A293" s="5" t="inlineStr">
        <is>
          <t>N1</t>
        </is>
      </c>
      <c r="B293" s="5" t="inlineStr">
        <is>
          <t>G</t>
        </is>
      </c>
      <c r="C293" s="5" t="inlineStr">
        <is>
          <t>6-7</t>
        </is>
      </c>
      <c r="D293" s="5" t="inlineStr">
        <is>
          <t>N1</t>
        </is>
      </c>
      <c r="G293" s="5" t="inlineStr">
        <is>
          <t>M3</t>
        </is>
      </c>
      <c r="H293" s="5" t="n">
        <v>1</v>
      </c>
      <c r="I293" s="5" t="n">
        <v>2.65</v>
      </c>
      <c r="J293" s="5" t="n">
        <v>0.2</v>
      </c>
      <c r="K293" s="5" t="n">
        <v>0.3</v>
      </c>
      <c r="L293" s="5">
        <f>K293*J293*I293*H293</f>
        <v/>
      </c>
      <c r="M293" s="5" t="inlineStr">
        <is>
          <t>référence : longueur 0.65 au lieu de 2.65</t>
        </is>
      </c>
    </row>
    <row r="294">
      <c r="A294" s="5" t="inlineStr">
        <is>
          <t>N2</t>
        </is>
      </c>
      <c r="B294" s="5" t="inlineStr">
        <is>
          <t>G</t>
        </is>
      </c>
      <c r="C294" s="5" t="inlineStr">
        <is>
          <t>7-8</t>
        </is>
      </c>
      <c r="D294" s="5" t="inlineStr">
        <is>
          <t>N2</t>
        </is>
      </c>
      <c r="G294" s="5" t="inlineStr">
        <is>
          <t>M3</t>
        </is>
      </c>
      <c r="H294" s="5" t="n">
        <v>1</v>
      </c>
      <c r="I294" s="5" t="n">
        <v>4.6</v>
      </c>
      <c r="J294" s="5" t="n">
        <v>0.2</v>
      </c>
      <c r="K294" s="5" t="n">
        <v>0.35</v>
      </c>
      <c r="L294" s="5">
        <f>K294*J294*I294*H294</f>
        <v/>
      </c>
      <c r="M294" s="5" t="inlineStr"/>
    </row>
    <row r="295">
      <c r="A295" s="5" t="inlineStr">
        <is>
          <t>N5</t>
        </is>
      </c>
      <c r="B295" s="5" t="inlineStr">
        <is>
          <t>1</t>
        </is>
      </c>
      <c r="C295" s="5" t="inlineStr">
        <is>
          <t>A-D</t>
        </is>
      </c>
      <c r="D295" s="5" t="inlineStr">
        <is>
          <t>N5</t>
        </is>
      </c>
      <c r="G295" s="5" t="inlineStr">
        <is>
          <t>M3</t>
        </is>
      </c>
      <c r="H295" s="5" t="n">
        <v>2</v>
      </c>
      <c r="I295" s="5">
        <f>3.82+0.4+0.82</f>
        <v/>
      </c>
      <c r="J295" s="5" t="n">
        <v>0.2</v>
      </c>
      <c r="K295" s="5" t="n">
        <v>0.5</v>
      </c>
      <c r="L295" s="5">
        <f>K295*J295*I295*H295</f>
        <v/>
      </c>
      <c r="M295" s="5" t="inlineStr">
        <is>
          <t>callout '25+5 jumelée' sur le plan ; métré référence compte N=1</t>
        </is>
      </c>
    </row>
    <row r="296">
      <c r="A296" s="5" t="inlineStr">
        <is>
          <t>N5</t>
        </is>
      </c>
      <c r="B296" s="5" t="inlineStr">
        <is>
          <t>1</t>
        </is>
      </c>
      <c r="C296" s="5" t="inlineStr">
        <is>
          <t>D-G</t>
        </is>
      </c>
      <c r="D296" s="5" t="inlineStr">
        <is>
          <t>N5</t>
        </is>
      </c>
      <c r="G296" s="5" t="inlineStr">
        <is>
          <t>M3</t>
        </is>
      </c>
      <c r="H296" s="5" t="n">
        <v>2</v>
      </c>
      <c r="I296" s="5">
        <f>1.08+0.15+3.82</f>
        <v/>
      </c>
      <c r="J296" s="5" t="n">
        <v>0.2</v>
      </c>
      <c r="K296" s="5" t="n">
        <v>0.5</v>
      </c>
      <c r="L296" s="5">
        <f>K296*J296*I296*H296</f>
        <v/>
      </c>
      <c r="M296" s="5" t="inlineStr">
        <is>
          <t>callout '25+5 jumelée' sur le plan ; métré référence compte N=1</t>
        </is>
      </c>
    </row>
    <row r="297">
      <c r="A297" s="5" t="inlineStr">
        <is>
          <t>N7</t>
        </is>
      </c>
      <c r="B297" s="5" t="inlineStr">
        <is>
          <t>3</t>
        </is>
      </c>
      <c r="C297" s="5" t="inlineStr">
        <is>
          <t>A-G</t>
        </is>
      </c>
      <c r="D297" s="5" t="inlineStr">
        <is>
          <t>N7</t>
        </is>
      </c>
      <c r="G297" s="5" t="inlineStr">
        <is>
          <t>M3</t>
        </is>
      </c>
      <c r="H297" s="5" t="n">
        <v>1</v>
      </c>
      <c r="I297" s="5">
        <f>3.82+0.4+0.82+1.08+0.15+3.82</f>
        <v/>
      </c>
      <c r="J297" s="5" t="n">
        <v>0.3</v>
      </c>
      <c r="K297" s="5" t="n">
        <v>0.9</v>
      </c>
      <c r="L297" s="5">
        <f>K297*J297*I297*H297</f>
        <v/>
      </c>
      <c r="M297" s="5" t="inlineStr">
        <is>
          <t>N7 en T 40x90 — décomposition référence : 0.30x0.90 + 0.30x0.80</t>
        </is>
      </c>
    </row>
    <row r="298">
      <c r="A298" s="5" t="inlineStr">
        <is>
          <t>+</t>
        </is>
      </c>
      <c r="B298" s="5" t="inlineStr">
        <is>
          <t>3</t>
        </is>
      </c>
      <c r="C298" s="5" t="inlineStr">
        <is>
          <t>A-G</t>
        </is>
      </c>
      <c r="D298" s="5" t="inlineStr">
        <is>
          <t>+</t>
        </is>
      </c>
      <c r="G298" s="5" t="inlineStr">
        <is>
          <t>M3</t>
        </is>
      </c>
      <c r="H298" s="5" t="n">
        <v>1</v>
      </c>
      <c r="I298" s="5">
        <f>I297</f>
        <v/>
      </c>
      <c r="J298" s="5" t="n">
        <v>0.3</v>
      </c>
      <c r="K298" s="5" t="n">
        <v>0.8</v>
      </c>
      <c r="L298" s="5">
        <f>K298*J298*I298*H298</f>
        <v/>
      </c>
      <c r="M298" s="5" t="inlineStr">
        <is>
          <t>second élément du N7 en T</t>
        </is>
      </c>
    </row>
    <row r="299">
      <c r="A299" s="5" t="inlineStr">
        <is>
          <t>N4</t>
        </is>
      </c>
      <c r="B299" s="5" t="inlineStr">
        <is>
          <t>5</t>
        </is>
      </c>
      <c r="C299" s="5" t="inlineStr">
        <is>
          <t>A-B</t>
        </is>
      </c>
      <c r="D299" s="5" t="inlineStr">
        <is>
          <t>N4</t>
        </is>
      </c>
      <c r="G299" s="5" t="inlineStr">
        <is>
          <t>M3</t>
        </is>
      </c>
      <c r="H299" s="5" t="n">
        <v>1</v>
      </c>
      <c r="I299" s="5" t="n">
        <v>3.82</v>
      </c>
      <c r="J299" s="5" t="n">
        <v>0.2</v>
      </c>
      <c r="K299" s="5" t="n">
        <v>0.45</v>
      </c>
      <c r="L299" s="5">
        <f>K299*J299*I299*H299</f>
        <v/>
      </c>
      <c r="M299" s="5" t="inlineStr"/>
    </row>
    <row r="300">
      <c r="A300" s="5" t="inlineStr">
        <is>
          <t>N3</t>
        </is>
      </c>
      <c r="B300" s="5" t="inlineStr">
        <is>
          <t>5</t>
        </is>
      </c>
      <c r="C300" s="5" t="inlineStr">
        <is>
          <t>B-F</t>
        </is>
      </c>
      <c r="D300" s="5" t="inlineStr">
        <is>
          <t>N3</t>
        </is>
      </c>
      <c r="G300" s="5" t="inlineStr">
        <is>
          <t>M3</t>
        </is>
      </c>
      <c r="H300" s="5" t="n">
        <v>1</v>
      </c>
      <c r="I300" s="5">
        <f>0.4+0.82+1.08+0.15</f>
        <v/>
      </c>
      <c r="J300" s="5" t="n">
        <v>0.2</v>
      </c>
      <c r="K300" s="5" t="n">
        <v>0.4</v>
      </c>
      <c r="L300" s="5">
        <f>K300*J300*I300*H300</f>
        <v/>
      </c>
      <c r="M300" s="5" t="inlineStr"/>
    </row>
    <row r="301">
      <c r="A301" s="5" t="inlineStr">
        <is>
          <t>N4</t>
        </is>
      </c>
      <c r="B301" s="5" t="inlineStr">
        <is>
          <t>5</t>
        </is>
      </c>
      <c r="C301" s="5" t="inlineStr">
        <is>
          <t>F-G</t>
        </is>
      </c>
      <c r="D301" s="5" t="inlineStr">
        <is>
          <t>N4</t>
        </is>
      </c>
      <c r="G301" s="5" t="inlineStr">
        <is>
          <t>M3</t>
        </is>
      </c>
      <c r="H301" s="5" t="n">
        <v>1</v>
      </c>
      <c r="I301" s="5" t="n">
        <v>3.82</v>
      </c>
      <c r="J301" s="5" t="n">
        <v>0.2</v>
      </c>
      <c r="K301" s="5" t="n">
        <v>0.45</v>
      </c>
      <c r="L301" s="5">
        <f>K301*J301*I301*H301</f>
        <v/>
      </c>
      <c r="M301" s="5" t="inlineStr"/>
    </row>
    <row r="302">
      <c r="A302" s="5" t="inlineStr">
        <is>
          <t>N3</t>
        </is>
      </c>
      <c r="B302" s="5" t="inlineStr">
        <is>
          <t>6</t>
        </is>
      </c>
      <c r="C302" s="5" t="inlineStr">
        <is>
          <t>A-C</t>
        </is>
      </c>
      <c r="D302" s="5" t="inlineStr">
        <is>
          <t>N3</t>
        </is>
      </c>
      <c r="G302" s="5" t="inlineStr">
        <is>
          <t>M3</t>
        </is>
      </c>
      <c r="H302" s="5" t="n">
        <v>1</v>
      </c>
      <c r="I302" s="5">
        <f>3.82+0.4</f>
        <v/>
      </c>
      <c r="J302" s="5" t="n">
        <v>0.2</v>
      </c>
      <c r="K302" s="5" t="n">
        <v>0.4</v>
      </c>
      <c r="L302" s="5">
        <f>K302*J302*I302*H302</f>
        <v/>
      </c>
      <c r="M302" s="5" t="inlineStr">
        <is>
          <t>référence : N4 A-B / N3 B-E / N4 E-G (différent du plan)</t>
        </is>
      </c>
    </row>
    <row r="303">
      <c r="A303" s="5" t="inlineStr">
        <is>
          <t>N1</t>
        </is>
      </c>
      <c r="B303" s="5" t="inlineStr">
        <is>
          <t>6</t>
        </is>
      </c>
      <c r="C303" s="5" t="inlineStr">
        <is>
          <t>C-E</t>
        </is>
      </c>
      <c r="D303" s="5" t="inlineStr">
        <is>
          <t>N1</t>
        </is>
      </c>
      <c r="G303" s="5" t="inlineStr">
        <is>
          <t>M3</t>
        </is>
      </c>
      <c r="H303" s="5" t="n">
        <v>1</v>
      </c>
      <c r="I303" s="5">
        <f>0.82+1.08</f>
        <v/>
      </c>
      <c r="J303" s="5" t="n">
        <v>0.2</v>
      </c>
      <c r="K303" s="5" t="n">
        <v>0.3</v>
      </c>
      <c r="L303" s="5">
        <f>K303*J303*I303*H303</f>
        <v/>
      </c>
      <c r="M303" s="5" t="inlineStr">
        <is>
          <t>référence : N3 B-E</t>
        </is>
      </c>
    </row>
    <row r="304">
      <c r="A304" s="5" t="inlineStr">
        <is>
          <t>N3</t>
        </is>
      </c>
      <c r="B304" s="5" t="inlineStr">
        <is>
          <t>6</t>
        </is>
      </c>
      <c r="C304" s="5" t="inlineStr">
        <is>
          <t>E-G</t>
        </is>
      </c>
      <c r="D304" s="5" t="inlineStr">
        <is>
          <t>N3</t>
        </is>
      </c>
      <c r="G304" s="5" t="inlineStr">
        <is>
          <t>M3</t>
        </is>
      </c>
      <c r="H304" s="5" t="n">
        <v>1</v>
      </c>
      <c r="I304" s="5">
        <f>0.15+3.82</f>
        <v/>
      </c>
      <c r="J304" s="5" t="n">
        <v>0.2</v>
      </c>
      <c r="K304" s="5" t="n">
        <v>0.4</v>
      </c>
      <c r="L304" s="5">
        <f>K304*J304*I304*H304</f>
        <v/>
      </c>
      <c r="M304" s="5" t="inlineStr">
        <is>
          <t>référence : N4 E-G</t>
        </is>
      </c>
    </row>
    <row r="305">
      <c r="A305" s="5" t="inlineStr">
        <is>
          <t>N3</t>
        </is>
      </c>
      <c r="B305" s="5" t="inlineStr">
        <is>
          <t>7</t>
        </is>
      </c>
      <c r="C305" s="5" t="inlineStr">
        <is>
          <t>A-C</t>
        </is>
      </c>
      <c r="D305" s="5" t="inlineStr">
        <is>
          <t>N3</t>
        </is>
      </c>
      <c r="G305" s="5" t="inlineStr">
        <is>
          <t>M3</t>
        </is>
      </c>
      <c r="H305" s="5" t="n">
        <v>1</v>
      </c>
      <c r="I305" s="5">
        <f>3.82+0.4</f>
        <v/>
      </c>
      <c r="J305" s="5" t="n">
        <v>0.2</v>
      </c>
      <c r="K305" s="5" t="n">
        <v>0.4</v>
      </c>
      <c r="L305" s="5">
        <f>K305*J305*I305*H305</f>
        <v/>
      </c>
      <c r="M305" s="5" t="inlineStr">
        <is>
          <t>référence : N4 A-B / N3 B-E / N4 E-G (différent du plan)</t>
        </is>
      </c>
    </row>
    <row r="306">
      <c r="A306" s="5" t="inlineStr">
        <is>
          <t>N1</t>
        </is>
      </c>
      <c r="B306" s="5" t="inlineStr">
        <is>
          <t>7</t>
        </is>
      </c>
      <c r="C306" s="5" t="inlineStr">
        <is>
          <t>C-E</t>
        </is>
      </c>
      <c r="D306" s="5" t="inlineStr">
        <is>
          <t>N1</t>
        </is>
      </c>
      <c r="G306" s="5" t="inlineStr">
        <is>
          <t>M3</t>
        </is>
      </c>
      <c r="H306" s="5" t="n">
        <v>1</v>
      </c>
      <c r="I306" s="5">
        <f>0.82+1.08</f>
        <v/>
      </c>
      <c r="J306" s="5" t="n">
        <v>0.2</v>
      </c>
      <c r="K306" s="5" t="n">
        <v>0.3</v>
      </c>
      <c r="L306" s="5">
        <f>K306*J306*I306*H306</f>
        <v/>
      </c>
      <c r="M306" s="5" t="inlineStr">
        <is>
          <t>référence : N3 B-E</t>
        </is>
      </c>
    </row>
    <row r="307">
      <c r="A307" s="5" t="inlineStr">
        <is>
          <t>N3</t>
        </is>
      </c>
      <c r="B307" s="5" t="inlineStr">
        <is>
          <t>7</t>
        </is>
      </c>
      <c r="C307" s="5" t="inlineStr">
        <is>
          <t>E-G</t>
        </is>
      </c>
      <c r="D307" s="5" t="inlineStr">
        <is>
          <t>N3</t>
        </is>
      </c>
      <c r="G307" s="5" t="inlineStr">
        <is>
          <t>M3</t>
        </is>
      </c>
      <c r="H307" s="5" t="n">
        <v>1</v>
      </c>
      <c r="I307" s="5">
        <f>0.15+3.82</f>
        <v/>
      </c>
      <c r="J307" s="5" t="n">
        <v>0.2</v>
      </c>
      <c r="K307" s="5" t="n">
        <v>0.4</v>
      </c>
      <c r="L307" s="5">
        <f>K307*J307*I307*H307</f>
        <v/>
      </c>
      <c r="M307" s="5" t="inlineStr">
        <is>
          <t>référence : N4 E-G</t>
        </is>
      </c>
    </row>
    <row r="308">
      <c r="A308" s="5" t="inlineStr">
        <is>
          <t>N3</t>
        </is>
      </c>
      <c r="B308" s="5" t="inlineStr">
        <is>
          <t>8</t>
        </is>
      </c>
      <c r="C308" s="5" t="inlineStr">
        <is>
          <t>A-C</t>
        </is>
      </c>
      <c r="D308" s="5" t="inlineStr">
        <is>
          <t>N3</t>
        </is>
      </c>
      <c r="G308" s="5" t="inlineStr">
        <is>
          <t>M3</t>
        </is>
      </c>
      <c r="H308" s="5" t="n">
        <v>1</v>
      </c>
      <c r="I308" s="5">
        <f>3.82+0.4</f>
        <v/>
      </c>
      <c r="J308" s="5" t="n">
        <v>0.2</v>
      </c>
      <c r="K308" s="5" t="n">
        <v>0.4</v>
      </c>
      <c r="L308" s="5">
        <f>K308*J308*I308*H308</f>
        <v/>
      </c>
      <c r="M308" s="5" t="inlineStr">
        <is>
          <t>référence : N4 A-B / N3 B-E / N4 E-G (différent du plan)</t>
        </is>
      </c>
    </row>
    <row r="309">
      <c r="A309" s="5" t="inlineStr">
        <is>
          <t>N1</t>
        </is>
      </c>
      <c r="B309" s="5" t="inlineStr">
        <is>
          <t>8</t>
        </is>
      </c>
      <c r="C309" s="5" t="inlineStr">
        <is>
          <t>C-E</t>
        </is>
      </c>
      <c r="D309" s="5" t="inlineStr">
        <is>
          <t>N1</t>
        </is>
      </c>
      <c r="G309" s="5" t="inlineStr">
        <is>
          <t>M3</t>
        </is>
      </c>
      <c r="H309" s="5" t="n">
        <v>1</v>
      </c>
      <c r="I309" s="5">
        <f>0.82+1.08</f>
        <v/>
      </c>
      <c r="J309" s="5" t="n">
        <v>0.2</v>
      </c>
      <c r="K309" s="5" t="n">
        <v>0.3</v>
      </c>
      <c r="L309" s="5">
        <f>K309*J309*I309*H309</f>
        <v/>
      </c>
      <c r="M309" s="5" t="inlineStr">
        <is>
          <t>référence : N3 B-E</t>
        </is>
      </c>
    </row>
    <row r="310">
      <c r="A310" s="5" t="inlineStr">
        <is>
          <t>N3</t>
        </is>
      </c>
      <c r="B310" s="5" t="inlineStr">
        <is>
          <t>8</t>
        </is>
      </c>
      <c r="C310" s="5" t="inlineStr">
        <is>
          <t>E-G</t>
        </is>
      </c>
      <c r="D310" s="5" t="inlineStr">
        <is>
          <t>N3</t>
        </is>
      </c>
      <c r="G310" s="5" t="inlineStr">
        <is>
          <t>M3</t>
        </is>
      </c>
      <c r="H310" s="5" t="n">
        <v>1</v>
      </c>
      <c r="I310" s="5">
        <f>0.15+3.82</f>
        <v/>
      </c>
      <c r="J310" s="5" t="n">
        <v>0.2</v>
      </c>
      <c r="K310" s="5" t="n">
        <v>0.4</v>
      </c>
      <c r="L310" s="5">
        <f>K310*J310*I310*H310</f>
        <v/>
      </c>
      <c r="M310" s="5" t="inlineStr">
        <is>
          <t>référence : N4 E-G</t>
        </is>
      </c>
    </row>
    <row r="311">
      <c r="A311" s="5" t="inlineStr">
        <is>
          <t>BN1</t>
        </is>
      </c>
      <c r="B311" s="5" t="inlineStr">
        <is>
          <t>D</t>
        </is>
      </c>
      <c r="C311" s="5" t="inlineStr">
        <is>
          <t>1-3</t>
        </is>
      </c>
      <c r="D311" s="5" t="inlineStr">
        <is>
          <t>BN1</t>
        </is>
      </c>
      <c r="G311" s="5" t="inlineStr">
        <is>
          <t>M3</t>
        </is>
      </c>
      <c r="H311" s="5" t="n">
        <v>1</v>
      </c>
      <c r="I311" s="5">
        <f>2.48+7.25/2</f>
        <v/>
      </c>
      <c r="J311" s="5" t="n">
        <v>0.3</v>
      </c>
      <c r="K311" s="5" t="n">
        <v>0.3</v>
      </c>
      <c r="L311" s="5">
        <f>K311*J311*I311*H311</f>
        <v/>
      </c>
      <c r="M311" s="5" t="inlineStr">
        <is>
          <t>BN1 30x30 sur le plan ; référence comptée en 0.20x0.20</t>
        </is>
      </c>
    </row>
    <row r="312">
      <c r="A312" s="5" t="inlineStr">
        <is>
          <t>BN1</t>
        </is>
      </c>
      <c r="B312" s="5" t="inlineStr">
        <is>
          <t>D</t>
        </is>
      </c>
      <c r="C312" s="5" t="inlineStr">
        <is>
          <t>3-5</t>
        </is>
      </c>
      <c r="D312" s="5" t="inlineStr">
        <is>
          <t>BN1</t>
        </is>
      </c>
      <c r="G312" s="5" t="inlineStr">
        <is>
          <t>M3</t>
        </is>
      </c>
      <c r="H312" s="5" t="n">
        <v>1</v>
      </c>
      <c r="I312" s="5">
        <f>7.25/2+2.38</f>
        <v/>
      </c>
      <c r="J312" s="5" t="n">
        <v>0.3</v>
      </c>
      <c r="K312" s="5" t="n">
        <v>0.3</v>
      </c>
      <c r="L312" s="5">
        <f>K312*J312*I312*H312</f>
        <v/>
      </c>
      <c r="M312" s="5" t="inlineStr">
        <is>
          <t>BN1 30x30 sur le plan ; référence comptée en 0.20x0.20</t>
        </is>
      </c>
    </row>
    <row r="313">
      <c r="A313" s="5" t="inlineStr">
        <is>
          <t>BN2</t>
        </is>
      </c>
      <c r="B313" s="5" t="inlineStr">
        <is>
          <t>C</t>
        </is>
      </c>
      <c r="C313" s="5" t="inlineStr">
        <is>
          <t>5-6</t>
        </is>
      </c>
      <c r="D313" s="5" t="inlineStr">
        <is>
          <t>BN2</t>
        </is>
      </c>
      <c r="G313" s="5" t="inlineStr">
        <is>
          <t>M3</t>
        </is>
      </c>
      <c r="H313" s="5" t="n">
        <v>1</v>
      </c>
      <c r="I313" s="5" t="n">
        <v>4.78</v>
      </c>
      <c r="J313" s="5" t="n">
        <v>0.2</v>
      </c>
      <c r="K313" s="5" t="n">
        <v>0.2</v>
      </c>
      <c r="L313" s="5">
        <f>K313*J313*I313*H313</f>
        <v/>
      </c>
      <c r="M313" s="5" t="inlineStr"/>
    </row>
    <row r="314">
      <c r="A314" s="5" t="inlineStr">
        <is>
          <t>BN2</t>
        </is>
      </c>
      <c r="B314" s="5" t="inlineStr">
        <is>
          <t>C</t>
        </is>
      </c>
      <c r="C314" s="5" t="inlineStr">
        <is>
          <t>6-7</t>
        </is>
      </c>
      <c r="D314" s="5" t="inlineStr">
        <is>
          <t>BN2</t>
        </is>
      </c>
      <c r="G314" s="5" t="inlineStr">
        <is>
          <t>M3</t>
        </is>
      </c>
      <c r="H314" s="5" t="n">
        <v>1</v>
      </c>
      <c r="I314" s="5" t="n">
        <v>2.65</v>
      </c>
      <c r="J314" s="5" t="n">
        <v>0.2</v>
      </c>
      <c r="K314" s="5" t="n">
        <v>0.2</v>
      </c>
      <c r="L314" s="5">
        <f>K314*J314*I314*H314</f>
        <v/>
      </c>
      <c r="M314" s="5" t="inlineStr"/>
    </row>
    <row r="315">
      <c r="A315" s="5" t="inlineStr">
        <is>
          <t>BN2</t>
        </is>
      </c>
      <c r="B315" s="5" t="inlineStr">
        <is>
          <t>C</t>
        </is>
      </c>
      <c r="C315" s="5" t="inlineStr">
        <is>
          <t>7-8</t>
        </is>
      </c>
      <c r="D315" s="5" t="inlineStr">
        <is>
          <t>BN2</t>
        </is>
      </c>
      <c r="G315" s="5" t="inlineStr">
        <is>
          <t>M3</t>
        </is>
      </c>
      <c r="H315" s="5" t="n">
        <v>1</v>
      </c>
      <c r="I315" s="5" t="n">
        <v>4.6</v>
      </c>
      <c r="J315" s="5" t="n">
        <v>0.2</v>
      </c>
      <c r="K315" s="5" t="n">
        <v>0.2</v>
      </c>
      <c r="L315" s="5">
        <f>K315*J315*I315*H315</f>
        <v/>
      </c>
      <c r="M315" s="5" t="inlineStr"/>
    </row>
    <row r="316">
      <c r="A316" s="5" t="inlineStr">
        <is>
          <t>BN2</t>
        </is>
      </c>
      <c r="B316" s="5" t="inlineStr">
        <is>
          <t>E</t>
        </is>
      </c>
      <c r="C316" s="5" t="inlineStr">
        <is>
          <t>5-6</t>
        </is>
      </c>
      <c r="D316" s="5" t="inlineStr">
        <is>
          <t>BN2</t>
        </is>
      </c>
      <c r="G316" s="5" t="inlineStr">
        <is>
          <t>M3</t>
        </is>
      </c>
      <c r="H316" s="5" t="n">
        <v>1</v>
      </c>
      <c r="I316" s="5" t="n">
        <v>4.78</v>
      </c>
      <c r="J316" s="5" t="n">
        <v>0.2</v>
      </c>
      <c r="K316" s="5" t="n">
        <v>0.2</v>
      </c>
      <c r="L316" s="5">
        <f>K316*J316*I316*H316</f>
        <v/>
      </c>
      <c r="M316" s="5" t="inlineStr"/>
    </row>
    <row r="317">
      <c r="A317" s="5" t="inlineStr">
        <is>
          <t>BN2</t>
        </is>
      </c>
      <c r="B317" s="5" t="inlineStr">
        <is>
          <t>E</t>
        </is>
      </c>
      <c r="C317" s="5" t="inlineStr">
        <is>
          <t>6-7</t>
        </is>
      </c>
      <c r="D317" s="5" t="inlineStr">
        <is>
          <t>BN2</t>
        </is>
      </c>
      <c r="G317" s="5" t="inlineStr">
        <is>
          <t>M3</t>
        </is>
      </c>
      <c r="H317" s="5" t="n">
        <v>1</v>
      </c>
      <c r="I317" s="5" t="n">
        <v>2.65</v>
      </c>
      <c r="J317" s="5" t="n">
        <v>0.2</v>
      </c>
      <c r="K317" s="5" t="n">
        <v>0.2</v>
      </c>
      <c r="L317" s="5">
        <f>K317*J317*I317*H317</f>
        <v/>
      </c>
      <c r="M317" s="5" t="inlineStr"/>
    </row>
    <row r="318">
      <c r="A318" s="5" t="inlineStr">
        <is>
          <t>BN2</t>
        </is>
      </c>
      <c r="B318" s="5" t="inlineStr">
        <is>
          <t>E</t>
        </is>
      </c>
      <c r="C318" s="5" t="inlineStr">
        <is>
          <t>7-8</t>
        </is>
      </c>
      <c r="D318" s="5" t="inlineStr">
        <is>
          <t>BN2</t>
        </is>
      </c>
      <c r="G318" s="5" t="inlineStr">
        <is>
          <t>M3</t>
        </is>
      </c>
      <c r="H318" s="5" t="n">
        <v>1</v>
      </c>
      <c r="I318" s="5" t="n">
        <v>4.6</v>
      </c>
      <c r="J318" s="5" t="n">
        <v>0.2</v>
      </c>
      <c r="K318" s="5" t="n">
        <v>0.2</v>
      </c>
      <c r="L318" s="5">
        <f>K318*J318*I318*H318</f>
        <v/>
      </c>
      <c r="M318" s="5" t="inlineStr"/>
    </row>
    <row r="319">
      <c r="A319" s="6" t="inlineStr">
        <is>
          <t>total</t>
        </is>
      </c>
      <c r="M319" s="6">
        <f>SUM(L283:L318)</f>
        <v/>
      </c>
    </row>
    <row r="320">
      <c r="A320" s="3" t="inlineStr">
        <is>
          <t>7</t>
        </is>
      </c>
      <c r="B320" s="4" t="inlineStr">
        <is>
          <t xml:space="preserve"> Remblaiement en tout-venant </t>
        </is>
      </c>
    </row>
    <row r="321">
      <c r="A321" s="5" t="inlineStr">
        <is>
          <t>adduction</t>
        </is>
      </c>
    </row>
    <row r="322">
      <c r="B322" s="2" t="inlineStr">
        <is>
          <t>axe</t>
        </is>
      </c>
      <c r="C322" s="2" t="inlineStr">
        <is>
          <t>fill</t>
        </is>
      </c>
    </row>
    <row r="323">
      <c r="A323" s="5" t="n"/>
      <c r="B323" s="5" t="inlineStr">
        <is>
          <t>A</t>
        </is>
      </c>
      <c r="C323" s="5" t="inlineStr">
        <is>
          <t>1-6</t>
        </is>
      </c>
      <c r="D323" s="5" t="n"/>
      <c r="G323" s="5" t="inlineStr">
        <is>
          <t>M3</t>
        </is>
      </c>
      <c r="H323" s="5" t="n">
        <v>1</v>
      </c>
      <c r="I323" s="5" t="n">
        <v>25.4</v>
      </c>
      <c r="J323" s="5" t="n">
        <v>1.6</v>
      </c>
      <c r="K323" s="5">
        <f>$N$14</f>
        <v/>
      </c>
      <c r="L323" s="5">
        <f>K323*J323*I323*H323</f>
        <v/>
      </c>
      <c r="M323" s="5" t="inlineStr"/>
    </row>
    <row r="324">
      <c r="A324" s="5" t="n"/>
      <c r="B324" s="5" t="inlineStr">
        <is>
          <t>F</t>
        </is>
      </c>
      <c r="C324" s="5" t="inlineStr">
        <is>
          <t>1-6</t>
        </is>
      </c>
      <c r="D324" s="5" t="n"/>
      <c r="G324" s="5" t="inlineStr">
        <is>
          <t>M3</t>
        </is>
      </c>
      <c r="H324" s="5" t="n">
        <v>1</v>
      </c>
      <c r="I324" s="5" t="n">
        <v>25.4</v>
      </c>
      <c r="J324" s="5" t="n">
        <v>1.6</v>
      </c>
      <c r="K324" s="5">
        <f>$N$14+0.3</f>
        <v/>
      </c>
      <c r="L324" s="5">
        <f>K324*J324*I324*H324</f>
        <v/>
      </c>
      <c r="M324" s="5" t="inlineStr"/>
    </row>
    <row r="325">
      <c r="A325" s="5" t="n"/>
      <c r="B325" s="5" t="inlineStr">
        <is>
          <t>A-F</t>
        </is>
      </c>
      <c r="C325" s="5" t="inlineStr">
        <is>
          <t>1</t>
        </is>
      </c>
      <c r="D325" s="5" t="n"/>
      <c r="G325" s="5" t="inlineStr">
        <is>
          <t>M3</t>
        </is>
      </c>
      <c r="H325" s="5" t="n">
        <v>1</v>
      </c>
      <c r="I325" s="5" t="n">
        <v>11.4</v>
      </c>
      <c r="J325" s="5" t="n">
        <v>1.6</v>
      </c>
      <c r="K325" s="5">
        <f>$N$14</f>
        <v/>
      </c>
      <c r="L325" s="5">
        <f>K325*J325*I325*H325</f>
        <v/>
      </c>
      <c r="M325" s="5" t="inlineStr"/>
    </row>
    <row r="326">
      <c r="A326" s="5" t="n"/>
      <c r="B326" s="5" t="inlineStr">
        <is>
          <t>A-F</t>
        </is>
      </c>
      <c r="C326" s="5" t="inlineStr">
        <is>
          <t>6</t>
        </is>
      </c>
      <c r="D326" s="5" t="n"/>
      <c r="G326" s="5" t="inlineStr">
        <is>
          <t>M3</t>
        </is>
      </c>
      <c r="H326" s="5" t="n">
        <v>1</v>
      </c>
      <c r="I326" s="5" t="n">
        <v>11.4</v>
      </c>
      <c r="J326" s="5" t="n">
        <v>1.6</v>
      </c>
      <c r="K326" s="5">
        <f>$N$14</f>
        <v/>
      </c>
      <c r="L326" s="5">
        <f>K326*J326*I326*H326</f>
        <v/>
      </c>
      <c r="M326" s="5" t="inlineStr"/>
    </row>
    <row r="327">
      <c r="A327" s="5" t="n"/>
      <c r="B327" s="5" t="inlineStr">
        <is>
          <t>C-D</t>
        </is>
      </c>
      <c r="C327" s="5" t="inlineStr">
        <is>
          <t>2</t>
        </is>
      </c>
      <c r="D327" s="5" t="n"/>
      <c r="G327" s="5" t="inlineStr">
        <is>
          <t>M3</t>
        </is>
      </c>
      <c r="H327" s="5" t="n">
        <v>1</v>
      </c>
      <c r="I327" s="5" t="n">
        <v>2.75</v>
      </c>
      <c r="J327" s="5" t="n">
        <v>1.6</v>
      </c>
      <c r="K327" s="5">
        <f>$N$14+0.4</f>
        <v/>
      </c>
      <c r="L327" s="5">
        <f>K327*J327*I327*H327</f>
        <v/>
      </c>
      <c r="M327" s="5" t="inlineStr"/>
    </row>
    <row r="328">
      <c r="A328" s="5" t="n"/>
      <c r="B328" s="5" t="inlineStr">
        <is>
          <t>C-D</t>
        </is>
      </c>
      <c r="C328" s="5" t="inlineStr">
        <is>
          <t>3</t>
        </is>
      </c>
      <c r="D328" s="5" t="n"/>
      <c r="G328" s="5" t="inlineStr">
        <is>
          <t>M3</t>
        </is>
      </c>
      <c r="H328" s="5" t="n">
        <v>1</v>
      </c>
      <c r="I328" s="5" t="n">
        <v>2.75</v>
      </c>
      <c r="J328" s="5" t="n">
        <v>1.6</v>
      </c>
      <c r="K328" s="5">
        <f>$N$14</f>
        <v/>
      </c>
      <c r="L328" s="5">
        <f>K328*J328*I328*H328</f>
        <v/>
      </c>
      <c r="M328" s="5" t="inlineStr"/>
    </row>
    <row r="329">
      <c r="A329" s="5" t="n"/>
      <c r="B329" s="5" t="inlineStr">
        <is>
          <t>C-D</t>
        </is>
      </c>
      <c r="C329" s="5" t="inlineStr">
        <is>
          <t>4</t>
        </is>
      </c>
      <c r="D329" s="5" t="n"/>
      <c r="G329" s="5" t="inlineStr">
        <is>
          <t>M3</t>
        </is>
      </c>
      <c r="H329" s="5" t="n">
        <v>1</v>
      </c>
      <c r="I329" s="5" t="n">
        <v>2.75</v>
      </c>
      <c r="J329" s="5" t="n">
        <v>1.6</v>
      </c>
      <c r="K329" s="5">
        <f>$N$14</f>
        <v/>
      </c>
      <c r="L329" s="5">
        <f>K329*J329*I329*H329</f>
        <v/>
      </c>
      <c r="M329" s="5" t="inlineStr"/>
    </row>
    <row r="330">
      <c r="A330" s="5" t="n"/>
      <c r="B330" s="5" t="inlineStr">
        <is>
          <t>C-D</t>
        </is>
      </c>
      <c r="C330" s="5" t="inlineStr">
        <is>
          <t>5</t>
        </is>
      </c>
      <c r="D330" s="5" t="n"/>
      <c r="G330" s="5" t="inlineStr">
        <is>
          <t>M3</t>
        </is>
      </c>
      <c r="H330" s="5" t="n">
        <v>1</v>
      </c>
      <c r="I330" s="5" t="n">
        <v>2.75</v>
      </c>
      <c r="J330" s="5" t="n">
        <v>1.6</v>
      </c>
      <c r="K330" s="5">
        <f>$N$14</f>
        <v/>
      </c>
      <c r="L330" s="5">
        <f>K330*J330*I330*H330</f>
        <v/>
      </c>
      <c r="M330" s="5" t="inlineStr"/>
    </row>
    <row r="331">
      <c r="A331" s="5" t="inlineStr">
        <is>
          <t>reduire</t>
        </is>
      </c>
    </row>
    <row r="332">
      <c r="B332" s="2" t="inlineStr">
        <is>
          <t>axe</t>
        </is>
      </c>
      <c r="C332" s="2" t="inlineStr">
        <is>
          <t>fill</t>
        </is>
      </c>
    </row>
    <row r="333">
      <c r="A333" s="5" t="inlineStr">
        <is>
          <t>S1</t>
        </is>
      </c>
      <c r="B333" s="5" t="inlineStr">
        <is>
          <t>A</t>
        </is>
      </c>
      <c r="C333" s="5" t="inlineStr">
        <is>
          <t>1</t>
        </is>
      </c>
      <c r="D333" s="5" t="n">
        <v>1</v>
      </c>
      <c r="E333" s="5" t="n">
        <v>1</v>
      </c>
      <c r="F333" s="5" t="n">
        <v>0.25</v>
      </c>
      <c r="G333" s="5" t="inlineStr">
        <is>
          <t>M3</t>
        </is>
      </c>
      <c r="H333" s="5" t="n">
        <v>-1</v>
      </c>
      <c r="I333" s="5">
        <f>D333</f>
        <v/>
      </c>
      <c r="J333" s="5">
        <f>E333</f>
        <v/>
      </c>
      <c r="K333" s="5" t="n">
        <v>0.1</v>
      </c>
      <c r="L333" s="5">
        <f>H333*I333*J333*K333</f>
        <v/>
      </c>
      <c r="M333" s="5" t="inlineStr"/>
    </row>
    <row r="334">
      <c r="A334" s="5" t="inlineStr">
        <is>
          <t>S4</t>
        </is>
      </c>
      <c r="B334" s="5" t="inlineStr">
        <is>
          <t>A</t>
        </is>
      </c>
      <c r="C334" s="5" t="inlineStr">
        <is>
          <t>2</t>
        </is>
      </c>
      <c r="D334" s="5" t="n">
        <v>1.5</v>
      </c>
      <c r="E334" s="5" t="n">
        <v>1.5</v>
      </c>
      <c r="F334" s="5" t="n">
        <v>0.4</v>
      </c>
      <c r="G334" s="5" t="inlineStr">
        <is>
          <t>M3</t>
        </is>
      </c>
      <c r="H334" s="5" t="n">
        <v>-1</v>
      </c>
      <c r="I334" s="5">
        <f>D334</f>
        <v/>
      </c>
      <c r="J334" s="5">
        <f>E334</f>
        <v/>
      </c>
      <c r="K334" s="5" t="n">
        <v>0.1</v>
      </c>
      <c r="L334" s="5">
        <f>H334*I334*J334*K334</f>
        <v/>
      </c>
      <c r="M334" s="5" t="inlineStr"/>
    </row>
    <row r="335">
      <c r="A335" s="5" t="inlineStr">
        <is>
          <t>S4</t>
        </is>
      </c>
      <c r="B335" s="5" t="inlineStr">
        <is>
          <t>A</t>
        </is>
      </c>
      <c r="C335" s="5" t="inlineStr">
        <is>
          <t>4</t>
        </is>
      </c>
      <c r="D335" s="5" t="n">
        <v>1.5</v>
      </c>
      <c r="E335" s="5" t="n">
        <v>1.5</v>
      </c>
      <c r="F335" s="5" t="n">
        <v>0.4</v>
      </c>
      <c r="G335" s="5" t="inlineStr">
        <is>
          <t>M3</t>
        </is>
      </c>
      <c r="H335" s="5" t="n">
        <v>-1</v>
      </c>
      <c r="I335" s="5">
        <f>D335</f>
        <v/>
      </c>
      <c r="J335" s="5">
        <f>E335</f>
        <v/>
      </c>
      <c r="K335" s="5" t="n">
        <v>0.1</v>
      </c>
      <c r="L335" s="5">
        <f>H335*I335*J335*K335</f>
        <v/>
      </c>
      <c r="M335" s="5" t="inlineStr"/>
    </row>
    <row r="336">
      <c r="A336" s="5" t="inlineStr">
        <is>
          <t>S2</t>
        </is>
      </c>
      <c r="B336" s="5" t="inlineStr">
        <is>
          <t>A</t>
        </is>
      </c>
      <c r="C336" s="5" t="inlineStr">
        <is>
          <t>5</t>
        </is>
      </c>
      <c r="D336" s="5" t="n">
        <v>1.1</v>
      </c>
      <c r="E336" s="5" t="n">
        <v>1.1</v>
      </c>
      <c r="F336" s="5" t="n">
        <v>0.25</v>
      </c>
      <c r="G336" s="5" t="inlineStr">
        <is>
          <t>M3</t>
        </is>
      </c>
      <c r="H336" s="5" t="n">
        <v>-1</v>
      </c>
      <c r="I336" s="5">
        <f>D336</f>
        <v/>
      </c>
      <c r="J336" s="5">
        <f>E336</f>
        <v/>
      </c>
      <c r="K336" s="5" t="n">
        <v>0.1</v>
      </c>
      <c r="L336" s="5">
        <f>H336*I336*J336*K336</f>
        <v/>
      </c>
      <c r="M336" s="5" t="inlineStr"/>
    </row>
    <row r="337">
      <c r="A337" s="5" t="inlineStr">
        <is>
          <t>S3</t>
        </is>
      </c>
      <c r="B337" s="5" t="inlineStr">
        <is>
          <t>A</t>
        </is>
      </c>
      <c r="C337" s="5" t="inlineStr">
        <is>
          <t>6</t>
        </is>
      </c>
      <c r="D337" s="5" t="n">
        <v>1.2</v>
      </c>
      <c r="E337" s="5" t="n">
        <v>1.2</v>
      </c>
      <c r="F337" s="5" t="n">
        <v>0.3</v>
      </c>
      <c r="G337" s="5" t="inlineStr">
        <is>
          <t>M3</t>
        </is>
      </c>
      <c r="H337" s="5" t="n">
        <v>-1</v>
      </c>
      <c r="I337" s="5">
        <f>D337</f>
        <v/>
      </c>
      <c r="J337" s="5">
        <f>E337</f>
        <v/>
      </c>
      <c r="K337" s="5" t="n">
        <v>0.1</v>
      </c>
      <c r="L337" s="5">
        <f>H337*I337*J337*K337</f>
        <v/>
      </c>
      <c r="M337" s="5" t="inlineStr"/>
    </row>
    <row r="338">
      <c r="A338" s="5" t="inlineStr">
        <is>
          <t>S3</t>
        </is>
      </c>
      <c r="B338" s="5" t="inlineStr">
        <is>
          <t>A</t>
        </is>
      </c>
      <c r="C338" s="5" t="inlineStr">
        <is>
          <t>7</t>
        </is>
      </c>
      <c r="D338" s="5" t="n">
        <v>1.2</v>
      </c>
      <c r="E338" s="5" t="n">
        <v>1.2</v>
      </c>
      <c r="F338" s="5" t="n">
        <v>0.3</v>
      </c>
      <c r="G338" s="5" t="inlineStr">
        <is>
          <t>M3</t>
        </is>
      </c>
      <c r="H338" s="5" t="n">
        <v>-1</v>
      </c>
      <c r="I338" s="5">
        <f>D338</f>
        <v/>
      </c>
      <c r="J338" s="5">
        <f>E338</f>
        <v/>
      </c>
      <c r="K338" s="5" t="n">
        <v>0.1</v>
      </c>
      <c r="L338" s="5">
        <f>H338*I338*J338*K338</f>
        <v/>
      </c>
      <c r="M338" s="5" t="inlineStr"/>
    </row>
    <row r="339">
      <c r="A339" s="5" t="inlineStr">
        <is>
          <t>S4</t>
        </is>
      </c>
      <c r="B339" s="5" t="inlineStr">
        <is>
          <t>D</t>
        </is>
      </c>
      <c r="C339" s="5" t="inlineStr">
        <is>
          <t>1</t>
        </is>
      </c>
      <c r="D339" s="5" t="n">
        <v>1.5</v>
      </c>
      <c r="E339" s="5" t="n">
        <v>1.5</v>
      </c>
      <c r="F339" s="5" t="n">
        <v>0.4</v>
      </c>
      <c r="G339" s="5" t="inlineStr">
        <is>
          <t>M3</t>
        </is>
      </c>
      <c r="H339" s="5" t="n">
        <v>-1</v>
      </c>
      <c r="I339" s="5">
        <f>D339</f>
        <v/>
      </c>
      <c r="J339" s="5">
        <f>E339</f>
        <v/>
      </c>
      <c r="K339" s="5" t="n">
        <v>0.1</v>
      </c>
      <c r="L339" s="5">
        <f>H339*I339*J339*K339</f>
        <v/>
      </c>
      <c r="M339" s="5" t="inlineStr"/>
    </row>
    <row r="340">
      <c r="A340" s="5" t="n"/>
      <c r="B340" s="5" t="inlineStr">
        <is>
          <t>C</t>
        </is>
      </c>
      <c r="C340" s="5" t="inlineStr">
        <is>
          <t>5-6</t>
        </is>
      </c>
      <c r="D340" s="5" t="inlineStr">
        <is>
          <t>LG</t>
        </is>
      </c>
      <c r="G340" s="5" t="inlineStr">
        <is>
          <t>M3</t>
        </is>
      </c>
      <c r="H340" s="5" t="n">
        <v>-1</v>
      </c>
      <c r="I340" s="5" t="n">
        <v>4.78</v>
      </c>
      <c r="J340" s="5" t="n">
        <v>0.4000000000000001</v>
      </c>
      <c r="K340" s="5" t="n">
        <v>0.1</v>
      </c>
      <c r="L340" s="5">
        <f>K340*J340*I340*H340</f>
        <v/>
      </c>
      <c r="M340" s="5" t="inlineStr"/>
    </row>
    <row r="341">
      <c r="A341" s="5" t="n"/>
      <c r="B341" s="5" t="inlineStr">
        <is>
          <t>C</t>
        </is>
      </c>
      <c r="C341" s="5" t="inlineStr">
        <is>
          <t>6-7</t>
        </is>
      </c>
      <c r="D341" s="5" t="inlineStr">
        <is>
          <t>LG</t>
        </is>
      </c>
      <c r="G341" s="5" t="inlineStr">
        <is>
          <t>M3</t>
        </is>
      </c>
      <c r="H341" s="5" t="n">
        <v>-1</v>
      </c>
      <c r="I341" s="5" t="n">
        <v>2.65</v>
      </c>
      <c r="J341" s="5" t="n">
        <v>0.4000000000000001</v>
      </c>
      <c r="K341" s="5" t="n">
        <v>0.1</v>
      </c>
      <c r="L341" s="5">
        <f>K341*J341*I341*H341</f>
        <v/>
      </c>
      <c r="M341" s="5" t="inlineStr"/>
    </row>
    <row r="342">
      <c r="A342" s="5" t="n"/>
      <c r="B342" s="5" t="inlineStr">
        <is>
          <t>C</t>
        </is>
      </c>
      <c r="C342" s="5" t="inlineStr">
        <is>
          <t>7-8</t>
        </is>
      </c>
      <c r="D342" s="5" t="inlineStr">
        <is>
          <t>LG</t>
        </is>
      </c>
      <c r="G342" s="5" t="inlineStr">
        <is>
          <t>M3</t>
        </is>
      </c>
      <c r="H342" s="5" t="n">
        <v>-1</v>
      </c>
      <c r="I342" s="5" t="n">
        <v>4.6</v>
      </c>
      <c r="J342" s="5" t="n">
        <v>0.4000000000000001</v>
      </c>
      <c r="K342" s="5" t="n">
        <v>0.1</v>
      </c>
      <c r="L342" s="5">
        <f>K342*J342*I342*H342</f>
        <v/>
      </c>
      <c r="M342" s="5" t="inlineStr"/>
    </row>
    <row r="343">
      <c r="A343" s="5" t="n"/>
      <c r="B343" s="5" t="inlineStr">
        <is>
          <t>D</t>
        </is>
      </c>
      <c r="C343" s="5" t="inlineStr">
        <is>
          <t>1-2</t>
        </is>
      </c>
      <c r="D343" s="5" t="inlineStr">
        <is>
          <t>LG2</t>
        </is>
      </c>
      <c r="G343" s="5" t="inlineStr">
        <is>
          <t>M3</t>
        </is>
      </c>
      <c r="H343" s="5" t="n">
        <v>-1</v>
      </c>
      <c r="I343" s="5" t="n">
        <v>2.48</v>
      </c>
      <c r="J343" s="5" t="n">
        <v>0.4000000000000001</v>
      </c>
      <c r="K343" s="5" t="n">
        <v>0.1</v>
      </c>
      <c r="L343" s="5">
        <f>K343*J343*I343*H343</f>
        <v/>
      </c>
      <c r="M343" s="5" t="inlineStr"/>
    </row>
    <row r="344">
      <c r="A344" s="5" t="n"/>
      <c r="B344" s="5" t="inlineStr">
        <is>
          <t>D</t>
        </is>
      </c>
      <c r="C344" s="5" t="inlineStr">
        <is>
          <t>2-3</t>
        </is>
      </c>
      <c r="D344" s="5" t="inlineStr">
        <is>
          <t>LG2</t>
        </is>
      </c>
      <c r="G344" s="5" t="inlineStr">
        <is>
          <t>M3</t>
        </is>
      </c>
      <c r="H344" s="5" t="n">
        <v>-1</v>
      </c>
      <c r="I344" s="5">
        <f>3.7</f>
        <v/>
      </c>
      <c r="J344" s="5" t="n">
        <v>0.4000000000000001</v>
      </c>
      <c r="K344" s="5" t="n">
        <v>0.1</v>
      </c>
      <c r="L344" s="5">
        <f>K344*J344*I344*H344</f>
        <v/>
      </c>
      <c r="M344" s="5" t="inlineStr"/>
    </row>
    <row r="345">
      <c r="A345" s="5" t="n"/>
      <c r="B345" s="5" t="inlineStr">
        <is>
          <t>D</t>
        </is>
      </c>
      <c r="C345" s="5" t="inlineStr">
        <is>
          <t>3-4</t>
        </is>
      </c>
      <c r="D345" s="5" t="inlineStr">
        <is>
          <t>LG2</t>
        </is>
      </c>
      <c r="G345" s="5" t="inlineStr">
        <is>
          <t>M3</t>
        </is>
      </c>
      <c r="H345" s="5" t="n">
        <v>-1</v>
      </c>
      <c r="I345" s="5">
        <f>3.7</f>
        <v/>
      </c>
      <c r="J345" s="5" t="n">
        <v>0.4000000000000001</v>
      </c>
      <c r="K345" s="5" t="n">
        <v>0.1</v>
      </c>
      <c r="L345" s="5">
        <f>K345*J345*I345*H345</f>
        <v/>
      </c>
      <c r="M345" s="5" t="inlineStr"/>
    </row>
    <row r="346">
      <c r="A346" s="5" t="n"/>
      <c r="B346" s="5" t="inlineStr">
        <is>
          <t>D</t>
        </is>
      </c>
      <c r="C346" s="5" t="inlineStr">
        <is>
          <t>4-5</t>
        </is>
      </c>
      <c r="D346" s="5" t="inlineStr">
        <is>
          <t>LG2</t>
        </is>
      </c>
      <c r="G346" s="5" t="inlineStr">
        <is>
          <t>M3</t>
        </is>
      </c>
      <c r="H346" s="5" t="n">
        <v>-1</v>
      </c>
      <c r="I346" s="5" t="n">
        <v>2.38</v>
      </c>
      <c r="J346" s="5" t="n">
        <v>0.4000000000000001</v>
      </c>
      <c r="K346" s="5" t="n">
        <v>0.1</v>
      </c>
      <c r="L346" s="5">
        <f>K346*J346*I346*H346</f>
        <v/>
      </c>
      <c r="M346" s="5" t="inlineStr"/>
    </row>
    <row r="347">
      <c r="A347" s="5" t="n"/>
      <c r="B347" s="5" t="inlineStr">
        <is>
          <t>E</t>
        </is>
      </c>
      <c r="C347" s="5" t="inlineStr">
        <is>
          <t>5-6</t>
        </is>
      </c>
      <c r="D347" s="5" t="inlineStr">
        <is>
          <t>LG</t>
        </is>
      </c>
      <c r="G347" s="5" t="inlineStr">
        <is>
          <t>M3</t>
        </is>
      </c>
      <c r="H347" s="5" t="n">
        <v>-1</v>
      </c>
      <c r="I347" s="5" t="n">
        <v>4.78</v>
      </c>
      <c r="J347" s="5" t="n">
        <v>0.4000000000000001</v>
      </c>
      <c r="K347" s="5" t="n">
        <v>0.1</v>
      </c>
      <c r="L347" s="5">
        <f>K347*J347*I347*H347</f>
        <v/>
      </c>
      <c r="M347" s="5" t="inlineStr"/>
    </row>
    <row r="348">
      <c r="A348" s="5" t="n"/>
      <c r="B348" s="5" t="inlineStr">
        <is>
          <t>E</t>
        </is>
      </c>
      <c r="C348" s="5" t="inlineStr">
        <is>
          <t>6-7</t>
        </is>
      </c>
      <c r="D348" s="5" t="inlineStr">
        <is>
          <t>LG</t>
        </is>
      </c>
      <c r="G348" s="5" t="inlineStr">
        <is>
          <t>M3</t>
        </is>
      </c>
      <c r="H348" s="5" t="n">
        <v>-1</v>
      </c>
      <c r="I348" s="5" t="n">
        <v>2.65</v>
      </c>
      <c r="J348" s="5" t="n">
        <v>0.4000000000000001</v>
      </c>
      <c r="K348" s="5" t="n">
        <v>0.1</v>
      </c>
      <c r="L348" s="5">
        <f>K348*J348*I348*H348</f>
        <v/>
      </c>
      <c r="M348" s="5" t="inlineStr"/>
    </row>
    <row r="349">
      <c r="A349" s="5" t="n"/>
      <c r="B349" s="5" t="inlineStr">
        <is>
          <t>2</t>
        </is>
      </c>
      <c r="C349" s="5" t="inlineStr">
        <is>
          <t>A-D</t>
        </is>
      </c>
      <c r="D349" s="5" t="inlineStr">
        <is>
          <t>LG2</t>
        </is>
      </c>
      <c r="G349" s="5" t="inlineStr">
        <is>
          <t>M3</t>
        </is>
      </c>
      <c r="H349" s="5" t="n">
        <v>-1</v>
      </c>
      <c r="I349" s="5">
        <f>3.82+0.4+0.82</f>
        <v/>
      </c>
      <c r="J349" s="5" t="n">
        <v>0.4000000000000001</v>
      </c>
      <c r="K349" s="5" t="n">
        <v>0.1</v>
      </c>
      <c r="L349" s="5">
        <f>K349*J349*I349*H349</f>
        <v/>
      </c>
      <c r="M349" s="5" t="inlineStr"/>
    </row>
    <row r="350">
      <c r="A350" s="5" t="n"/>
      <c r="B350" s="5" t="inlineStr">
        <is>
          <t>2</t>
        </is>
      </c>
      <c r="C350" s="5" t="inlineStr">
        <is>
          <t>D-G</t>
        </is>
      </c>
      <c r="D350" s="5" t="inlineStr">
        <is>
          <t>LG2</t>
        </is>
      </c>
      <c r="G350" s="5" t="inlineStr">
        <is>
          <t>M3</t>
        </is>
      </c>
      <c r="H350" s="5" t="n">
        <v>-1</v>
      </c>
      <c r="I350" s="5">
        <f>1.08+0.15+3.82</f>
        <v/>
      </c>
      <c r="J350" s="5" t="n">
        <v>0.4000000000000001</v>
      </c>
      <c r="K350" s="5" t="n">
        <v>0.1</v>
      </c>
      <c r="L350" s="5">
        <f>K350*J350*I350*H350</f>
        <v/>
      </c>
      <c r="M350" s="5" t="inlineStr"/>
    </row>
    <row r="351">
      <c r="A351" s="5" t="n"/>
      <c r="B351" s="5" t="inlineStr">
        <is>
          <t>3</t>
        </is>
      </c>
      <c r="C351" s="5" t="inlineStr">
        <is>
          <t>D-G</t>
        </is>
      </c>
      <c r="D351" s="5" t="inlineStr">
        <is>
          <t>LG2</t>
        </is>
      </c>
      <c r="G351" s="5" t="inlineStr">
        <is>
          <t>M3</t>
        </is>
      </c>
      <c r="H351" s="5" t="n">
        <v>-1</v>
      </c>
      <c r="I351" s="5">
        <f>1.08+0.15+3.82</f>
        <v/>
      </c>
      <c r="J351" s="5" t="n">
        <v>0.4000000000000001</v>
      </c>
      <c r="K351" s="5" t="n">
        <v>0.1</v>
      </c>
      <c r="L351" s="5">
        <f>K351*J351*I351*H351</f>
        <v/>
      </c>
      <c r="M351" s="5" t="inlineStr"/>
    </row>
    <row r="352">
      <c r="A352" s="5" t="n"/>
      <c r="B352" s="5" t="inlineStr">
        <is>
          <t>4</t>
        </is>
      </c>
      <c r="C352" s="5" t="inlineStr">
        <is>
          <t>A-D</t>
        </is>
      </c>
      <c r="D352" s="5" t="inlineStr">
        <is>
          <t>LG2</t>
        </is>
      </c>
      <c r="G352" s="5" t="inlineStr">
        <is>
          <t>M3</t>
        </is>
      </c>
      <c r="H352" s="5" t="n">
        <v>-1</v>
      </c>
      <c r="I352" s="5">
        <f>3.82+0.4+0.82</f>
        <v/>
      </c>
      <c r="J352" s="5" t="n">
        <v>0.4000000000000001</v>
      </c>
      <c r="K352" s="5" t="n">
        <v>0.1</v>
      </c>
      <c r="L352" s="5">
        <f>K352*J352*I352*H352</f>
        <v/>
      </c>
      <c r="M352" s="5" t="inlineStr"/>
    </row>
    <row r="353">
      <c r="A353" s="5" t="n"/>
      <c r="B353" s="5" t="inlineStr">
        <is>
          <t>5</t>
        </is>
      </c>
      <c r="C353" s="5" t="inlineStr">
        <is>
          <t>A-E</t>
        </is>
      </c>
      <c r="D353" s="5" t="inlineStr">
        <is>
          <t>LG</t>
        </is>
      </c>
      <c r="G353" s="5" t="inlineStr">
        <is>
          <t>M3</t>
        </is>
      </c>
      <c r="H353" s="5" t="n">
        <v>-1</v>
      </c>
      <c r="I353" s="5">
        <f>3.82+0.4+0.82+1.08</f>
        <v/>
      </c>
      <c r="J353" s="5" t="n">
        <v>0.4000000000000001</v>
      </c>
      <c r="K353" s="5" t="n">
        <v>0.1</v>
      </c>
      <c r="L353" s="5">
        <f>K353*J353*I353*H353</f>
        <v/>
      </c>
      <c r="M353" s="5" t="inlineStr"/>
    </row>
    <row r="354">
      <c r="A354" s="5" t="n"/>
      <c r="B354" s="5" t="inlineStr">
        <is>
          <t>5</t>
        </is>
      </c>
      <c r="C354" s="5" t="inlineStr">
        <is>
          <t>E-G</t>
        </is>
      </c>
      <c r="D354" s="5" t="inlineStr">
        <is>
          <t>LG</t>
        </is>
      </c>
      <c r="G354" s="5" t="inlineStr">
        <is>
          <t>M3</t>
        </is>
      </c>
      <c r="H354" s="5" t="n">
        <v>-1</v>
      </c>
      <c r="I354" s="5">
        <f>0.15+3.82</f>
        <v/>
      </c>
      <c r="J354" s="5" t="n">
        <v>0.4000000000000001</v>
      </c>
      <c r="K354" s="5" t="n">
        <v>0.1</v>
      </c>
      <c r="L354" s="5">
        <f>K354*J354*I354*H354</f>
        <v/>
      </c>
      <c r="M354" s="5" t="inlineStr"/>
    </row>
    <row r="355">
      <c r="A355" s="5" t="n"/>
      <c r="B355" s="5" t="inlineStr">
        <is>
          <t>6</t>
        </is>
      </c>
      <c r="C355" s="5" t="inlineStr">
        <is>
          <t>A-E</t>
        </is>
      </c>
      <c r="D355" s="5" t="inlineStr">
        <is>
          <t>LG</t>
        </is>
      </c>
      <c r="G355" s="5" t="inlineStr">
        <is>
          <t>M3</t>
        </is>
      </c>
      <c r="H355" s="5" t="n">
        <v>-1</v>
      </c>
      <c r="I355" s="5">
        <f>3.82+0.4+0.82+1.08</f>
        <v/>
      </c>
      <c r="J355" s="5" t="n">
        <v>0.4000000000000001</v>
      </c>
      <c r="K355" s="5" t="n">
        <v>0.1</v>
      </c>
      <c r="L355" s="5">
        <f>K355*J355*I355*H355</f>
        <v/>
      </c>
      <c r="M355" s="5" t="inlineStr"/>
    </row>
    <row r="356">
      <c r="A356" s="5" t="n"/>
      <c r="B356" s="5" t="inlineStr">
        <is>
          <t>6</t>
        </is>
      </c>
      <c r="C356" s="5" t="inlineStr">
        <is>
          <t>E-G</t>
        </is>
      </c>
      <c r="D356" s="5" t="inlineStr">
        <is>
          <t>LG</t>
        </is>
      </c>
      <c r="G356" s="5" t="inlineStr">
        <is>
          <t>M3</t>
        </is>
      </c>
      <c r="H356" s="5" t="n">
        <v>-1</v>
      </c>
      <c r="I356" s="5">
        <f>0.15+3.82</f>
        <v/>
      </c>
      <c r="J356" s="5" t="n">
        <v>0.4000000000000001</v>
      </c>
      <c r="K356" s="5" t="n">
        <v>0.1</v>
      </c>
      <c r="L356" s="5">
        <f>K356*J356*I356*H356</f>
        <v/>
      </c>
      <c r="M356" s="5" t="inlineStr"/>
    </row>
    <row r="357">
      <c r="A357" s="5" t="n"/>
      <c r="B357" s="5" t="inlineStr">
        <is>
          <t>7</t>
        </is>
      </c>
      <c r="C357" s="5" t="inlineStr">
        <is>
          <t>A-E</t>
        </is>
      </c>
      <c r="D357" s="5" t="inlineStr">
        <is>
          <t>LG</t>
        </is>
      </c>
      <c r="G357" s="5" t="inlineStr">
        <is>
          <t>M3</t>
        </is>
      </c>
      <c r="H357" s="5" t="n">
        <v>-1</v>
      </c>
      <c r="I357" s="5">
        <f>3.82+0.4+0.82+1.08</f>
        <v/>
      </c>
      <c r="J357" s="5" t="n">
        <v>0.4000000000000001</v>
      </c>
      <c r="K357" s="5" t="n">
        <v>0.1</v>
      </c>
      <c r="L357" s="5">
        <f>K357*J357*I357*H357</f>
        <v/>
      </c>
      <c r="M357" s="5" t="inlineStr"/>
    </row>
    <row r="358">
      <c r="A358" s="5" t="n"/>
      <c r="B358" s="5" t="inlineStr">
        <is>
          <t>7</t>
        </is>
      </c>
      <c r="C358" s="5" t="inlineStr">
        <is>
          <t>E-G</t>
        </is>
      </c>
      <c r="D358" s="5" t="inlineStr">
        <is>
          <t>LG</t>
        </is>
      </c>
      <c r="G358" s="5" t="inlineStr">
        <is>
          <t>M3</t>
        </is>
      </c>
      <c r="H358" s="5" t="n">
        <v>-1</v>
      </c>
      <c r="I358" s="5">
        <f>0.15+3.82</f>
        <v/>
      </c>
      <c r="J358" s="5" t="n">
        <v>0.4000000000000001</v>
      </c>
      <c r="K358" s="5" t="n">
        <v>0.1</v>
      </c>
      <c r="L358" s="5">
        <f>K358*J358*I358*H358</f>
        <v/>
      </c>
      <c r="M358" s="5" t="inlineStr"/>
    </row>
    <row r="359">
      <c r="A359" s="5" t="n"/>
      <c r="B359" s="5" t="inlineStr">
        <is>
          <t>A</t>
        </is>
      </c>
      <c r="C359" s="5" t="inlineStr">
        <is>
          <t>1-2</t>
        </is>
      </c>
      <c r="D359" s="5" t="inlineStr">
        <is>
          <t>CH</t>
        </is>
      </c>
      <c r="G359" s="5" t="inlineStr">
        <is>
          <t>M3</t>
        </is>
      </c>
      <c r="H359" s="5" t="n">
        <v>-1</v>
      </c>
      <c r="I359" s="5" t="n">
        <v>2.48</v>
      </c>
      <c r="J359" s="5" t="n">
        <v>0.5</v>
      </c>
      <c r="K359" s="5" t="n">
        <v>0.1</v>
      </c>
      <c r="L359" s="5">
        <f>K359*J359*I359*H359</f>
        <v/>
      </c>
      <c r="M359" s="5" t="inlineStr"/>
    </row>
    <row r="360">
      <c r="A360" s="5" t="n"/>
      <c r="B360" s="5" t="inlineStr">
        <is>
          <t>A</t>
        </is>
      </c>
      <c r="C360" s="5" t="inlineStr">
        <is>
          <t>2-4</t>
        </is>
      </c>
      <c r="D360" s="5" t="inlineStr">
        <is>
          <t>CH</t>
        </is>
      </c>
      <c r="G360" s="5" t="inlineStr">
        <is>
          <t>M3</t>
        </is>
      </c>
      <c r="H360" s="5" t="n">
        <v>-1</v>
      </c>
      <c r="I360" s="5" t="n">
        <v>7.25</v>
      </c>
      <c r="J360" s="5" t="n">
        <v>0.5</v>
      </c>
      <c r="K360" s="5" t="n">
        <v>0.1</v>
      </c>
      <c r="L360" s="5">
        <f>K360*J360*I360*H360</f>
        <v/>
      </c>
      <c r="M360" s="5" t="inlineStr"/>
    </row>
    <row r="361">
      <c r="A361" s="5" t="n"/>
      <c r="B361" s="5" t="inlineStr">
        <is>
          <t>A</t>
        </is>
      </c>
      <c r="C361" s="5" t="inlineStr">
        <is>
          <t>4-5</t>
        </is>
      </c>
      <c r="D361" s="5" t="inlineStr">
        <is>
          <t>CH</t>
        </is>
      </c>
      <c r="G361" s="5" t="inlineStr">
        <is>
          <t>M3</t>
        </is>
      </c>
      <c r="H361" s="5" t="n">
        <v>-1</v>
      </c>
      <c r="I361" s="5" t="n">
        <v>2.38</v>
      </c>
      <c r="J361" s="5" t="n">
        <v>0.5</v>
      </c>
      <c r="K361" s="5" t="n">
        <v>0.1</v>
      </c>
      <c r="L361" s="5">
        <f>K361*J361*I361*H361</f>
        <v/>
      </c>
      <c r="M361" s="5" t="inlineStr"/>
    </row>
    <row r="362">
      <c r="A362" s="5" t="n"/>
      <c r="B362" s="5" t="inlineStr">
        <is>
          <t>A</t>
        </is>
      </c>
      <c r="C362" s="5" t="inlineStr">
        <is>
          <t>5-6</t>
        </is>
      </c>
      <c r="D362" s="5" t="inlineStr">
        <is>
          <t>CH</t>
        </is>
      </c>
      <c r="G362" s="5" t="inlineStr">
        <is>
          <t>M3</t>
        </is>
      </c>
      <c r="H362" s="5" t="n">
        <v>-1</v>
      </c>
      <c r="I362" s="5" t="n">
        <v>4.78</v>
      </c>
      <c r="J362" s="5" t="n">
        <v>0.5</v>
      </c>
      <c r="K362" s="5" t="n">
        <v>0.1</v>
      </c>
      <c r="L362" s="5">
        <f>K362*J362*I362*H362</f>
        <v/>
      </c>
      <c r="M362" s="5" t="inlineStr"/>
    </row>
    <row r="363">
      <c r="A363" s="5" t="n"/>
      <c r="B363" s="5" t="inlineStr">
        <is>
          <t>A</t>
        </is>
      </c>
      <c r="C363" s="5" t="inlineStr">
        <is>
          <t>6-7</t>
        </is>
      </c>
      <c r="D363" s="5" t="inlineStr">
        <is>
          <t>CH</t>
        </is>
      </c>
      <c r="G363" s="5" t="inlineStr">
        <is>
          <t>M3</t>
        </is>
      </c>
      <c r="H363" s="5" t="n">
        <v>-1</v>
      </c>
      <c r="I363" s="5" t="n">
        <v>2.65</v>
      </c>
      <c r="J363" s="5" t="n">
        <v>0.5</v>
      </c>
      <c r="K363" s="5" t="n">
        <v>0.1</v>
      </c>
      <c r="L363" s="5">
        <f>K363*J363*I363*H363</f>
        <v/>
      </c>
      <c r="M363" s="5" t="inlineStr"/>
    </row>
    <row r="364">
      <c r="A364" s="5" t="n"/>
      <c r="B364" s="5" t="inlineStr">
        <is>
          <t>A</t>
        </is>
      </c>
      <c r="C364" s="5" t="inlineStr">
        <is>
          <t>7-8</t>
        </is>
      </c>
      <c r="D364" s="5" t="inlineStr">
        <is>
          <t>CH</t>
        </is>
      </c>
      <c r="G364" s="5" t="inlineStr">
        <is>
          <t>M3</t>
        </is>
      </c>
      <c r="H364" s="5" t="n">
        <v>-1</v>
      </c>
      <c r="I364" s="5" t="n">
        <v>4.6</v>
      </c>
      <c r="J364" s="5" t="n">
        <v>0.5</v>
      </c>
      <c r="K364" s="5" t="n">
        <v>0.1</v>
      </c>
      <c r="L364" s="5">
        <f>K364*J364*I364*H364</f>
        <v/>
      </c>
      <c r="M364" s="5" t="inlineStr"/>
    </row>
    <row r="365">
      <c r="A365" s="5" t="n"/>
      <c r="B365" s="5" t="inlineStr">
        <is>
          <t>G</t>
        </is>
      </c>
      <c r="C365" s="5" t="inlineStr">
        <is>
          <t>1-2</t>
        </is>
      </c>
      <c r="D365" s="5" t="inlineStr">
        <is>
          <t>CH</t>
        </is>
      </c>
      <c r="G365" s="5" t="inlineStr">
        <is>
          <t>M3</t>
        </is>
      </c>
      <c r="H365" s="5" t="n">
        <v>-1</v>
      </c>
      <c r="I365" s="5" t="n">
        <v>2.48</v>
      </c>
      <c r="J365" s="5" t="n">
        <v>0.5</v>
      </c>
      <c r="K365" s="5" t="n">
        <v>0.1</v>
      </c>
      <c r="L365" s="5">
        <f>K365*J365*I365*H365</f>
        <v/>
      </c>
      <c r="M365" s="5" t="inlineStr"/>
    </row>
    <row r="366">
      <c r="A366" s="5" t="n"/>
      <c r="B366" s="5" t="inlineStr">
        <is>
          <t>G</t>
        </is>
      </c>
      <c r="C366" s="5" t="inlineStr">
        <is>
          <t>2-4</t>
        </is>
      </c>
      <c r="D366" s="5" t="inlineStr">
        <is>
          <t>CH</t>
        </is>
      </c>
      <c r="G366" s="5" t="inlineStr">
        <is>
          <t>M3</t>
        </is>
      </c>
      <c r="H366" s="5" t="n">
        <v>-1</v>
      </c>
      <c r="I366" s="5" t="n">
        <v>7.25</v>
      </c>
      <c r="J366" s="5" t="n">
        <v>0.5</v>
      </c>
      <c r="K366" s="5" t="n">
        <v>0.1</v>
      </c>
      <c r="L366" s="5">
        <f>K366*J366*I366*H366</f>
        <v/>
      </c>
      <c r="M366" s="5" t="inlineStr"/>
    </row>
    <row r="367">
      <c r="A367" s="5" t="n"/>
      <c r="B367" s="5" t="inlineStr">
        <is>
          <t>G</t>
        </is>
      </c>
      <c r="C367" s="5" t="inlineStr">
        <is>
          <t>4-5</t>
        </is>
      </c>
      <c r="D367" s="5" t="inlineStr">
        <is>
          <t>CH</t>
        </is>
      </c>
      <c r="G367" s="5" t="inlineStr">
        <is>
          <t>M3</t>
        </is>
      </c>
      <c r="H367" s="5" t="n">
        <v>-1</v>
      </c>
      <c r="I367" s="5" t="n">
        <v>2.38</v>
      </c>
      <c r="J367" s="5" t="n">
        <v>0.5</v>
      </c>
      <c r="K367" s="5" t="n">
        <v>0.1</v>
      </c>
      <c r="L367" s="5">
        <f>K367*J367*I367*H367</f>
        <v/>
      </c>
      <c r="M367" s="5" t="inlineStr"/>
    </row>
    <row r="368">
      <c r="A368" s="5" t="n"/>
      <c r="B368" s="5" t="inlineStr">
        <is>
          <t>G</t>
        </is>
      </c>
      <c r="C368" s="5" t="inlineStr">
        <is>
          <t>5-6</t>
        </is>
      </c>
      <c r="D368" s="5" t="inlineStr">
        <is>
          <t>CH</t>
        </is>
      </c>
      <c r="G368" s="5" t="inlineStr">
        <is>
          <t>M3</t>
        </is>
      </c>
      <c r="H368" s="5" t="n">
        <v>-1</v>
      </c>
      <c r="I368" s="5" t="n">
        <v>4.78</v>
      </c>
      <c r="J368" s="5" t="n">
        <v>0.5</v>
      </c>
      <c r="K368" s="5" t="n">
        <v>0.1</v>
      </c>
      <c r="L368" s="5">
        <f>K368*J368*I368*H368</f>
        <v/>
      </c>
      <c r="M368" s="5" t="inlineStr"/>
    </row>
    <row r="369">
      <c r="A369" s="5" t="n"/>
      <c r="B369" s="5" t="inlineStr">
        <is>
          <t>G</t>
        </is>
      </c>
      <c r="C369" s="5" t="inlineStr">
        <is>
          <t>6-7</t>
        </is>
      </c>
      <c r="D369" s="5" t="inlineStr">
        <is>
          <t>CH</t>
        </is>
      </c>
      <c r="G369" s="5" t="inlineStr">
        <is>
          <t>M3</t>
        </is>
      </c>
      <c r="H369" s="5" t="n">
        <v>-1</v>
      </c>
      <c r="I369" s="5" t="n">
        <v>2.65</v>
      </c>
      <c r="J369" s="5" t="n">
        <v>0.5</v>
      </c>
      <c r="K369" s="5" t="n">
        <v>0.1</v>
      </c>
      <c r="L369" s="5">
        <f>K369*J369*I369*H369</f>
        <v/>
      </c>
      <c r="M369" s="5" t="inlineStr"/>
    </row>
    <row r="370">
      <c r="A370" s="5" t="n"/>
      <c r="B370" s="5" t="inlineStr">
        <is>
          <t>G</t>
        </is>
      </c>
      <c r="C370" s="5" t="inlineStr">
        <is>
          <t>7-8</t>
        </is>
      </c>
      <c r="D370" s="5" t="inlineStr">
        <is>
          <t>CH</t>
        </is>
      </c>
      <c r="G370" s="5" t="inlineStr">
        <is>
          <t>M3</t>
        </is>
      </c>
      <c r="H370" s="5" t="n">
        <v>-1</v>
      </c>
      <c r="I370" s="5" t="n">
        <v>4.6</v>
      </c>
      <c r="J370" s="5" t="n">
        <v>0.5</v>
      </c>
      <c r="K370" s="5" t="n">
        <v>0.1</v>
      </c>
      <c r="L370" s="5">
        <f>K370*J370*I370*H370</f>
        <v/>
      </c>
      <c r="M370" s="5" t="inlineStr"/>
    </row>
    <row r="371">
      <c r="A371" s="5" t="n"/>
      <c r="B371" s="5" t="inlineStr">
        <is>
          <t>1</t>
        </is>
      </c>
      <c r="C371" s="5" t="inlineStr">
        <is>
          <t>A-D</t>
        </is>
      </c>
      <c r="D371" s="5" t="inlineStr">
        <is>
          <t>CH</t>
        </is>
      </c>
      <c r="G371" s="5" t="inlineStr">
        <is>
          <t>M3</t>
        </is>
      </c>
      <c r="H371" s="5" t="n">
        <v>-1</v>
      </c>
      <c r="I371" s="5">
        <f>3.82+0.4+0.82</f>
        <v/>
      </c>
      <c r="J371" s="5" t="n">
        <v>0.5</v>
      </c>
      <c r="K371" s="5" t="n">
        <v>0.1</v>
      </c>
      <c r="L371" s="5">
        <f>K371*J371*I371*H371</f>
        <v/>
      </c>
      <c r="M371" s="5" t="inlineStr"/>
    </row>
    <row r="372">
      <c r="A372" s="5" t="n"/>
      <c r="B372" s="5" t="inlineStr">
        <is>
          <t>1</t>
        </is>
      </c>
      <c r="C372" s="5" t="inlineStr">
        <is>
          <t>D-G</t>
        </is>
      </c>
      <c r="D372" s="5" t="inlineStr">
        <is>
          <t>CH</t>
        </is>
      </c>
      <c r="G372" s="5" t="inlineStr">
        <is>
          <t>M3</t>
        </is>
      </c>
      <c r="H372" s="5" t="n">
        <v>-1</v>
      </c>
      <c r="I372" s="5">
        <f>1.08+0.15+3.82</f>
        <v/>
      </c>
      <c r="J372" s="5" t="n">
        <v>0.5</v>
      </c>
      <c r="K372" s="5" t="n">
        <v>0.1</v>
      </c>
      <c r="L372" s="5">
        <f>K372*J372*I372*H372</f>
        <v/>
      </c>
      <c r="M372" s="5" t="inlineStr"/>
    </row>
    <row r="373">
      <c r="A373" s="5" t="n"/>
      <c r="B373" s="5" t="inlineStr">
        <is>
          <t>8</t>
        </is>
      </c>
      <c r="C373" s="5" t="inlineStr">
        <is>
          <t>A-C</t>
        </is>
      </c>
      <c r="D373" s="5" t="inlineStr">
        <is>
          <t>CH</t>
        </is>
      </c>
      <c r="G373" s="5" t="inlineStr">
        <is>
          <t>M3</t>
        </is>
      </c>
      <c r="H373" s="5" t="n">
        <v>-1</v>
      </c>
      <c r="I373" s="5">
        <f>3.82+0.4</f>
        <v/>
      </c>
      <c r="J373" s="5" t="n">
        <v>0.5</v>
      </c>
      <c r="K373" s="5" t="n">
        <v>0.1</v>
      </c>
      <c r="L373" s="5">
        <f>K373*J373*I373*H373</f>
        <v/>
      </c>
      <c r="M373" s="5" t="inlineStr"/>
    </row>
    <row r="374">
      <c r="A374" s="5" t="n"/>
      <c r="B374" s="5" t="inlineStr">
        <is>
          <t>8</t>
        </is>
      </c>
      <c r="C374" s="5" t="inlineStr">
        <is>
          <t>C-E</t>
        </is>
      </c>
      <c r="D374" s="5" t="inlineStr">
        <is>
          <t>CH</t>
        </is>
      </c>
      <c r="G374" s="5" t="inlineStr">
        <is>
          <t>M3</t>
        </is>
      </c>
      <c r="H374" s="5" t="n">
        <v>-1</v>
      </c>
      <c r="I374" s="5">
        <f>0.82+1.08</f>
        <v/>
      </c>
      <c r="J374" s="5" t="n">
        <v>0.5</v>
      </c>
      <c r="K374" s="5" t="n">
        <v>0.1</v>
      </c>
      <c r="L374" s="5">
        <f>K374*J374*I374*H374</f>
        <v/>
      </c>
      <c r="M374" s="5" t="inlineStr"/>
    </row>
    <row r="375">
      <c r="A375" s="5" t="n"/>
      <c r="B375" s="5" t="inlineStr">
        <is>
          <t>8</t>
        </is>
      </c>
      <c r="C375" s="5" t="inlineStr">
        <is>
          <t>E-G</t>
        </is>
      </c>
      <c r="D375" s="5" t="inlineStr">
        <is>
          <t>CH</t>
        </is>
      </c>
      <c r="G375" s="5" t="inlineStr">
        <is>
          <t>M3</t>
        </is>
      </c>
      <c r="H375" s="5" t="n">
        <v>-1</v>
      </c>
      <c r="I375" s="5">
        <f>0.15+3.82</f>
        <v/>
      </c>
      <c r="J375" s="5" t="n">
        <v>0.5</v>
      </c>
      <c r="K375" s="5" t="n">
        <v>0.1</v>
      </c>
      <c r="L375" s="5">
        <f>K375*J375*I375*H375</f>
        <v/>
      </c>
      <c r="M375" s="5" t="inlineStr"/>
    </row>
    <row r="376">
      <c r="A376" s="5" t="inlineStr">
        <is>
          <t>S3</t>
        </is>
      </c>
      <c r="B376" s="5" t="inlineStr">
        <is>
          <t>A</t>
        </is>
      </c>
      <c r="C376" s="5" t="inlineStr">
        <is>
          <t>8</t>
        </is>
      </c>
      <c r="D376" s="5" t="n"/>
      <c r="G376" s="5" t="inlineStr">
        <is>
          <t>M3</t>
        </is>
      </c>
      <c r="H376" s="5" t="n">
        <v>-1</v>
      </c>
      <c r="I376" s="5" t="n">
        <v>1.2</v>
      </c>
      <c r="J376" s="5" t="n">
        <v>1.2</v>
      </c>
      <c r="K376" s="5" t="n">
        <v>0.5</v>
      </c>
      <c r="L376" s="5">
        <f>K376*J376*I376*H376</f>
        <v/>
      </c>
      <c r="M376" s="5" t="inlineStr"/>
    </row>
    <row r="377">
      <c r="A377" s="5" t="inlineStr">
        <is>
          <t>S5</t>
        </is>
      </c>
      <c r="B377" s="5" t="inlineStr">
        <is>
          <t>B</t>
        </is>
      </c>
      <c r="C377" s="5" t="inlineStr">
        <is>
          <t>5</t>
        </is>
      </c>
      <c r="D377" s="5" t="n"/>
      <c r="G377" s="5" t="inlineStr">
        <is>
          <t>M3</t>
        </is>
      </c>
      <c r="H377" s="5" t="n">
        <v>-1</v>
      </c>
      <c r="I377" s="5" t="n">
        <v>1.5</v>
      </c>
      <c r="J377" s="5" t="n">
        <v>1.5</v>
      </c>
      <c r="K377" s="5" t="n">
        <v>0.5</v>
      </c>
      <c r="L377" s="5">
        <f>K377*J377*I377*H377</f>
        <v/>
      </c>
      <c r="M377" s="5" t="inlineStr"/>
    </row>
    <row r="378">
      <c r="A378" s="5" t="inlineStr">
        <is>
          <t>S4</t>
        </is>
      </c>
      <c r="B378" s="5" t="inlineStr">
        <is>
          <t>C</t>
        </is>
      </c>
      <c r="C378" s="5" t="inlineStr">
        <is>
          <t>6</t>
        </is>
      </c>
      <c r="D378" s="5" t="n"/>
      <c r="G378" s="5" t="inlineStr">
        <is>
          <t>M3</t>
        </is>
      </c>
      <c r="H378" s="5" t="n">
        <v>-1</v>
      </c>
      <c r="I378" s="5" t="n">
        <v>1.5</v>
      </c>
      <c r="J378" s="5" t="n">
        <v>1.5</v>
      </c>
      <c r="K378" s="5" t="n">
        <v>0.5</v>
      </c>
      <c r="L378" s="5">
        <f>K378*J378*I378*H378</f>
        <v/>
      </c>
      <c r="M378" s="5" t="inlineStr"/>
    </row>
    <row r="379">
      <c r="A379" s="5" t="inlineStr">
        <is>
          <t>S4</t>
        </is>
      </c>
      <c r="B379" s="5" t="inlineStr">
        <is>
          <t>C</t>
        </is>
      </c>
      <c r="C379" s="5" t="inlineStr">
        <is>
          <t>7</t>
        </is>
      </c>
      <c r="D379" s="5" t="n"/>
      <c r="G379" s="5" t="inlineStr">
        <is>
          <t>M3</t>
        </is>
      </c>
      <c r="H379" s="5" t="n">
        <v>-1</v>
      </c>
      <c r="I379" s="5" t="n">
        <v>1.5</v>
      </c>
      <c r="J379" s="5" t="n">
        <v>1.5</v>
      </c>
      <c r="K379" s="5" t="n">
        <v>0.5</v>
      </c>
      <c r="L379" s="5">
        <f>K379*J379*I379*H379</f>
        <v/>
      </c>
      <c r="M379" s="5" t="inlineStr"/>
    </row>
    <row r="380">
      <c r="A380" s="5" t="inlineStr">
        <is>
          <t>S3</t>
        </is>
      </c>
      <c r="B380" s="5" t="inlineStr">
        <is>
          <t>C</t>
        </is>
      </c>
      <c r="C380" s="5" t="inlineStr">
        <is>
          <t>8</t>
        </is>
      </c>
      <c r="D380" s="5" t="n"/>
      <c r="G380" s="5" t="inlineStr">
        <is>
          <t>M3</t>
        </is>
      </c>
      <c r="H380" s="5" t="n">
        <v>-1</v>
      </c>
      <c r="I380" s="5" t="n">
        <v>1.2</v>
      </c>
      <c r="J380" s="5" t="n">
        <v>1.2</v>
      </c>
      <c r="K380" s="5" t="n">
        <v>0.5</v>
      </c>
      <c r="L380" s="5">
        <f>K380*J380*I380*H380</f>
        <v/>
      </c>
      <c r="M380" s="5" t="inlineStr"/>
    </row>
    <row r="381">
      <c r="A381" s="5" t="inlineStr">
        <is>
          <t>S4</t>
        </is>
      </c>
      <c r="B381" s="5" t="inlineStr">
        <is>
          <t>E</t>
        </is>
      </c>
      <c r="C381" s="5" t="inlineStr">
        <is>
          <t>6</t>
        </is>
      </c>
      <c r="D381" s="5" t="n"/>
      <c r="G381" s="5" t="inlineStr">
        <is>
          <t>M3</t>
        </is>
      </c>
      <c r="H381" s="5" t="n">
        <v>-1</v>
      </c>
      <c r="I381" s="5" t="n">
        <v>1.5</v>
      </c>
      <c r="J381" s="5" t="n">
        <v>1.5</v>
      </c>
      <c r="K381" s="5" t="n">
        <v>0.5</v>
      </c>
      <c r="L381" s="5">
        <f>K381*J381*I381*H381</f>
        <v/>
      </c>
      <c r="M381" s="5" t="inlineStr"/>
    </row>
    <row r="382">
      <c r="A382" s="5" t="inlineStr">
        <is>
          <t>S4</t>
        </is>
      </c>
      <c r="B382" s="5" t="inlineStr">
        <is>
          <t>E</t>
        </is>
      </c>
      <c r="C382" s="5" t="inlineStr">
        <is>
          <t>7</t>
        </is>
      </c>
      <c r="D382" s="5" t="n"/>
      <c r="G382" s="5" t="inlineStr">
        <is>
          <t>M3</t>
        </is>
      </c>
      <c r="H382" s="5" t="n">
        <v>-1</v>
      </c>
      <c r="I382" s="5" t="n">
        <v>1.5</v>
      </c>
      <c r="J382" s="5" t="n">
        <v>1.5</v>
      </c>
      <c r="K382" s="5" t="n">
        <v>0.5</v>
      </c>
      <c r="L382" s="5">
        <f>K382*J382*I382*H382</f>
        <v/>
      </c>
      <c r="M382" s="5" t="inlineStr"/>
    </row>
    <row r="383">
      <c r="A383" s="5" t="inlineStr">
        <is>
          <t>S3</t>
        </is>
      </c>
      <c r="B383" s="5" t="inlineStr">
        <is>
          <t>E</t>
        </is>
      </c>
      <c r="C383" s="5" t="inlineStr">
        <is>
          <t>8</t>
        </is>
      </c>
      <c r="D383" s="5" t="n"/>
      <c r="G383" s="5" t="inlineStr">
        <is>
          <t>M3</t>
        </is>
      </c>
      <c r="H383" s="5" t="n">
        <v>-1</v>
      </c>
      <c r="I383" s="5" t="n">
        <v>1.2</v>
      </c>
      <c r="J383" s="5" t="n">
        <v>1.2</v>
      </c>
      <c r="K383" s="5" t="n">
        <v>0.5</v>
      </c>
      <c r="L383" s="5">
        <f>K383*J383*I383*H383</f>
        <v/>
      </c>
      <c r="M383" s="5" t="inlineStr"/>
    </row>
    <row r="384">
      <c r="A384" s="5" t="inlineStr">
        <is>
          <t>S5</t>
        </is>
      </c>
      <c r="B384" s="5" t="inlineStr">
        <is>
          <t>F</t>
        </is>
      </c>
      <c r="C384" s="5" t="inlineStr">
        <is>
          <t>5</t>
        </is>
      </c>
      <c r="D384" s="5" t="n"/>
      <c r="G384" s="5" t="inlineStr">
        <is>
          <t>M3</t>
        </is>
      </c>
      <c r="H384" s="5" t="n">
        <v>-1</v>
      </c>
      <c r="I384" s="5" t="n">
        <v>1.5</v>
      </c>
      <c r="J384" s="5" t="n">
        <v>1.5</v>
      </c>
      <c r="K384" s="5" t="n">
        <v>0.5</v>
      </c>
      <c r="L384" s="5">
        <f>K384*J384*I384*H384</f>
        <v/>
      </c>
      <c r="M384" s="5" t="inlineStr"/>
    </row>
    <row r="385">
      <c r="A385" s="5" t="inlineStr">
        <is>
          <t>S1</t>
        </is>
      </c>
      <c r="B385" s="5" t="inlineStr">
        <is>
          <t>G</t>
        </is>
      </c>
      <c r="C385" s="5" t="inlineStr">
        <is>
          <t>1</t>
        </is>
      </c>
      <c r="D385" s="5" t="n"/>
      <c r="G385" s="5" t="inlineStr">
        <is>
          <t>M3</t>
        </is>
      </c>
      <c r="H385" s="5" t="n">
        <v>-1</v>
      </c>
      <c r="I385" s="5" t="n">
        <v>1</v>
      </c>
      <c r="J385" s="5" t="n">
        <v>1</v>
      </c>
      <c r="K385" s="5" t="n">
        <v>0.5</v>
      </c>
      <c r="L385" s="5">
        <f>K385*J385*I385*H385</f>
        <v/>
      </c>
      <c r="M385" s="5" t="inlineStr"/>
    </row>
    <row r="386">
      <c r="A386" s="5" t="inlineStr">
        <is>
          <t>S4</t>
        </is>
      </c>
      <c r="B386" s="5" t="inlineStr">
        <is>
          <t>G</t>
        </is>
      </c>
      <c r="C386" s="5" t="inlineStr">
        <is>
          <t>2</t>
        </is>
      </c>
      <c r="D386" s="5" t="n"/>
      <c r="G386" s="5" t="inlineStr">
        <is>
          <t>M3</t>
        </is>
      </c>
      <c r="H386" s="5" t="n">
        <v>-1</v>
      </c>
      <c r="I386" s="5" t="n">
        <v>1.5</v>
      </c>
      <c r="J386" s="5" t="n">
        <v>1.5</v>
      </c>
      <c r="K386" s="5" t="n">
        <v>0.5</v>
      </c>
      <c r="L386" s="5">
        <f>K386*J386*I386*H386</f>
        <v/>
      </c>
      <c r="M386" s="5" t="inlineStr"/>
    </row>
    <row r="387">
      <c r="A387" s="5" t="inlineStr">
        <is>
          <t>S4</t>
        </is>
      </c>
      <c r="B387" s="5" t="inlineStr">
        <is>
          <t>G</t>
        </is>
      </c>
      <c r="C387" s="5" t="inlineStr">
        <is>
          <t>3</t>
        </is>
      </c>
      <c r="D387" s="5" t="n"/>
      <c r="G387" s="5" t="inlineStr">
        <is>
          <t>M3</t>
        </is>
      </c>
      <c r="H387" s="5" t="n">
        <v>-1</v>
      </c>
      <c r="I387" s="5" t="n">
        <v>1.5</v>
      </c>
      <c r="J387" s="5" t="n">
        <v>1.5</v>
      </c>
      <c r="K387" s="5" t="n">
        <v>0.5</v>
      </c>
      <c r="L387" s="5">
        <f>K387*J387*I387*H387</f>
        <v/>
      </c>
      <c r="M387" s="5" t="inlineStr"/>
    </row>
    <row r="388">
      <c r="A388" s="5" t="inlineStr">
        <is>
          <t>S5</t>
        </is>
      </c>
      <c r="B388" s="5" t="inlineStr">
        <is>
          <t>G</t>
        </is>
      </c>
      <c r="C388" s="5" t="inlineStr">
        <is>
          <t>5</t>
        </is>
      </c>
      <c r="D388" s="5" t="n"/>
      <c r="G388" s="5" t="inlineStr">
        <is>
          <t>M3</t>
        </is>
      </c>
      <c r="H388" s="5" t="n">
        <v>-1</v>
      </c>
      <c r="I388" s="5" t="n">
        <v>1.5</v>
      </c>
      <c r="J388" s="5" t="n">
        <v>1.5</v>
      </c>
      <c r="K388" s="5" t="n">
        <v>0.5</v>
      </c>
      <c r="L388" s="5">
        <f>K388*J388*I388*H388</f>
        <v/>
      </c>
      <c r="M388" s="5" t="inlineStr"/>
    </row>
    <row r="389">
      <c r="A389" s="5" t="inlineStr">
        <is>
          <t>S3</t>
        </is>
      </c>
      <c r="B389" s="5" t="inlineStr">
        <is>
          <t>G</t>
        </is>
      </c>
      <c r="C389" s="5" t="inlineStr">
        <is>
          <t>6</t>
        </is>
      </c>
      <c r="D389" s="5" t="n"/>
      <c r="G389" s="5" t="inlineStr">
        <is>
          <t>M3</t>
        </is>
      </c>
      <c r="H389" s="5" t="n">
        <v>-1</v>
      </c>
      <c r="I389" s="5" t="n">
        <v>1.2</v>
      </c>
      <c r="J389" s="5" t="n">
        <v>1.2</v>
      </c>
      <c r="K389" s="5" t="n">
        <v>0.5</v>
      </c>
      <c r="L389" s="5">
        <f>K389*J389*I389*H389</f>
        <v/>
      </c>
      <c r="M389" s="5" t="inlineStr"/>
    </row>
    <row r="390">
      <c r="A390" s="5" t="inlineStr">
        <is>
          <t>S3</t>
        </is>
      </c>
      <c r="B390" s="5" t="inlineStr">
        <is>
          <t>G</t>
        </is>
      </c>
      <c r="C390" s="5" t="inlineStr">
        <is>
          <t>7</t>
        </is>
      </c>
      <c r="D390" s="5" t="n"/>
      <c r="G390" s="5" t="inlineStr">
        <is>
          <t>M3</t>
        </is>
      </c>
      <c r="H390" s="5" t="n">
        <v>-1</v>
      </c>
      <c r="I390" s="5" t="n">
        <v>1.2</v>
      </c>
      <c r="J390" s="5" t="n">
        <v>1.2</v>
      </c>
      <c r="K390" s="5" t="n">
        <v>0.5</v>
      </c>
      <c r="L390" s="5">
        <f>K390*J390*I390*H390</f>
        <v/>
      </c>
      <c r="M390" s="5" t="inlineStr"/>
    </row>
    <row r="391">
      <c r="A391" s="5" t="inlineStr">
        <is>
          <t>S3</t>
        </is>
      </c>
      <c r="B391" s="5" t="inlineStr">
        <is>
          <t>G</t>
        </is>
      </c>
      <c r="C391" s="5" t="inlineStr">
        <is>
          <t>8</t>
        </is>
      </c>
      <c r="D391" s="5" t="n"/>
      <c r="G391" s="5" t="inlineStr">
        <is>
          <t>M3</t>
        </is>
      </c>
      <c r="H391" s="5" t="n">
        <v>-1</v>
      </c>
      <c r="I391" s="5" t="n">
        <v>1.2</v>
      </c>
      <c r="J391" s="5" t="n">
        <v>1.2</v>
      </c>
      <c r="K391" s="5" t="n">
        <v>0.5</v>
      </c>
      <c r="L391" s="5">
        <f>K391*J391*I391*H391</f>
        <v/>
      </c>
      <c r="M391" s="5" t="inlineStr"/>
    </row>
    <row r="392">
      <c r="A392" s="5" t="n"/>
      <c r="B392" s="5" t="inlineStr">
        <is>
          <t>A</t>
        </is>
      </c>
      <c r="C392" s="5" t="inlineStr">
        <is>
          <t>1-2</t>
        </is>
      </c>
      <c r="D392" s="5" t="n"/>
      <c r="G392" s="5" t="inlineStr">
        <is>
          <t>M3</t>
        </is>
      </c>
      <c r="H392" s="5" t="n">
        <v>-1</v>
      </c>
      <c r="I392" s="5" t="n">
        <v>2.48</v>
      </c>
      <c r="J392" s="5" t="n">
        <v>0.4</v>
      </c>
      <c r="K392" s="5">
        <f>$N$14-0.1</f>
        <v/>
      </c>
      <c r="L392" s="5">
        <f>K392*J392*I392*H392</f>
        <v/>
      </c>
      <c r="M392" s="5" t="inlineStr"/>
    </row>
    <row r="393">
      <c r="A393" s="5" t="n"/>
      <c r="B393" s="5" t="inlineStr">
        <is>
          <t>A</t>
        </is>
      </c>
      <c r="C393" s="5" t="inlineStr">
        <is>
          <t>2-4</t>
        </is>
      </c>
      <c r="D393" s="5" t="n"/>
      <c r="G393" s="5" t="inlineStr">
        <is>
          <t>M3</t>
        </is>
      </c>
      <c r="H393" s="5" t="n">
        <v>-1</v>
      </c>
      <c r="I393" s="5" t="n">
        <v>7.25</v>
      </c>
      <c r="J393" s="5" t="n">
        <v>0.4</v>
      </c>
      <c r="K393" s="5">
        <f>$N$14-0.1</f>
        <v/>
      </c>
      <c r="L393" s="5">
        <f>K393*J393*I393*H393</f>
        <v/>
      </c>
      <c r="M393" s="5" t="inlineStr"/>
    </row>
    <row r="394">
      <c r="A394" s="5" t="n"/>
      <c r="B394" s="5" t="inlineStr">
        <is>
          <t>A</t>
        </is>
      </c>
      <c r="C394" s="5" t="inlineStr">
        <is>
          <t>4-5</t>
        </is>
      </c>
      <c r="D394" s="5" t="n"/>
      <c r="G394" s="5" t="inlineStr">
        <is>
          <t>M3</t>
        </is>
      </c>
      <c r="H394" s="5" t="n">
        <v>-1</v>
      </c>
      <c r="I394" s="5" t="n">
        <v>2.38</v>
      </c>
      <c r="J394" s="5" t="n">
        <v>0.4</v>
      </c>
      <c r="K394" s="5">
        <f>$N$14-0.1</f>
        <v/>
      </c>
      <c r="L394" s="5">
        <f>K394*J394*I394*H394</f>
        <v/>
      </c>
      <c r="M394" s="5" t="inlineStr"/>
    </row>
    <row r="395">
      <c r="A395" s="5" t="n"/>
      <c r="B395" s="5" t="inlineStr">
        <is>
          <t>A</t>
        </is>
      </c>
      <c r="C395" s="5" t="inlineStr">
        <is>
          <t>5-6</t>
        </is>
      </c>
      <c r="D395" s="5" t="n"/>
      <c r="G395" s="5" t="inlineStr">
        <is>
          <t>M3</t>
        </is>
      </c>
      <c r="H395" s="5" t="n">
        <v>-1</v>
      </c>
      <c r="I395" s="5" t="n">
        <v>4.78</v>
      </c>
      <c r="J395" s="5" t="n">
        <v>0.4</v>
      </c>
      <c r="K395" s="5">
        <f>$N$14-0.1</f>
        <v/>
      </c>
      <c r="L395" s="5">
        <f>K395*J395*I395*H395</f>
        <v/>
      </c>
      <c r="M395" s="5" t="inlineStr"/>
    </row>
    <row r="396">
      <c r="A396" s="5" t="n"/>
      <c r="B396" s="5" t="inlineStr">
        <is>
          <t>A</t>
        </is>
      </c>
      <c r="C396" s="5" t="inlineStr">
        <is>
          <t>6-7</t>
        </is>
      </c>
      <c r="D396" s="5" t="n"/>
      <c r="G396" s="5" t="inlineStr">
        <is>
          <t>M3</t>
        </is>
      </c>
      <c r="H396" s="5" t="n">
        <v>-1</v>
      </c>
      <c r="I396" s="5" t="n">
        <v>2.65</v>
      </c>
      <c r="J396" s="5" t="n">
        <v>0.4</v>
      </c>
      <c r="K396" s="5">
        <f>$N$14-0.1</f>
        <v/>
      </c>
      <c r="L396" s="5">
        <f>K396*J396*I396*H396</f>
        <v/>
      </c>
      <c r="M396" s="5" t="inlineStr"/>
    </row>
    <row r="397">
      <c r="A397" s="5" t="n"/>
      <c r="B397" s="5" t="inlineStr">
        <is>
          <t>A</t>
        </is>
      </c>
      <c r="C397" s="5" t="inlineStr">
        <is>
          <t>7-8</t>
        </is>
      </c>
      <c r="D397" s="5" t="n"/>
      <c r="G397" s="5" t="inlineStr">
        <is>
          <t>M3</t>
        </is>
      </c>
      <c r="H397" s="5" t="n">
        <v>-1</v>
      </c>
      <c r="I397" s="5" t="n">
        <v>4.6</v>
      </c>
      <c r="J397" s="5" t="n">
        <v>0.4</v>
      </c>
      <c r="K397" s="5">
        <f>$N$14-0.1</f>
        <v/>
      </c>
      <c r="L397" s="5">
        <f>K397*J397*I397*H397</f>
        <v/>
      </c>
      <c r="M397" s="5" t="inlineStr"/>
    </row>
    <row r="398">
      <c r="A398" s="5" t="n"/>
      <c r="B398" s="5" t="inlineStr">
        <is>
          <t>G</t>
        </is>
      </c>
      <c r="C398" s="5" t="inlineStr">
        <is>
          <t>1-2</t>
        </is>
      </c>
      <c r="D398" s="5" t="n"/>
      <c r="G398" s="5" t="inlineStr">
        <is>
          <t>M3</t>
        </is>
      </c>
      <c r="H398" s="5" t="n">
        <v>-1</v>
      </c>
      <c r="I398" s="5" t="n">
        <v>2.48</v>
      </c>
      <c r="J398" s="5" t="n">
        <v>0.4</v>
      </c>
      <c r="K398" s="5">
        <f>$N$14-0.1</f>
        <v/>
      </c>
      <c r="L398" s="5">
        <f>K398*J398*I398*H398</f>
        <v/>
      </c>
      <c r="M398" s="5" t="inlineStr"/>
    </row>
    <row r="399">
      <c r="A399" s="5" t="n"/>
      <c r="B399" s="5" t="inlineStr">
        <is>
          <t>G</t>
        </is>
      </c>
      <c r="C399" s="5" t="inlineStr">
        <is>
          <t>2-4</t>
        </is>
      </c>
      <c r="D399" s="5" t="n"/>
      <c r="G399" s="5" t="inlineStr">
        <is>
          <t>M3</t>
        </is>
      </c>
      <c r="H399" s="5" t="n">
        <v>-1</v>
      </c>
      <c r="I399" s="5" t="n">
        <v>7.25</v>
      </c>
      <c r="J399" s="5" t="n">
        <v>0.4</v>
      </c>
      <c r="K399" s="5">
        <f>$N$14-0.1</f>
        <v/>
      </c>
      <c r="L399" s="5">
        <f>K399*J399*I399*H399</f>
        <v/>
      </c>
      <c r="M399" s="5" t="inlineStr"/>
    </row>
    <row r="400">
      <c r="A400" s="5" t="n"/>
      <c r="B400" s="5" t="inlineStr">
        <is>
          <t>G</t>
        </is>
      </c>
      <c r="C400" s="5" t="inlineStr">
        <is>
          <t>4-5</t>
        </is>
      </c>
      <c r="D400" s="5" t="n"/>
      <c r="G400" s="5" t="inlineStr">
        <is>
          <t>M3</t>
        </is>
      </c>
      <c r="H400" s="5" t="n">
        <v>-1</v>
      </c>
      <c r="I400" s="5" t="n">
        <v>2.38</v>
      </c>
      <c r="J400" s="5" t="n">
        <v>0.4</v>
      </c>
      <c r="K400" s="5">
        <f>$N$14-0.1</f>
        <v/>
      </c>
      <c r="L400" s="5">
        <f>K400*J400*I400*H400</f>
        <v/>
      </c>
      <c r="M400" s="5" t="inlineStr"/>
    </row>
    <row r="401">
      <c r="A401" s="5" t="n"/>
      <c r="B401" s="5" t="inlineStr">
        <is>
          <t>G</t>
        </is>
      </c>
      <c r="C401" s="5" t="inlineStr">
        <is>
          <t>5-6</t>
        </is>
      </c>
      <c r="D401" s="5" t="n"/>
      <c r="G401" s="5" t="inlineStr">
        <is>
          <t>M3</t>
        </is>
      </c>
      <c r="H401" s="5" t="n">
        <v>-1</v>
      </c>
      <c r="I401" s="5" t="n">
        <v>4.78</v>
      </c>
      <c r="J401" s="5" t="n">
        <v>0.4</v>
      </c>
      <c r="K401" s="5">
        <f>$N$14-0.1</f>
        <v/>
      </c>
      <c r="L401" s="5">
        <f>K401*J401*I401*H401</f>
        <v/>
      </c>
      <c r="M401" s="5" t="inlineStr"/>
    </row>
    <row r="402">
      <c r="A402" s="5" t="n"/>
      <c r="B402" s="5" t="inlineStr">
        <is>
          <t>G</t>
        </is>
      </c>
      <c r="C402" s="5" t="inlineStr">
        <is>
          <t>6-7</t>
        </is>
      </c>
      <c r="D402" s="5" t="n"/>
      <c r="G402" s="5" t="inlineStr">
        <is>
          <t>M3</t>
        </is>
      </c>
      <c r="H402" s="5" t="n">
        <v>-1</v>
      </c>
      <c r="I402" s="5" t="n">
        <v>2.65</v>
      </c>
      <c r="J402" s="5" t="n">
        <v>0.4</v>
      </c>
      <c r="K402" s="5">
        <f>$N$14-0.1</f>
        <v/>
      </c>
      <c r="L402" s="5">
        <f>K402*J402*I402*H402</f>
        <v/>
      </c>
      <c r="M402" s="5" t="inlineStr"/>
    </row>
    <row r="403">
      <c r="A403" s="5" t="n"/>
      <c r="B403" s="5" t="inlineStr">
        <is>
          <t>G</t>
        </is>
      </c>
      <c r="C403" s="5" t="inlineStr">
        <is>
          <t>7-8</t>
        </is>
      </c>
      <c r="D403" s="5" t="n"/>
      <c r="G403" s="5" t="inlineStr">
        <is>
          <t>M3</t>
        </is>
      </c>
      <c r="H403" s="5" t="n">
        <v>-1</v>
      </c>
      <c r="I403" s="5" t="n">
        <v>4.6</v>
      </c>
      <c r="J403" s="5" t="n">
        <v>0.4</v>
      </c>
      <c r="K403" s="5">
        <f>$N$14-0.1</f>
        <v/>
      </c>
      <c r="L403" s="5">
        <f>K403*J403*I403*H403</f>
        <v/>
      </c>
      <c r="M403" s="5" t="inlineStr"/>
    </row>
    <row r="404">
      <c r="A404" s="5" t="n"/>
      <c r="B404" s="5" t="inlineStr">
        <is>
          <t>1</t>
        </is>
      </c>
      <c r="C404" s="5" t="inlineStr">
        <is>
          <t>A-D</t>
        </is>
      </c>
      <c r="D404" s="5" t="n"/>
      <c r="G404" s="5" t="inlineStr">
        <is>
          <t>M3</t>
        </is>
      </c>
      <c r="H404" s="5" t="n">
        <v>-1</v>
      </c>
      <c r="I404" s="5">
        <f>3.82+0.4+0.82</f>
        <v/>
      </c>
      <c r="J404" s="5" t="n">
        <v>0.4</v>
      </c>
      <c r="K404" s="5">
        <f>$N$14-0.1</f>
        <v/>
      </c>
      <c r="L404" s="5">
        <f>K404*J404*I404*H404</f>
        <v/>
      </c>
      <c r="M404" s="5" t="inlineStr"/>
    </row>
    <row r="405">
      <c r="A405" s="5" t="n"/>
      <c r="B405" s="5" t="inlineStr">
        <is>
          <t>1</t>
        </is>
      </c>
      <c r="C405" s="5" t="inlineStr">
        <is>
          <t>D-G</t>
        </is>
      </c>
      <c r="D405" s="5" t="n"/>
      <c r="G405" s="5" t="inlineStr">
        <is>
          <t>M3</t>
        </is>
      </c>
      <c r="H405" s="5" t="n">
        <v>-1</v>
      </c>
      <c r="I405" s="5">
        <f>1.08+0.15+3.82</f>
        <v/>
      </c>
      <c r="J405" s="5" t="n">
        <v>0.4</v>
      </c>
      <c r="K405" s="5">
        <f>$N$14-0.1</f>
        <v/>
      </c>
      <c r="L405" s="5">
        <f>K405*J405*I405*H405</f>
        <v/>
      </c>
      <c r="M405" s="5" t="inlineStr"/>
    </row>
    <row r="406">
      <c r="A406" s="5" t="n"/>
      <c r="B406" s="5" t="inlineStr">
        <is>
          <t>8</t>
        </is>
      </c>
      <c r="C406" s="5" t="inlineStr">
        <is>
          <t>A-C</t>
        </is>
      </c>
      <c r="D406" s="5" t="n"/>
      <c r="G406" s="5" t="inlineStr">
        <is>
          <t>M3</t>
        </is>
      </c>
      <c r="H406" s="5" t="n">
        <v>-1</v>
      </c>
      <c r="I406" s="5">
        <f>3.82+0.4</f>
        <v/>
      </c>
      <c r="J406" s="5" t="n">
        <v>0.4</v>
      </c>
      <c r="K406" s="5">
        <f>$N$14-0.1</f>
        <v/>
      </c>
      <c r="L406" s="5">
        <f>K406*J406*I406*H406</f>
        <v/>
      </c>
      <c r="M406" s="5" t="inlineStr"/>
    </row>
    <row r="407">
      <c r="A407" s="5" t="n"/>
      <c r="B407" s="5" t="inlineStr">
        <is>
          <t>8</t>
        </is>
      </c>
      <c r="C407" s="5" t="inlineStr">
        <is>
          <t>C-E</t>
        </is>
      </c>
      <c r="D407" s="5" t="n"/>
      <c r="G407" s="5" t="inlineStr">
        <is>
          <t>M3</t>
        </is>
      </c>
      <c r="H407" s="5" t="n">
        <v>-1</v>
      </c>
      <c r="I407" s="5">
        <f>0.82+1.08</f>
        <v/>
      </c>
      <c r="J407" s="5" t="n">
        <v>0.4</v>
      </c>
      <c r="K407" s="5">
        <f>$N$14-0.1</f>
        <v/>
      </c>
      <c r="L407" s="5">
        <f>K407*J407*I407*H407</f>
        <v/>
      </c>
      <c r="M407" s="5" t="inlineStr"/>
    </row>
    <row r="408">
      <c r="A408" s="5" t="n"/>
      <c r="B408" s="5" t="inlineStr">
        <is>
          <t>8</t>
        </is>
      </c>
      <c r="C408" s="5" t="inlineStr">
        <is>
          <t>E-G</t>
        </is>
      </c>
      <c r="D408" s="5" t="n"/>
      <c r="G408" s="5" t="inlineStr">
        <is>
          <t>M3</t>
        </is>
      </c>
      <c r="H408" s="5" t="n">
        <v>-1</v>
      </c>
      <c r="I408" s="5">
        <f>0.15+3.82</f>
        <v/>
      </c>
      <c r="J408" s="5" t="n">
        <v>0.4</v>
      </c>
      <c r="K408" s="5">
        <f>$N$14-0.1</f>
        <v/>
      </c>
      <c r="L408" s="5">
        <f>K408*J408*I408*H408</f>
        <v/>
      </c>
      <c r="M408" s="5" t="inlineStr"/>
    </row>
    <row r="409">
      <c r="A409" s="5" t="n"/>
      <c r="B409" s="5" t="inlineStr">
        <is>
          <t>A-F</t>
        </is>
      </c>
      <c r="C409" s="5" t="inlineStr">
        <is>
          <t>1-6</t>
        </is>
      </c>
      <c r="D409" s="5" t="n"/>
      <c r="G409" s="5" t="inlineStr">
        <is>
          <t>M2</t>
        </is>
      </c>
      <c r="H409" s="5" t="n">
        <v>-1</v>
      </c>
      <c r="I409" s="5" t="n">
        <v>24.44</v>
      </c>
      <c r="J409" s="5">
        <f>3.82+0.4+0.82+1.08+0.15+3.82+0.15+0.15</f>
        <v/>
      </c>
      <c r="K409" s="5" t="n">
        <v>0.13</v>
      </c>
      <c r="L409" s="5">
        <f>J409*I409*H409*K409</f>
        <v/>
      </c>
      <c r="M409" s="5" t="inlineStr"/>
    </row>
    <row r="410">
      <c r="A410" s="5" t="inlineStr">
        <is>
          <t>S1</t>
        </is>
      </c>
      <c r="B410" s="5" t="inlineStr">
        <is>
          <t>A</t>
        </is>
      </c>
      <c r="C410" s="5" t="inlineStr">
        <is>
          <t>1</t>
        </is>
      </c>
      <c r="D410" s="5" t="n"/>
      <c r="G410" s="5" t="inlineStr">
        <is>
          <t>M3</t>
        </is>
      </c>
      <c r="H410" s="5" t="n">
        <v>-1</v>
      </c>
      <c r="I410" s="5" t="n">
        <v>1</v>
      </c>
      <c r="J410" s="5" t="n">
        <v>1</v>
      </c>
      <c r="K410" s="5" t="n">
        <v>0.25</v>
      </c>
      <c r="L410" s="5">
        <f>K410*J410*I410*H410</f>
        <v/>
      </c>
      <c r="M410" s="5" t="inlineStr"/>
    </row>
    <row r="411">
      <c r="A411" s="5" t="inlineStr">
        <is>
          <t>S4</t>
        </is>
      </c>
      <c r="B411" s="5" t="inlineStr">
        <is>
          <t>A</t>
        </is>
      </c>
      <c r="C411" s="5" t="inlineStr">
        <is>
          <t>2</t>
        </is>
      </c>
      <c r="D411" s="5" t="n"/>
      <c r="G411" s="5" t="inlineStr">
        <is>
          <t>M3</t>
        </is>
      </c>
      <c r="H411" s="5" t="n">
        <v>-1</v>
      </c>
      <c r="I411" s="5" t="n">
        <v>1.5</v>
      </c>
      <c r="J411" s="5" t="n">
        <v>1.5</v>
      </c>
      <c r="K411" s="5" t="n">
        <v>0.4</v>
      </c>
      <c r="L411" s="5">
        <f>K411*J411*I411*H411</f>
        <v/>
      </c>
      <c r="M411" s="5" t="inlineStr"/>
    </row>
    <row r="412">
      <c r="A412" s="5" t="inlineStr">
        <is>
          <t>S4</t>
        </is>
      </c>
      <c r="B412" s="5" t="inlineStr">
        <is>
          <t>A</t>
        </is>
      </c>
      <c r="C412" s="5" t="inlineStr">
        <is>
          <t>4</t>
        </is>
      </c>
      <c r="D412" s="5" t="n"/>
      <c r="G412" s="5" t="inlineStr">
        <is>
          <t>M3</t>
        </is>
      </c>
      <c r="H412" s="5" t="n">
        <v>-1</v>
      </c>
      <c r="I412" s="5" t="n">
        <v>1.5</v>
      </c>
      <c r="J412" s="5" t="n">
        <v>1.5</v>
      </c>
      <c r="K412" s="5" t="n">
        <v>0.4</v>
      </c>
      <c r="L412" s="5">
        <f>K412*J412*I412*H412</f>
        <v/>
      </c>
      <c r="M412" s="5" t="inlineStr"/>
    </row>
    <row r="413">
      <c r="A413" s="5" t="inlineStr">
        <is>
          <t>S2</t>
        </is>
      </c>
      <c r="B413" s="5" t="inlineStr">
        <is>
          <t>A</t>
        </is>
      </c>
      <c r="C413" s="5" t="inlineStr">
        <is>
          <t>5</t>
        </is>
      </c>
      <c r="D413" s="5" t="n"/>
      <c r="G413" s="5" t="inlineStr">
        <is>
          <t>M3</t>
        </is>
      </c>
      <c r="H413" s="5" t="n">
        <v>-1</v>
      </c>
      <c r="I413" s="5" t="n">
        <v>1.1</v>
      </c>
      <c r="J413" s="5" t="n">
        <v>1.1</v>
      </c>
      <c r="K413" s="5" t="n">
        <v>0.25</v>
      </c>
      <c r="L413" s="5">
        <f>K413*J413*I413*H413</f>
        <v/>
      </c>
      <c r="M413" s="5" t="inlineStr"/>
    </row>
    <row r="414">
      <c r="A414" s="5" t="inlineStr">
        <is>
          <t>S3</t>
        </is>
      </c>
      <c r="B414" s="5" t="inlineStr">
        <is>
          <t>A</t>
        </is>
      </c>
      <c r="C414" s="5" t="inlineStr">
        <is>
          <t>6</t>
        </is>
      </c>
      <c r="D414" s="5" t="n"/>
      <c r="G414" s="5" t="inlineStr">
        <is>
          <t>M3</t>
        </is>
      </c>
      <c r="H414" s="5" t="n">
        <v>-1</v>
      </c>
      <c r="I414" s="5" t="n">
        <v>1.2</v>
      </c>
      <c r="J414" s="5" t="n">
        <v>1.2</v>
      </c>
      <c r="K414" s="5" t="n">
        <v>0.3</v>
      </c>
      <c r="L414" s="5">
        <f>K414*J414*I414*H414</f>
        <v/>
      </c>
      <c r="M414" s="5" t="inlineStr"/>
    </row>
    <row r="415">
      <c r="A415" s="5" t="inlineStr">
        <is>
          <t>S3</t>
        </is>
      </c>
      <c r="B415" s="5" t="inlineStr">
        <is>
          <t>A</t>
        </is>
      </c>
      <c r="C415" s="5" t="inlineStr">
        <is>
          <t>7</t>
        </is>
      </c>
      <c r="D415" s="5" t="n"/>
      <c r="G415" s="5" t="inlineStr">
        <is>
          <t>M3</t>
        </is>
      </c>
      <c r="H415" s="5" t="n">
        <v>-1</v>
      </c>
      <c r="I415" s="5" t="n">
        <v>1.2</v>
      </c>
      <c r="J415" s="5" t="n">
        <v>1.2</v>
      </c>
      <c r="K415" s="5" t="n">
        <v>0.3</v>
      </c>
      <c r="L415" s="5">
        <f>K415*J415*I415*H415</f>
        <v/>
      </c>
      <c r="M415" s="5" t="inlineStr"/>
    </row>
    <row r="416">
      <c r="A416" s="5" t="inlineStr">
        <is>
          <t>S3</t>
        </is>
      </c>
      <c r="B416" s="5" t="inlineStr">
        <is>
          <t>A</t>
        </is>
      </c>
      <c r="C416" s="5" t="inlineStr">
        <is>
          <t>8</t>
        </is>
      </c>
      <c r="D416" s="5" t="n"/>
      <c r="G416" s="5" t="inlineStr">
        <is>
          <t>M3</t>
        </is>
      </c>
      <c r="H416" s="5" t="n">
        <v>-1</v>
      </c>
      <c r="I416" s="5" t="n">
        <v>1.2</v>
      </c>
      <c r="J416" s="5" t="n">
        <v>1.2</v>
      </c>
      <c r="K416" s="5" t="n">
        <v>0.3</v>
      </c>
      <c r="L416" s="5">
        <f>K416*J416*I416*H416</f>
        <v/>
      </c>
      <c r="M416" s="5" t="inlineStr"/>
    </row>
    <row r="417">
      <c r="A417" s="5" t="inlineStr">
        <is>
          <t>S5</t>
        </is>
      </c>
      <c r="B417" s="5" t="inlineStr">
        <is>
          <t>B</t>
        </is>
      </c>
      <c r="C417" s="5" t="inlineStr">
        <is>
          <t>5</t>
        </is>
      </c>
      <c r="D417" s="5" t="n"/>
      <c r="G417" s="5" t="inlineStr">
        <is>
          <t>M3</t>
        </is>
      </c>
      <c r="H417" s="5" t="n">
        <v>-1</v>
      </c>
      <c r="I417" s="5" t="n">
        <v>1.5</v>
      </c>
      <c r="J417" s="5" t="n">
        <v>1.5</v>
      </c>
      <c r="K417" s="5" t="n">
        <v>0.4</v>
      </c>
      <c r="L417" s="5">
        <f>K417*J417*I417*H417</f>
        <v/>
      </c>
      <c r="M417" s="5" t="inlineStr"/>
    </row>
    <row r="418">
      <c r="A418" s="5" t="inlineStr">
        <is>
          <t>S4</t>
        </is>
      </c>
      <c r="B418" s="5" t="inlineStr">
        <is>
          <t>C</t>
        </is>
      </c>
      <c r="C418" s="5" t="inlineStr">
        <is>
          <t>6</t>
        </is>
      </c>
      <c r="D418" s="5" t="n"/>
      <c r="G418" s="5" t="inlineStr">
        <is>
          <t>M3</t>
        </is>
      </c>
      <c r="H418" s="5" t="n">
        <v>-1</v>
      </c>
      <c r="I418" s="5" t="n">
        <v>1.5</v>
      </c>
      <c r="J418" s="5" t="n">
        <v>1.5</v>
      </c>
      <c r="K418" s="5" t="n">
        <v>0.4</v>
      </c>
      <c r="L418" s="5">
        <f>K418*J418*I418*H418</f>
        <v/>
      </c>
      <c r="M418" s="5" t="inlineStr"/>
    </row>
    <row r="419">
      <c r="A419" s="5" t="inlineStr">
        <is>
          <t>S4</t>
        </is>
      </c>
      <c r="B419" s="5" t="inlineStr">
        <is>
          <t>C</t>
        </is>
      </c>
      <c r="C419" s="5" t="inlineStr">
        <is>
          <t>7</t>
        </is>
      </c>
      <c r="D419" s="5" t="n"/>
      <c r="G419" s="5" t="inlineStr">
        <is>
          <t>M3</t>
        </is>
      </c>
      <c r="H419" s="5" t="n">
        <v>-1</v>
      </c>
      <c r="I419" s="5" t="n">
        <v>1.5</v>
      </c>
      <c r="J419" s="5" t="n">
        <v>1.5</v>
      </c>
      <c r="K419" s="5" t="n">
        <v>0.4</v>
      </c>
      <c r="L419" s="5">
        <f>K419*J419*I419*H419</f>
        <v/>
      </c>
      <c r="M419" s="5" t="inlineStr"/>
    </row>
    <row r="420">
      <c r="A420" s="5" t="inlineStr">
        <is>
          <t>S3</t>
        </is>
      </c>
      <c r="B420" s="5" t="inlineStr">
        <is>
          <t>C</t>
        </is>
      </c>
      <c r="C420" s="5" t="inlineStr">
        <is>
          <t>8</t>
        </is>
      </c>
      <c r="D420" s="5" t="n"/>
      <c r="G420" s="5" t="inlineStr">
        <is>
          <t>M3</t>
        </is>
      </c>
      <c r="H420" s="5" t="n">
        <v>-1</v>
      </c>
      <c r="I420" s="5" t="n">
        <v>1.2</v>
      </c>
      <c r="J420" s="5" t="n">
        <v>1.2</v>
      </c>
      <c r="K420" s="5" t="n">
        <v>0.3</v>
      </c>
      <c r="L420" s="5">
        <f>K420*J420*I420*H420</f>
        <v/>
      </c>
      <c r="M420" s="5" t="inlineStr"/>
    </row>
    <row r="421">
      <c r="A421" s="5" t="inlineStr">
        <is>
          <t>S4</t>
        </is>
      </c>
      <c r="B421" s="5" t="inlineStr">
        <is>
          <t>D</t>
        </is>
      </c>
      <c r="C421" s="5" t="inlineStr">
        <is>
          <t>1</t>
        </is>
      </c>
      <c r="D421" s="5" t="n"/>
      <c r="G421" s="5" t="inlineStr">
        <is>
          <t>M3</t>
        </is>
      </c>
      <c r="H421" s="5" t="n">
        <v>-1</v>
      </c>
      <c r="I421" s="5" t="n">
        <v>1.5</v>
      </c>
      <c r="J421" s="5" t="n">
        <v>1.5</v>
      </c>
      <c r="K421" s="5" t="n">
        <v>0.4</v>
      </c>
      <c r="L421" s="5">
        <f>K421*J421*I421*H421</f>
        <v/>
      </c>
      <c r="M421" s="5" t="inlineStr"/>
    </row>
    <row r="422">
      <c r="A422" s="5" t="inlineStr">
        <is>
          <t>S4</t>
        </is>
      </c>
      <c r="B422" s="5" t="inlineStr">
        <is>
          <t>E</t>
        </is>
      </c>
      <c r="C422" s="5" t="inlineStr">
        <is>
          <t>6</t>
        </is>
      </c>
      <c r="D422" s="5" t="n"/>
      <c r="G422" s="5" t="inlineStr">
        <is>
          <t>M3</t>
        </is>
      </c>
      <c r="H422" s="5" t="n">
        <v>-1</v>
      </c>
      <c r="I422" s="5" t="n">
        <v>1.5</v>
      </c>
      <c r="J422" s="5" t="n">
        <v>1.5</v>
      </c>
      <c r="K422" s="5" t="n">
        <v>0.4</v>
      </c>
      <c r="L422" s="5">
        <f>K422*J422*I422*H422</f>
        <v/>
      </c>
      <c r="M422" s="5" t="inlineStr"/>
    </row>
    <row r="423">
      <c r="A423" s="5" t="inlineStr">
        <is>
          <t>S4</t>
        </is>
      </c>
      <c r="B423" s="5" t="inlineStr">
        <is>
          <t>E</t>
        </is>
      </c>
      <c r="C423" s="5" t="inlineStr">
        <is>
          <t>7</t>
        </is>
      </c>
      <c r="D423" s="5" t="n"/>
      <c r="G423" s="5" t="inlineStr">
        <is>
          <t>M3</t>
        </is>
      </c>
      <c r="H423" s="5" t="n">
        <v>-1</v>
      </c>
      <c r="I423" s="5" t="n">
        <v>1.5</v>
      </c>
      <c r="J423" s="5" t="n">
        <v>1.5</v>
      </c>
      <c r="K423" s="5" t="n">
        <v>0.4</v>
      </c>
      <c r="L423" s="5">
        <f>K423*J423*I423*H423</f>
        <v/>
      </c>
      <c r="M423" s="5" t="inlineStr"/>
    </row>
    <row r="424">
      <c r="A424" s="5" t="inlineStr">
        <is>
          <t>S3</t>
        </is>
      </c>
      <c r="B424" s="5" t="inlineStr">
        <is>
          <t>E</t>
        </is>
      </c>
      <c r="C424" s="5" t="inlineStr">
        <is>
          <t>8</t>
        </is>
      </c>
      <c r="D424" s="5" t="n"/>
      <c r="G424" s="5" t="inlineStr">
        <is>
          <t>M3</t>
        </is>
      </c>
      <c r="H424" s="5" t="n">
        <v>-1</v>
      </c>
      <c r="I424" s="5" t="n">
        <v>1.2</v>
      </c>
      <c r="J424" s="5" t="n">
        <v>1.2</v>
      </c>
      <c r="K424" s="5" t="n">
        <v>0.3</v>
      </c>
      <c r="L424" s="5">
        <f>K424*J424*I424*H424</f>
        <v/>
      </c>
      <c r="M424" s="5" t="inlineStr"/>
    </row>
    <row r="425">
      <c r="A425" s="5" t="inlineStr">
        <is>
          <t>S5</t>
        </is>
      </c>
      <c r="B425" s="5" t="inlineStr">
        <is>
          <t>F</t>
        </is>
      </c>
      <c r="C425" s="5" t="inlineStr">
        <is>
          <t>5</t>
        </is>
      </c>
      <c r="D425" s="5" t="n"/>
      <c r="G425" s="5" t="inlineStr">
        <is>
          <t>M3</t>
        </is>
      </c>
      <c r="H425" s="5" t="n">
        <v>-1</v>
      </c>
      <c r="I425" s="5" t="n">
        <v>1.5</v>
      </c>
      <c r="J425" s="5" t="n">
        <v>1.5</v>
      </c>
      <c r="K425" s="5" t="n">
        <v>0.4</v>
      </c>
      <c r="L425" s="5">
        <f>K425*J425*I425*H425</f>
        <v/>
      </c>
      <c r="M425" s="5" t="inlineStr"/>
    </row>
    <row r="426">
      <c r="A426" s="5" t="inlineStr">
        <is>
          <t>S1</t>
        </is>
      </c>
      <c r="B426" s="5" t="inlineStr">
        <is>
          <t>G</t>
        </is>
      </c>
      <c r="C426" s="5" t="inlineStr">
        <is>
          <t>1</t>
        </is>
      </c>
      <c r="D426" s="5" t="n"/>
      <c r="G426" s="5" t="inlineStr">
        <is>
          <t>M3</t>
        </is>
      </c>
      <c r="H426" s="5" t="n">
        <v>-1</v>
      </c>
      <c r="I426" s="5" t="n">
        <v>1</v>
      </c>
      <c r="J426" s="5" t="n">
        <v>1</v>
      </c>
      <c r="K426" s="5" t="n">
        <v>0.25</v>
      </c>
      <c r="L426" s="5">
        <f>K426*J426*I426*H426</f>
        <v/>
      </c>
      <c r="M426" s="5" t="inlineStr"/>
    </row>
    <row r="427">
      <c r="A427" s="5" t="inlineStr">
        <is>
          <t>S4</t>
        </is>
      </c>
      <c r="B427" s="5" t="inlineStr">
        <is>
          <t>G</t>
        </is>
      </c>
      <c r="C427" s="5" t="inlineStr">
        <is>
          <t>2</t>
        </is>
      </c>
      <c r="D427" s="5" t="n"/>
      <c r="G427" s="5" t="inlineStr">
        <is>
          <t>M3</t>
        </is>
      </c>
      <c r="H427" s="5" t="n">
        <v>-1</v>
      </c>
      <c r="I427" s="5" t="n">
        <v>1.5</v>
      </c>
      <c r="J427" s="5" t="n">
        <v>1.5</v>
      </c>
      <c r="K427" s="5" t="n">
        <v>0.4</v>
      </c>
      <c r="L427" s="5">
        <f>K427*J427*I427*H427</f>
        <v/>
      </c>
      <c r="M427" s="5" t="inlineStr"/>
    </row>
    <row r="428">
      <c r="A428" s="5" t="inlineStr">
        <is>
          <t>S4</t>
        </is>
      </c>
      <c r="B428" s="5" t="inlineStr">
        <is>
          <t>G</t>
        </is>
      </c>
      <c r="C428" s="5" t="inlineStr">
        <is>
          <t>3</t>
        </is>
      </c>
      <c r="D428" s="5" t="n"/>
      <c r="G428" s="5" t="inlineStr">
        <is>
          <t>M3</t>
        </is>
      </c>
      <c r="H428" s="5" t="n">
        <v>-1</v>
      </c>
      <c r="I428" s="5" t="n">
        <v>1.5</v>
      </c>
      <c r="J428" s="5" t="n">
        <v>1.5</v>
      </c>
      <c r="K428" s="5" t="n">
        <v>0.4</v>
      </c>
      <c r="L428" s="5">
        <f>K428*J428*I428*H428</f>
        <v/>
      </c>
      <c r="M428" s="5" t="inlineStr"/>
    </row>
    <row r="429">
      <c r="A429" s="5" t="inlineStr">
        <is>
          <t>S5</t>
        </is>
      </c>
      <c r="B429" s="5" t="inlineStr">
        <is>
          <t>G</t>
        </is>
      </c>
      <c r="C429" s="5" t="inlineStr">
        <is>
          <t>5</t>
        </is>
      </c>
      <c r="D429" s="5" t="n"/>
      <c r="G429" s="5" t="inlineStr">
        <is>
          <t>M3</t>
        </is>
      </c>
      <c r="H429" s="5" t="n">
        <v>-1</v>
      </c>
      <c r="I429" s="5" t="n">
        <v>1.5</v>
      </c>
      <c r="J429" s="5" t="n">
        <v>1.5</v>
      </c>
      <c r="K429" s="5" t="n">
        <v>0.4</v>
      </c>
      <c r="L429" s="5">
        <f>K429*J429*I429*H429</f>
        <v/>
      </c>
      <c r="M429" s="5" t="inlineStr"/>
    </row>
    <row r="430">
      <c r="A430" s="5" t="inlineStr">
        <is>
          <t>S3</t>
        </is>
      </c>
      <c r="B430" s="5" t="inlineStr">
        <is>
          <t>G</t>
        </is>
      </c>
      <c r="C430" s="5" t="inlineStr">
        <is>
          <t>6</t>
        </is>
      </c>
      <c r="D430" s="5" t="n"/>
      <c r="G430" s="5" t="inlineStr">
        <is>
          <t>M3</t>
        </is>
      </c>
      <c r="H430" s="5" t="n">
        <v>-1</v>
      </c>
      <c r="I430" s="5" t="n">
        <v>1.2</v>
      </c>
      <c r="J430" s="5" t="n">
        <v>1.2</v>
      </c>
      <c r="K430" s="5" t="n">
        <v>0.3</v>
      </c>
      <c r="L430" s="5">
        <f>K430*J430*I430*H430</f>
        <v/>
      </c>
      <c r="M430" s="5" t="inlineStr"/>
    </row>
    <row r="431">
      <c r="A431" s="5" t="inlineStr">
        <is>
          <t>S3</t>
        </is>
      </c>
      <c r="B431" s="5" t="inlineStr">
        <is>
          <t>G</t>
        </is>
      </c>
      <c r="C431" s="5" t="inlineStr">
        <is>
          <t>7</t>
        </is>
      </c>
      <c r="D431" s="5" t="n"/>
      <c r="G431" s="5" t="inlineStr">
        <is>
          <t>M3</t>
        </is>
      </c>
      <c r="H431" s="5" t="n">
        <v>-1</v>
      </c>
      <c r="I431" s="5" t="n">
        <v>1.2</v>
      </c>
      <c r="J431" s="5" t="n">
        <v>1.2</v>
      </c>
      <c r="K431" s="5" t="n">
        <v>0.3</v>
      </c>
      <c r="L431" s="5">
        <f>K431*J431*I431*H431</f>
        <v/>
      </c>
      <c r="M431" s="5" t="inlineStr"/>
    </row>
    <row r="432">
      <c r="A432" s="5" t="inlineStr">
        <is>
          <t>S3</t>
        </is>
      </c>
      <c r="B432" s="5" t="inlineStr">
        <is>
          <t>G</t>
        </is>
      </c>
      <c r="C432" s="5" t="inlineStr">
        <is>
          <t>8</t>
        </is>
      </c>
      <c r="D432" s="5" t="n"/>
      <c r="G432" s="5" t="inlineStr">
        <is>
          <t>M3</t>
        </is>
      </c>
      <c r="H432" s="5" t="n">
        <v>-1</v>
      </c>
      <c r="I432" s="5" t="n">
        <v>1.2</v>
      </c>
      <c r="J432" s="5" t="n">
        <v>1.2</v>
      </c>
      <c r="K432" s="5" t="n">
        <v>0.3</v>
      </c>
      <c r="L432" s="5">
        <f>K432*J432*I432*H432</f>
        <v/>
      </c>
      <c r="M432" s="5" t="inlineStr"/>
    </row>
    <row r="433">
      <c r="A433" s="5" t="n"/>
      <c r="B433" s="5" t="inlineStr">
        <is>
          <t>C</t>
        </is>
      </c>
      <c r="C433" s="5" t="inlineStr">
        <is>
          <t>5-6</t>
        </is>
      </c>
      <c r="D433" s="5" t="inlineStr">
        <is>
          <t>LG</t>
        </is>
      </c>
      <c r="G433" s="5" t="inlineStr">
        <is>
          <t>M3</t>
        </is>
      </c>
      <c r="H433" s="5" t="n">
        <v>-1</v>
      </c>
      <c r="I433" s="5" t="n">
        <v>4.78</v>
      </c>
      <c r="J433" s="5" t="n">
        <v>0.5</v>
      </c>
      <c r="K433" s="5" t="n">
        <v>0.2</v>
      </c>
      <c r="L433" s="5">
        <f>K433*J433*I433*H433</f>
        <v/>
      </c>
      <c r="M433" s="5" t="inlineStr"/>
    </row>
    <row r="434">
      <c r="A434" s="5" t="n"/>
      <c r="B434" s="5" t="inlineStr">
        <is>
          <t>C</t>
        </is>
      </c>
      <c r="C434" s="5" t="inlineStr">
        <is>
          <t>6-7</t>
        </is>
      </c>
      <c r="D434" s="5" t="inlineStr">
        <is>
          <t>LG</t>
        </is>
      </c>
      <c r="G434" s="5" t="inlineStr">
        <is>
          <t>M3</t>
        </is>
      </c>
      <c r="H434" s="5" t="n">
        <v>-1</v>
      </c>
      <c r="I434" s="5" t="n">
        <v>2.65</v>
      </c>
      <c r="J434" s="5" t="n">
        <v>0.5</v>
      </c>
      <c r="K434" s="5" t="n">
        <v>0.2</v>
      </c>
      <c r="L434" s="5">
        <f>K434*J434*I434*H434</f>
        <v/>
      </c>
      <c r="M434" s="5" t="inlineStr"/>
    </row>
    <row r="435">
      <c r="A435" s="5" t="n"/>
      <c r="B435" s="5" t="inlineStr">
        <is>
          <t>C</t>
        </is>
      </c>
      <c r="C435" s="5" t="inlineStr">
        <is>
          <t>7-8</t>
        </is>
      </c>
      <c r="D435" s="5" t="inlineStr">
        <is>
          <t>LG</t>
        </is>
      </c>
      <c r="G435" s="5" t="inlineStr">
        <is>
          <t>M3</t>
        </is>
      </c>
      <c r="H435" s="5" t="n">
        <v>-1</v>
      </c>
      <c r="I435" s="5" t="n">
        <v>4.6</v>
      </c>
      <c r="J435" s="5" t="n">
        <v>0.5</v>
      </c>
      <c r="K435" s="5" t="n">
        <v>0.2</v>
      </c>
      <c r="L435" s="5">
        <f>K435*J435*I435*H435</f>
        <v/>
      </c>
      <c r="M435" s="5" t="inlineStr"/>
    </row>
    <row r="436">
      <c r="A436" s="5" t="n"/>
      <c r="B436" s="5" t="inlineStr">
        <is>
          <t>D</t>
        </is>
      </c>
      <c r="C436" s="5" t="inlineStr">
        <is>
          <t>1-2</t>
        </is>
      </c>
      <c r="D436" s="5" t="inlineStr">
        <is>
          <t>LG2</t>
        </is>
      </c>
      <c r="G436" s="5" t="inlineStr">
        <is>
          <t>M3</t>
        </is>
      </c>
      <c r="H436" s="5" t="n">
        <v>-1</v>
      </c>
      <c r="I436" s="5" t="n">
        <v>2.48</v>
      </c>
      <c r="J436" s="5" t="n">
        <v>0.4</v>
      </c>
      <c r="K436" s="5" t="n">
        <v>0.2</v>
      </c>
      <c r="L436" s="5">
        <f>K436*J436*I436*H436</f>
        <v/>
      </c>
      <c r="M436" s="5" t="inlineStr"/>
    </row>
    <row r="437">
      <c r="A437" s="5" t="n"/>
      <c r="B437" s="5" t="inlineStr">
        <is>
          <t>D</t>
        </is>
      </c>
      <c r="C437" s="5" t="inlineStr">
        <is>
          <t>2-3</t>
        </is>
      </c>
      <c r="D437" s="5" t="inlineStr">
        <is>
          <t>LG2</t>
        </is>
      </c>
      <c r="G437" s="5" t="inlineStr">
        <is>
          <t>M3</t>
        </is>
      </c>
      <c r="H437" s="5" t="n">
        <v>-1</v>
      </c>
      <c r="I437" s="5">
        <f>3.7</f>
        <v/>
      </c>
      <c r="J437" s="5" t="n">
        <v>0.4</v>
      </c>
      <c r="K437" s="5" t="n">
        <v>0.2</v>
      </c>
      <c r="L437" s="5">
        <f>K437*J437*I437*H437</f>
        <v/>
      </c>
      <c r="M437" s="5" t="inlineStr"/>
    </row>
    <row r="438">
      <c r="A438" s="5" t="n"/>
      <c r="B438" s="5" t="inlineStr">
        <is>
          <t>D</t>
        </is>
      </c>
      <c r="C438" s="5" t="inlineStr">
        <is>
          <t>3-4</t>
        </is>
      </c>
      <c r="D438" s="5" t="inlineStr">
        <is>
          <t>LG2</t>
        </is>
      </c>
      <c r="G438" s="5" t="inlineStr">
        <is>
          <t>M3</t>
        </is>
      </c>
      <c r="H438" s="5" t="n">
        <v>-1</v>
      </c>
      <c r="I438" s="5">
        <f>3.7</f>
        <v/>
      </c>
      <c r="J438" s="5" t="n">
        <v>0.4</v>
      </c>
      <c r="K438" s="5" t="n">
        <v>0.2</v>
      </c>
      <c r="L438" s="5">
        <f>K438*J438*I438*H438</f>
        <v/>
      </c>
      <c r="M438" s="5" t="inlineStr"/>
    </row>
    <row r="439">
      <c r="A439" s="5" t="n"/>
      <c r="B439" s="5" t="inlineStr">
        <is>
          <t>D</t>
        </is>
      </c>
      <c r="C439" s="5" t="inlineStr">
        <is>
          <t>4-5</t>
        </is>
      </c>
      <c r="D439" s="5" t="inlineStr">
        <is>
          <t>LG2</t>
        </is>
      </c>
      <c r="G439" s="5" t="inlineStr">
        <is>
          <t>M3</t>
        </is>
      </c>
      <c r="H439" s="5" t="n">
        <v>-1</v>
      </c>
      <c r="I439" s="5" t="n">
        <v>2.38</v>
      </c>
      <c r="J439" s="5" t="n">
        <v>0.4</v>
      </c>
      <c r="K439" s="5" t="n">
        <v>0.2</v>
      </c>
      <c r="L439" s="5">
        <f>K439*J439*I439*H439</f>
        <v/>
      </c>
      <c r="M439" s="5" t="inlineStr"/>
    </row>
    <row r="440">
      <c r="A440" s="5" t="n"/>
      <c r="B440" s="5" t="inlineStr">
        <is>
          <t>E</t>
        </is>
      </c>
      <c r="C440" s="5" t="inlineStr">
        <is>
          <t>5-6</t>
        </is>
      </c>
      <c r="D440" s="5" t="inlineStr">
        <is>
          <t>LG</t>
        </is>
      </c>
      <c r="G440" s="5" t="inlineStr">
        <is>
          <t>M3</t>
        </is>
      </c>
      <c r="H440" s="5" t="n">
        <v>-1</v>
      </c>
      <c r="I440" s="5" t="n">
        <v>4.78</v>
      </c>
      <c r="J440" s="5" t="n">
        <v>0.5</v>
      </c>
      <c r="K440" s="5" t="n">
        <v>0.2</v>
      </c>
      <c r="L440" s="5">
        <f>K440*J440*I440*H440</f>
        <v/>
      </c>
      <c r="M440" s="5" t="inlineStr"/>
    </row>
    <row r="441">
      <c r="A441" s="5" t="n"/>
      <c r="B441" s="5" t="inlineStr">
        <is>
          <t>E</t>
        </is>
      </c>
      <c r="C441" s="5" t="inlineStr">
        <is>
          <t>6-7</t>
        </is>
      </c>
      <c r="D441" s="5" t="inlineStr">
        <is>
          <t>LG</t>
        </is>
      </c>
      <c r="G441" s="5" t="inlineStr">
        <is>
          <t>M3</t>
        </is>
      </c>
      <c r="H441" s="5" t="n">
        <v>-1</v>
      </c>
      <c r="I441" s="5" t="n">
        <v>2.65</v>
      </c>
      <c r="J441" s="5" t="n">
        <v>0.5</v>
      </c>
      <c r="K441" s="5" t="n">
        <v>0.2</v>
      </c>
      <c r="L441" s="5">
        <f>K441*J441*I441*H441</f>
        <v/>
      </c>
      <c r="M441" s="5" t="inlineStr"/>
    </row>
    <row r="442">
      <c r="A442" s="5" t="n"/>
      <c r="B442" s="5" t="inlineStr">
        <is>
          <t>2</t>
        </is>
      </c>
      <c r="C442" s="5" t="inlineStr">
        <is>
          <t>A-D</t>
        </is>
      </c>
      <c r="D442" s="5" t="inlineStr">
        <is>
          <t>LG2</t>
        </is>
      </c>
      <c r="G442" s="5" t="inlineStr">
        <is>
          <t>M3</t>
        </is>
      </c>
      <c r="H442" s="5" t="n">
        <v>-1</v>
      </c>
      <c r="I442" s="5">
        <f>3.82+0.4+0.82</f>
        <v/>
      </c>
      <c r="J442" s="5" t="n">
        <v>0.4</v>
      </c>
      <c r="K442" s="5" t="n">
        <v>0.2</v>
      </c>
      <c r="L442" s="5">
        <f>K442*J442*I442*H442</f>
        <v/>
      </c>
      <c r="M442" s="5" t="inlineStr"/>
    </row>
    <row r="443">
      <c r="A443" s="5" t="n"/>
      <c r="B443" s="5" t="inlineStr">
        <is>
          <t>2</t>
        </is>
      </c>
      <c r="C443" s="5" t="inlineStr">
        <is>
          <t>D-G</t>
        </is>
      </c>
      <c r="D443" s="5" t="inlineStr">
        <is>
          <t>LG2</t>
        </is>
      </c>
      <c r="G443" s="5" t="inlineStr">
        <is>
          <t>M3</t>
        </is>
      </c>
      <c r="H443" s="5" t="n">
        <v>-1</v>
      </c>
      <c r="I443" s="5">
        <f>1.08+0.15+3.82</f>
        <v/>
      </c>
      <c r="J443" s="5" t="n">
        <v>0.4</v>
      </c>
      <c r="K443" s="5" t="n">
        <v>0.2</v>
      </c>
      <c r="L443" s="5">
        <f>K443*J443*I443*H443</f>
        <v/>
      </c>
      <c r="M443" s="5" t="inlineStr"/>
    </row>
    <row r="444">
      <c r="A444" s="5" t="n"/>
      <c r="B444" s="5" t="inlineStr">
        <is>
          <t>3</t>
        </is>
      </c>
      <c r="C444" s="5" t="inlineStr">
        <is>
          <t>D-G</t>
        </is>
      </c>
      <c r="D444" s="5" t="inlineStr">
        <is>
          <t>LG2</t>
        </is>
      </c>
      <c r="G444" s="5" t="inlineStr">
        <is>
          <t>M3</t>
        </is>
      </c>
      <c r="H444" s="5" t="n">
        <v>-1</v>
      </c>
      <c r="I444" s="5">
        <f>1.08+0.15+3.82</f>
        <v/>
      </c>
      <c r="J444" s="5" t="n">
        <v>0.4</v>
      </c>
      <c r="K444" s="5" t="n">
        <v>0.2</v>
      </c>
      <c r="L444" s="5">
        <f>K444*J444*I444*H444</f>
        <v/>
      </c>
      <c r="M444" s="5" t="inlineStr"/>
    </row>
    <row r="445">
      <c r="A445" s="5" t="n"/>
      <c r="B445" s="5" t="inlineStr">
        <is>
          <t>4</t>
        </is>
      </c>
      <c r="C445" s="5" t="inlineStr">
        <is>
          <t>A-D</t>
        </is>
      </c>
      <c r="D445" s="5" t="inlineStr">
        <is>
          <t>LG2</t>
        </is>
      </c>
      <c r="G445" s="5" t="inlineStr">
        <is>
          <t>M3</t>
        </is>
      </c>
      <c r="H445" s="5" t="n">
        <v>-1</v>
      </c>
      <c r="I445" s="5">
        <f>3.82+0.4+0.82</f>
        <v/>
      </c>
      <c r="J445" s="5" t="n">
        <v>0.4</v>
      </c>
      <c r="K445" s="5" t="n">
        <v>0.2</v>
      </c>
      <c r="L445" s="5">
        <f>K445*J445*I445*H445</f>
        <v/>
      </c>
      <c r="M445" s="5" t="inlineStr"/>
    </row>
    <row r="446">
      <c r="A446" s="5" t="n"/>
      <c r="B446" s="5" t="inlineStr">
        <is>
          <t>5</t>
        </is>
      </c>
      <c r="C446" s="5" t="inlineStr">
        <is>
          <t>A-E</t>
        </is>
      </c>
      <c r="D446" s="5" t="inlineStr">
        <is>
          <t>LG</t>
        </is>
      </c>
      <c r="G446" s="5" t="inlineStr">
        <is>
          <t>M3</t>
        </is>
      </c>
      <c r="H446" s="5" t="n">
        <v>-1</v>
      </c>
      <c r="I446" s="5">
        <f>3.82+0.4+0.82+1.08</f>
        <v/>
      </c>
      <c r="J446" s="5" t="n">
        <v>0.5</v>
      </c>
      <c r="K446" s="5" t="n">
        <v>0.2</v>
      </c>
      <c r="L446" s="5">
        <f>K446*J446*I446*H446</f>
        <v/>
      </c>
      <c r="M446" s="5" t="inlineStr"/>
    </row>
    <row r="447">
      <c r="A447" s="5" t="n"/>
      <c r="B447" s="5" t="inlineStr">
        <is>
          <t>5</t>
        </is>
      </c>
      <c r="C447" s="5" t="inlineStr">
        <is>
          <t>E-G</t>
        </is>
      </c>
      <c r="D447" s="5" t="inlineStr">
        <is>
          <t>LG</t>
        </is>
      </c>
      <c r="G447" s="5" t="inlineStr">
        <is>
          <t>M3</t>
        </is>
      </c>
      <c r="H447" s="5" t="n">
        <v>-1</v>
      </c>
      <c r="I447" s="5">
        <f>0.15+3.82</f>
        <v/>
      </c>
      <c r="J447" s="5" t="n">
        <v>0.5</v>
      </c>
      <c r="K447" s="5" t="n">
        <v>0.2</v>
      </c>
      <c r="L447" s="5">
        <f>K447*J447*I447*H447</f>
        <v/>
      </c>
      <c r="M447" s="5" t="inlineStr"/>
    </row>
    <row r="448">
      <c r="A448" s="5" t="n"/>
      <c r="B448" s="5" t="inlineStr">
        <is>
          <t>6</t>
        </is>
      </c>
      <c r="C448" s="5" t="inlineStr">
        <is>
          <t>A-E</t>
        </is>
      </c>
      <c r="D448" s="5" t="inlineStr">
        <is>
          <t>LG</t>
        </is>
      </c>
      <c r="G448" s="5" t="inlineStr">
        <is>
          <t>M3</t>
        </is>
      </c>
      <c r="H448" s="5" t="n">
        <v>-1</v>
      </c>
      <c r="I448" s="5">
        <f>3.82+0.4+0.82+1.08</f>
        <v/>
      </c>
      <c r="J448" s="5" t="n">
        <v>0.5</v>
      </c>
      <c r="K448" s="5" t="n">
        <v>0.2</v>
      </c>
      <c r="L448" s="5">
        <f>K448*J448*I448*H448</f>
        <v/>
      </c>
      <c r="M448" s="5" t="inlineStr"/>
    </row>
    <row r="449">
      <c r="A449" s="5" t="n"/>
      <c r="B449" s="5" t="inlineStr">
        <is>
          <t>6</t>
        </is>
      </c>
      <c r="C449" s="5" t="inlineStr">
        <is>
          <t>E-G</t>
        </is>
      </c>
      <c r="D449" s="5" t="inlineStr">
        <is>
          <t>LG</t>
        </is>
      </c>
      <c r="G449" s="5" t="inlineStr">
        <is>
          <t>M3</t>
        </is>
      </c>
      <c r="H449" s="5" t="n">
        <v>-1</v>
      </c>
      <c r="I449" s="5">
        <f>0.15+3.82</f>
        <v/>
      </c>
      <c r="J449" s="5" t="n">
        <v>0.5</v>
      </c>
      <c r="K449" s="5" t="n">
        <v>0.2</v>
      </c>
      <c r="L449" s="5">
        <f>K449*J449*I449*H449</f>
        <v/>
      </c>
      <c r="M449" s="5" t="inlineStr"/>
    </row>
    <row r="450">
      <c r="A450" s="5" t="n"/>
      <c r="B450" s="5" t="inlineStr">
        <is>
          <t>7</t>
        </is>
      </c>
      <c r="C450" s="5" t="inlineStr">
        <is>
          <t>A-E</t>
        </is>
      </c>
      <c r="D450" s="5" t="inlineStr">
        <is>
          <t>LG</t>
        </is>
      </c>
      <c r="G450" s="5" t="inlineStr">
        <is>
          <t>M3</t>
        </is>
      </c>
      <c r="H450" s="5" t="n">
        <v>-1</v>
      </c>
      <c r="I450" s="5">
        <f>3.82+0.4+0.82+1.08</f>
        <v/>
      </c>
      <c r="J450" s="5" t="n">
        <v>0.5</v>
      </c>
      <c r="K450" s="5" t="n">
        <v>0.2</v>
      </c>
      <c r="L450" s="5">
        <f>K450*J450*I450*H450</f>
        <v/>
      </c>
      <c r="M450" s="5" t="inlineStr"/>
    </row>
    <row r="451">
      <c r="A451" s="5" t="n"/>
      <c r="B451" s="5" t="inlineStr">
        <is>
          <t>7</t>
        </is>
      </c>
      <c r="C451" s="5" t="inlineStr">
        <is>
          <t>E-G</t>
        </is>
      </c>
      <c r="D451" s="5" t="inlineStr">
        <is>
          <t>LG</t>
        </is>
      </c>
      <c r="G451" s="5" t="inlineStr">
        <is>
          <t>M3</t>
        </is>
      </c>
      <c r="H451" s="5" t="n">
        <v>-1</v>
      </c>
      <c r="I451" s="5">
        <f>0.15+3.82</f>
        <v/>
      </c>
      <c r="J451" s="5" t="n">
        <v>0.5</v>
      </c>
      <c r="K451" s="5" t="n">
        <v>0.2</v>
      </c>
      <c r="L451" s="5">
        <f>K451*J451*I451*H451</f>
        <v/>
      </c>
      <c r="M451" s="5" t="inlineStr"/>
    </row>
    <row r="452">
      <c r="A452" s="5" t="n"/>
      <c r="B452" s="5" t="inlineStr">
        <is>
          <t>A</t>
        </is>
      </c>
      <c r="C452" s="5" t="inlineStr">
        <is>
          <t>1-2</t>
        </is>
      </c>
      <c r="D452" s="5" t="inlineStr">
        <is>
          <t>CH</t>
        </is>
      </c>
      <c r="G452" s="5" t="inlineStr">
        <is>
          <t>M3</t>
        </is>
      </c>
      <c r="H452" s="5" t="n">
        <v>-1</v>
      </c>
      <c r="I452" s="5" t="n">
        <v>2.48</v>
      </c>
      <c r="J452" s="5" t="n">
        <v>0.4</v>
      </c>
      <c r="K452" s="5" t="n">
        <v>0.2</v>
      </c>
      <c r="L452" s="5">
        <f>K452*J452*I452*H452</f>
        <v/>
      </c>
      <c r="M452" s="5" t="inlineStr"/>
    </row>
    <row r="453">
      <c r="A453" s="5" t="n"/>
      <c r="B453" s="5" t="inlineStr">
        <is>
          <t>A</t>
        </is>
      </c>
      <c r="C453" s="5" t="inlineStr">
        <is>
          <t>2-4</t>
        </is>
      </c>
      <c r="D453" s="5" t="inlineStr">
        <is>
          <t>CH</t>
        </is>
      </c>
      <c r="G453" s="5" t="inlineStr">
        <is>
          <t>M3</t>
        </is>
      </c>
      <c r="H453" s="5" t="n">
        <v>-1</v>
      </c>
      <c r="I453" s="5" t="n">
        <v>7.25</v>
      </c>
      <c r="J453" s="5" t="n">
        <v>0.4</v>
      </c>
      <c r="K453" s="5" t="n">
        <v>0.2</v>
      </c>
      <c r="L453" s="5">
        <f>K453*J453*I453*H453</f>
        <v/>
      </c>
      <c r="M453" s="5" t="inlineStr"/>
    </row>
    <row r="454">
      <c r="A454" s="5" t="n"/>
      <c r="B454" s="5" t="inlineStr">
        <is>
          <t>A</t>
        </is>
      </c>
      <c r="C454" s="5" t="inlineStr">
        <is>
          <t>4-5</t>
        </is>
      </c>
      <c r="D454" s="5" t="inlineStr">
        <is>
          <t>CH</t>
        </is>
      </c>
      <c r="G454" s="5" t="inlineStr">
        <is>
          <t>M3</t>
        </is>
      </c>
      <c r="H454" s="5" t="n">
        <v>-1</v>
      </c>
      <c r="I454" s="5" t="n">
        <v>2.38</v>
      </c>
      <c r="J454" s="5" t="n">
        <v>0.4</v>
      </c>
      <c r="K454" s="5" t="n">
        <v>0.2</v>
      </c>
      <c r="L454" s="5">
        <f>K454*J454*I454*H454</f>
        <v/>
      </c>
      <c r="M454" s="5" t="inlineStr"/>
    </row>
    <row r="455">
      <c r="A455" s="5" t="n"/>
      <c r="B455" s="5" t="inlineStr">
        <is>
          <t>A</t>
        </is>
      </c>
      <c r="C455" s="5" t="inlineStr">
        <is>
          <t>5-6</t>
        </is>
      </c>
      <c r="D455" s="5" t="inlineStr">
        <is>
          <t>CH</t>
        </is>
      </c>
      <c r="G455" s="5" t="inlineStr">
        <is>
          <t>M3</t>
        </is>
      </c>
      <c r="H455" s="5" t="n">
        <v>-1</v>
      </c>
      <c r="I455" s="5" t="n">
        <v>4.78</v>
      </c>
      <c r="J455" s="5" t="n">
        <v>0.4</v>
      </c>
      <c r="K455" s="5" t="n">
        <v>0.2</v>
      </c>
      <c r="L455" s="5">
        <f>K455*J455*I455*H455</f>
        <v/>
      </c>
      <c r="M455" s="5" t="inlineStr"/>
    </row>
    <row r="456">
      <c r="A456" s="5" t="n"/>
      <c r="B456" s="5" t="inlineStr">
        <is>
          <t>A</t>
        </is>
      </c>
      <c r="C456" s="5" t="inlineStr">
        <is>
          <t>6-7</t>
        </is>
      </c>
      <c r="D456" s="5" t="inlineStr">
        <is>
          <t>CH</t>
        </is>
      </c>
      <c r="G456" s="5" t="inlineStr">
        <is>
          <t>M3</t>
        </is>
      </c>
      <c r="H456" s="5" t="n">
        <v>-1</v>
      </c>
      <c r="I456" s="5" t="n">
        <v>2.65</v>
      </c>
      <c r="J456" s="5" t="n">
        <v>0.4</v>
      </c>
      <c r="K456" s="5" t="n">
        <v>0.2</v>
      </c>
      <c r="L456" s="5">
        <f>K456*J456*I456*H456</f>
        <v/>
      </c>
      <c r="M456" s="5" t="inlineStr"/>
    </row>
    <row r="457">
      <c r="A457" s="5" t="n"/>
      <c r="B457" s="5" t="inlineStr">
        <is>
          <t>A</t>
        </is>
      </c>
      <c r="C457" s="5" t="inlineStr">
        <is>
          <t>7-8</t>
        </is>
      </c>
      <c r="D457" s="5" t="inlineStr">
        <is>
          <t>CH</t>
        </is>
      </c>
      <c r="G457" s="5" t="inlineStr">
        <is>
          <t>M3</t>
        </is>
      </c>
      <c r="H457" s="5" t="n">
        <v>-1</v>
      </c>
      <c r="I457" s="5" t="n">
        <v>4.6</v>
      </c>
      <c r="J457" s="5" t="n">
        <v>0.4</v>
      </c>
      <c r="K457" s="5" t="n">
        <v>0.2</v>
      </c>
      <c r="L457" s="5">
        <f>K457*J457*I457*H457</f>
        <v/>
      </c>
      <c r="M457" s="5" t="inlineStr"/>
    </row>
    <row r="458">
      <c r="A458" s="5" t="n"/>
      <c r="B458" s="5" t="inlineStr">
        <is>
          <t>G</t>
        </is>
      </c>
      <c r="C458" s="5" t="inlineStr">
        <is>
          <t>1-2</t>
        </is>
      </c>
      <c r="D458" s="5" t="inlineStr">
        <is>
          <t>CH</t>
        </is>
      </c>
      <c r="G458" s="5" t="inlineStr">
        <is>
          <t>M3</t>
        </is>
      </c>
      <c r="H458" s="5" t="n">
        <v>-1</v>
      </c>
      <c r="I458" s="5" t="n">
        <v>2.48</v>
      </c>
      <c r="J458" s="5" t="n">
        <v>0.4</v>
      </c>
      <c r="K458" s="5" t="n">
        <v>0.2</v>
      </c>
      <c r="L458" s="5">
        <f>K458*J458*I458*H458</f>
        <v/>
      </c>
      <c r="M458" s="5" t="inlineStr"/>
    </row>
    <row r="459">
      <c r="A459" s="5" t="n"/>
      <c r="B459" s="5" t="inlineStr">
        <is>
          <t>G</t>
        </is>
      </c>
      <c r="C459" s="5" t="inlineStr">
        <is>
          <t>2-4</t>
        </is>
      </c>
      <c r="D459" s="5" t="inlineStr">
        <is>
          <t>CH</t>
        </is>
      </c>
      <c r="G459" s="5" t="inlineStr">
        <is>
          <t>M3</t>
        </is>
      </c>
      <c r="H459" s="5" t="n">
        <v>-1</v>
      </c>
      <c r="I459" s="5" t="n">
        <v>7.25</v>
      </c>
      <c r="J459" s="5" t="n">
        <v>0.4</v>
      </c>
      <c r="K459" s="5" t="n">
        <v>0.2</v>
      </c>
      <c r="L459" s="5">
        <f>K459*J459*I459*H459</f>
        <v/>
      </c>
      <c r="M459" s="5" t="inlineStr"/>
    </row>
    <row r="460">
      <c r="A460" s="5" t="n"/>
      <c r="B460" s="5" t="inlineStr">
        <is>
          <t>G</t>
        </is>
      </c>
      <c r="C460" s="5" t="inlineStr">
        <is>
          <t>4-5</t>
        </is>
      </c>
      <c r="D460" s="5" t="inlineStr">
        <is>
          <t>CH</t>
        </is>
      </c>
      <c r="G460" s="5" t="inlineStr">
        <is>
          <t>M3</t>
        </is>
      </c>
      <c r="H460" s="5" t="n">
        <v>-1</v>
      </c>
      <c r="I460" s="5" t="n">
        <v>2.38</v>
      </c>
      <c r="J460" s="5" t="n">
        <v>0.4</v>
      </c>
      <c r="K460" s="5" t="n">
        <v>0.2</v>
      </c>
      <c r="L460" s="5">
        <f>K460*J460*I460*H460</f>
        <v/>
      </c>
      <c r="M460" s="5" t="inlineStr"/>
    </row>
    <row r="461">
      <c r="A461" s="5" t="n"/>
      <c r="B461" s="5" t="inlineStr">
        <is>
          <t>G</t>
        </is>
      </c>
      <c r="C461" s="5" t="inlineStr">
        <is>
          <t>5-6</t>
        </is>
      </c>
      <c r="D461" s="5" t="inlineStr">
        <is>
          <t>CH</t>
        </is>
      </c>
      <c r="G461" s="5" t="inlineStr">
        <is>
          <t>M3</t>
        </is>
      </c>
      <c r="H461" s="5" t="n">
        <v>-1</v>
      </c>
      <c r="I461" s="5" t="n">
        <v>4.78</v>
      </c>
      <c r="J461" s="5" t="n">
        <v>0.4</v>
      </c>
      <c r="K461" s="5" t="n">
        <v>0.2</v>
      </c>
      <c r="L461" s="5">
        <f>K461*J461*I461*H461</f>
        <v/>
      </c>
      <c r="M461" s="5" t="inlineStr"/>
    </row>
    <row r="462">
      <c r="A462" s="5" t="n"/>
      <c r="B462" s="5" t="inlineStr">
        <is>
          <t>G</t>
        </is>
      </c>
      <c r="C462" s="5" t="inlineStr">
        <is>
          <t>6-7</t>
        </is>
      </c>
      <c r="D462" s="5" t="inlineStr">
        <is>
          <t>CH</t>
        </is>
      </c>
      <c r="G462" s="5" t="inlineStr">
        <is>
          <t>M3</t>
        </is>
      </c>
      <c r="H462" s="5" t="n">
        <v>-1</v>
      </c>
      <c r="I462" s="5" t="n">
        <v>2.65</v>
      </c>
      <c r="J462" s="5" t="n">
        <v>0.4</v>
      </c>
      <c r="K462" s="5" t="n">
        <v>0.2</v>
      </c>
      <c r="L462" s="5">
        <f>K462*J462*I462*H462</f>
        <v/>
      </c>
      <c r="M462" s="5" t="inlineStr"/>
    </row>
    <row r="463">
      <c r="A463" s="5" t="n"/>
      <c r="B463" s="5" t="inlineStr">
        <is>
          <t>G</t>
        </is>
      </c>
      <c r="C463" s="5" t="inlineStr">
        <is>
          <t>7-8</t>
        </is>
      </c>
      <c r="D463" s="5" t="inlineStr">
        <is>
          <t>CH</t>
        </is>
      </c>
      <c r="G463" s="5" t="inlineStr">
        <is>
          <t>M3</t>
        </is>
      </c>
      <c r="H463" s="5" t="n">
        <v>-1</v>
      </c>
      <c r="I463" s="5" t="n">
        <v>4.6</v>
      </c>
      <c r="J463" s="5" t="n">
        <v>0.4</v>
      </c>
      <c r="K463" s="5" t="n">
        <v>0.2</v>
      </c>
      <c r="L463" s="5">
        <f>K463*J463*I463*H463</f>
        <v/>
      </c>
      <c r="M463" s="5" t="inlineStr"/>
    </row>
    <row r="464">
      <c r="A464" s="5" t="n"/>
      <c r="B464" s="5" t="inlineStr">
        <is>
          <t>1</t>
        </is>
      </c>
      <c r="C464" s="5" t="inlineStr">
        <is>
          <t>A-D</t>
        </is>
      </c>
      <c r="D464" s="5" t="inlineStr">
        <is>
          <t>CH</t>
        </is>
      </c>
      <c r="G464" s="5" t="inlineStr">
        <is>
          <t>M3</t>
        </is>
      </c>
      <c r="H464" s="5" t="n">
        <v>-1</v>
      </c>
      <c r="I464" s="5">
        <f>3.82+0.4+0.82</f>
        <v/>
      </c>
      <c r="J464" s="5" t="n">
        <v>0.4</v>
      </c>
      <c r="K464" s="5" t="n">
        <v>0.2</v>
      </c>
      <c r="L464" s="5">
        <f>K464*J464*I464*H464</f>
        <v/>
      </c>
      <c r="M464" s="5" t="inlineStr"/>
    </row>
    <row r="465">
      <c r="A465" s="5" t="n"/>
      <c r="B465" s="5" t="inlineStr">
        <is>
          <t>1</t>
        </is>
      </c>
      <c r="C465" s="5" t="inlineStr">
        <is>
          <t>D-G</t>
        </is>
      </c>
      <c r="D465" s="5" t="inlineStr">
        <is>
          <t>CH</t>
        </is>
      </c>
      <c r="G465" s="5" t="inlineStr">
        <is>
          <t>M3</t>
        </is>
      </c>
      <c r="H465" s="5" t="n">
        <v>-1</v>
      </c>
      <c r="I465" s="5">
        <f>1.08+0.15+3.82</f>
        <v/>
      </c>
      <c r="J465" s="5" t="n">
        <v>0.4</v>
      </c>
      <c r="K465" s="5" t="n">
        <v>0.2</v>
      </c>
      <c r="L465" s="5">
        <f>K465*J465*I465*H465</f>
        <v/>
      </c>
      <c r="M465" s="5" t="inlineStr"/>
    </row>
    <row r="466">
      <c r="A466" s="5" t="n"/>
      <c r="B466" s="5" t="inlineStr">
        <is>
          <t>8</t>
        </is>
      </c>
      <c r="C466" s="5" t="inlineStr">
        <is>
          <t>A-C</t>
        </is>
      </c>
      <c r="D466" s="5" t="inlineStr">
        <is>
          <t>CH</t>
        </is>
      </c>
      <c r="G466" s="5" t="inlineStr">
        <is>
          <t>M3</t>
        </is>
      </c>
      <c r="H466" s="5" t="n">
        <v>-1</v>
      </c>
      <c r="I466" s="5">
        <f>3.82+0.4</f>
        <v/>
      </c>
      <c r="J466" s="5" t="n">
        <v>0.4</v>
      </c>
      <c r="K466" s="5" t="n">
        <v>0.2</v>
      </c>
      <c r="L466" s="5">
        <f>K466*J466*I466*H466</f>
        <v/>
      </c>
      <c r="M466" s="5" t="inlineStr"/>
    </row>
    <row r="467">
      <c r="A467" s="5" t="n"/>
      <c r="B467" s="5" t="inlineStr">
        <is>
          <t>8</t>
        </is>
      </c>
      <c r="C467" s="5" t="inlineStr">
        <is>
          <t>C-E</t>
        </is>
      </c>
      <c r="D467" s="5" t="inlineStr">
        <is>
          <t>CH</t>
        </is>
      </c>
      <c r="G467" s="5" t="inlineStr">
        <is>
          <t>M3</t>
        </is>
      </c>
      <c r="H467" s="5" t="n">
        <v>-1</v>
      </c>
      <c r="I467" s="5">
        <f>0.82+1.08</f>
        <v/>
      </c>
      <c r="J467" s="5" t="n">
        <v>0.4</v>
      </c>
      <c r="K467" s="5" t="n">
        <v>0.2</v>
      </c>
      <c r="L467" s="5">
        <f>K467*J467*I467*H467</f>
        <v/>
      </c>
      <c r="M467" s="5" t="inlineStr"/>
    </row>
    <row r="468">
      <c r="A468" s="5" t="n"/>
      <c r="B468" s="5" t="inlineStr">
        <is>
          <t>8</t>
        </is>
      </c>
      <c r="C468" s="5" t="inlineStr">
        <is>
          <t>E-G</t>
        </is>
      </c>
      <c r="D468" s="5" t="inlineStr">
        <is>
          <t>CH</t>
        </is>
      </c>
      <c r="G468" s="5" t="inlineStr">
        <is>
          <t>M3</t>
        </is>
      </c>
      <c r="H468" s="5" t="n">
        <v>-1</v>
      </c>
      <c r="I468" s="5">
        <f>0.15+3.82</f>
        <v/>
      </c>
      <c r="J468" s="5" t="n">
        <v>0.4</v>
      </c>
      <c r="K468" s="5" t="n">
        <v>0.2</v>
      </c>
      <c r="L468" s="5">
        <f>K468*J468*I468*H468</f>
        <v/>
      </c>
      <c r="M468" s="5" t="inlineStr"/>
    </row>
    <row r="469">
      <c r="A469" s="5" t="n"/>
      <c r="B469" s="5" t="inlineStr">
        <is>
          <t>A</t>
        </is>
      </c>
      <c r="C469" s="5" t="inlineStr">
        <is>
          <t>1</t>
        </is>
      </c>
      <c r="D469" s="5" t="inlineStr">
        <is>
          <t>P3</t>
        </is>
      </c>
      <c r="G469" s="5" t="inlineStr">
        <is>
          <t>M3</t>
        </is>
      </c>
      <c r="H469" s="5" t="n">
        <v>-1</v>
      </c>
      <c r="I469" s="5" t="n">
        <v>0.3</v>
      </c>
      <c r="J469" s="5" t="n">
        <v>0.3</v>
      </c>
      <c r="K469" s="5">
        <f>$N$14-0.13-0.1-0.25</f>
        <v/>
      </c>
      <c r="L469" s="5">
        <f>K469*J469*I469*H469</f>
        <v/>
      </c>
      <c r="M469" s="5" t="inlineStr"/>
    </row>
    <row r="470">
      <c r="A470" s="5" t="n"/>
      <c r="B470" s="5" t="inlineStr">
        <is>
          <t>A</t>
        </is>
      </c>
      <c r="C470" s="5" t="inlineStr">
        <is>
          <t>2</t>
        </is>
      </c>
      <c r="D470" s="5" t="inlineStr">
        <is>
          <t>P2</t>
        </is>
      </c>
      <c r="G470" s="5" t="inlineStr">
        <is>
          <t>M3</t>
        </is>
      </c>
      <c r="H470" s="5" t="n">
        <v>-1</v>
      </c>
      <c r="I470" s="5" t="n">
        <v>0.4</v>
      </c>
      <c r="J470" s="5" t="n">
        <v>0.4</v>
      </c>
      <c r="K470" s="5">
        <f>$N$14-0.13-0.1-0.25</f>
        <v/>
      </c>
      <c r="L470" s="5">
        <f>K470*J470*I470*H470</f>
        <v/>
      </c>
      <c r="M470" s="5" t="inlineStr"/>
    </row>
    <row r="471">
      <c r="A471" s="5" t="n"/>
      <c r="B471" s="5" t="inlineStr">
        <is>
          <t>A</t>
        </is>
      </c>
      <c r="C471" s="5" t="inlineStr">
        <is>
          <t>4</t>
        </is>
      </c>
      <c r="D471" s="5" t="inlineStr">
        <is>
          <t>P2</t>
        </is>
      </c>
      <c r="G471" s="5" t="inlineStr">
        <is>
          <t>M3</t>
        </is>
      </c>
      <c r="H471" s="5" t="n">
        <v>-1</v>
      </c>
      <c r="I471" s="5" t="n">
        <v>0.4</v>
      </c>
      <c r="J471" s="5" t="n">
        <v>0.4</v>
      </c>
      <c r="K471" s="5">
        <f>$N$14-0.13-0.1-0.25</f>
        <v/>
      </c>
      <c r="L471" s="5">
        <f>K471*J471*I471*H471</f>
        <v/>
      </c>
      <c r="M471" s="5" t="inlineStr"/>
    </row>
    <row r="472">
      <c r="A472" s="5" t="n"/>
      <c r="B472" s="5" t="inlineStr">
        <is>
          <t>A</t>
        </is>
      </c>
      <c r="C472" s="5" t="inlineStr">
        <is>
          <t>5</t>
        </is>
      </c>
      <c r="D472" s="5" t="inlineStr">
        <is>
          <t>P3</t>
        </is>
      </c>
      <c r="G472" s="5" t="inlineStr">
        <is>
          <t>M3</t>
        </is>
      </c>
      <c r="H472" s="5" t="n">
        <v>-1</v>
      </c>
      <c r="I472" s="5" t="n">
        <v>0.3</v>
      </c>
      <c r="J472" s="5" t="n">
        <v>0.3</v>
      </c>
      <c r="K472" s="5">
        <f>$N$14-0.13-0.1-0.25</f>
        <v/>
      </c>
      <c r="L472" s="5">
        <f>K472*J472*I472*H472</f>
        <v/>
      </c>
      <c r="M472" s="5" t="inlineStr"/>
    </row>
    <row r="473">
      <c r="A473" s="5" t="n"/>
      <c r="B473" s="5" t="inlineStr">
        <is>
          <t>A</t>
        </is>
      </c>
      <c r="C473" s="5" t="inlineStr">
        <is>
          <t>6</t>
        </is>
      </c>
      <c r="D473" s="5" t="inlineStr">
        <is>
          <t>P1</t>
        </is>
      </c>
      <c r="G473" s="5" t="inlineStr">
        <is>
          <t>M3</t>
        </is>
      </c>
      <c r="H473" s="5" t="n">
        <v>-1</v>
      </c>
      <c r="I473" s="5" t="n">
        <v>0.25</v>
      </c>
      <c r="J473" s="5" t="n">
        <v>0.35</v>
      </c>
      <c r="K473" s="5">
        <f>$N$14-0.13-0.1-0.25</f>
        <v/>
      </c>
      <c r="L473" s="5">
        <f>K473*J473*I473*H473</f>
        <v/>
      </c>
      <c r="M473" s="5" t="inlineStr"/>
    </row>
    <row r="474">
      <c r="A474" s="5" t="n"/>
      <c r="B474" s="5" t="inlineStr">
        <is>
          <t>A</t>
        </is>
      </c>
      <c r="C474" s="5" t="inlineStr">
        <is>
          <t>7</t>
        </is>
      </c>
      <c r="D474" s="5" t="inlineStr">
        <is>
          <t>P1</t>
        </is>
      </c>
      <c r="G474" s="5" t="inlineStr">
        <is>
          <t>M3</t>
        </is>
      </c>
      <c r="H474" s="5" t="n">
        <v>-1</v>
      </c>
      <c r="I474" s="5" t="n">
        <v>0.25</v>
      </c>
      <c r="J474" s="5" t="n">
        <v>0.35</v>
      </c>
      <c r="K474" s="5">
        <f>$N$14-0.13-0.1-0.25</f>
        <v/>
      </c>
      <c r="L474" s="5">
        <f>K474*J474*I474*H474</f>
        <v/>
      </c>
      <c r="M474" s="5" t="inlineStr"/>
    </row>
    <row r="475">
      <c r="A475" s="5" t="n"/>
      <c r="B475" s="5" t="inlineStr">
        <is>
          <t>A</t>
        </is>
      </c>
      <c r="C475" s="5" t="inlineStr">
        <is>
          <t>8</t>
        </is>
      </c>
      <c r="D475" s="5" t="inlineStr">
        <is>
          <t>P1</t>
        </is>
      </c>
      <c r="G475" s="5" t="inlineStr">
        <is>
          <t>M3</t>
        </is>
      </c>
      <c r="H475" s="5" t="n">
        <v>-1</v>
      </c>
      <c r="I475" s="5" t="n">
        <v>0.25</v>
      </c>
      <c r="J475" s="5" t="n">
        <v>0.35</v>
      </c>
      <c r="K475" s="5">
        <f>$N$14-0.13-0.1-0.25</f>
        <v/>
      </c>
      <c r="L475" s="5">
        <f>K475*J475*I475*H475</f>
        <v/>
      </c>
      <c r="M475" s="5" t="inlineStr"/>
    </row>
    <row r="476">
      <c r="A476" s="5" t="n"/>
      <c r="B476" s="5" t="inlineStr">
        <is>
          <t>B</t>
        </is>
      </c>
      <c r="C476" s="5" t="inlineStr">
        <is>
          <t>5</t>
        </is>
      </c>
      <c r="D476" s="5" t="inlineStr">
        <is>
          <t>P4</t>
        </is>
      </c>
      <c r="G476" s="5" t="inlineStr">
        <is>
          <t>M3</t>
        </is>
      </c>
      <c r="H476" s="5" t="n">
        <v>-1</v>
      </c>
      <c r="I476" s="5" t="n">
        <v>0.35</v>
      </c>
      <c r="J476" s="5" t="n">
        <v>0.35</v>
      </c>
      <c r="K476" s="5">
        <f>$N$14-0.13-0.1-0.25</f>
        <v/>
      </c>
      <c r="L476" s="5">
        <f>K476*J476*I476*H476</f>
        <v/>
      </c>
      <c r="M476" s="5" t="inlineStr"/>
    </row>
    <row r="477">
      <c r="A477" s="5" t="n"/>
      <c r="B477" s="5" t="inlineStr">
        <is>
          <t>C</t>
        </is>
      </c>
      <c r="C477" s="5" t="inlineStr">
        <is>
          <t>6</t>
        </is>
      </c>
      <c r="D477" s="5" t="inlineStr">
        <is>
          <t>P1</t>
        </is>
      </c>
      <c r="G477" s="5" t="inlineStr">
        <is>
          <t>M3</t>
        </is>
      </c>
      <c r="H477" s="5" t="n">
        <v>-1</v>
      </c>
      <c r="I477" s="5" t="n">
        <v>0.25</v>
      </c>
      <c r="J477" s="5" t="n">
        <v>0.35</v>
      </c>
      <c r="K477" s="5">
        <f>$N$14-0.13-0.1-0.25</f>
        <v/>
      </c>
      <c r="L477" s="5">
        <f>K477*J477*I477*H477</f>
        <v/>
      </c>
      <c r="M477" s="5" t="inlineStr"/>
    </row>
    <row r="478">
      <c r="A478" s="5" t="n"/>
      <c r="B478" s="5" t="inlineStr">
        <is>
          <t>C</t>
        </is>
      </c>
      <c r="C478" s="5" t="inlineStr">
        <is>
          <t>7</t>
        </is>
      </c>
      <c r="D478" s="5" t="inlineStr">
        <is>
          <t>P1</t>
        </is>
      </c>
      <c r="G478" s="5" t="inlineStr">
        <is>
          <t>M3</t>
        </is>
      </c>
      <c r="H478" s="5" t="n">
        <v>-1</v>
      </c>
      <c r="I478" s="5" t="n">
        <v>0.25</v>
      </c>
      <c r="J478" s="5" t="n">
        <v>0.35</v>
      </c>
      <c r="K478" s="5">
        <f>$N$14-0.13-0.1-0.25</f>
        <v/>
      </c>
      <c r="L478" s="5">
        <f>K478*J478*I478*H478</f>
        <v/>
      </c>
      <c r="M478" s="5" t="inlineStr"/>
    </row>
    <row r="479">
      <c r="A479" s="5" t="n"/>
      <c r="B479" s="5" t="inlineStr">
        <is>
          <t>C</t>
        </is>
      </c>
      <c r="C479" s="5" t="inlineStr">
        <is>
          <t>8</t>
        </is>
      </c>
      <c r="D479" s="5" t="inlineStr">
        <is>
          <t>P1</t>
        </is>
      </c>
      <c r="G479" s="5" t="inlineStr">
        <is>
          <t>M3</t>
        </is>
      </c>
      <c r="H479" s="5" t="n">
        <v>-1</v>
      </c>
      <c r="I479" s="5" t="n">
        <v>0.25</v>
      </c>
      <c r="J479" s="5" t="n">
        <v>0.35</v>
      </c>
      <c r="K479" s="5">
        <f>$N$14-0.13-0.1-0.25</f>
        <v/>
      </c>
      <c r="L479" s="5">
        <f>K479*J479*I479*H479</f>
        <v/>
      </c>
      <c r="M479" s="5" t="inlineStr"/>
    </row>
    <row r="480">
      <c r="A480" s="5" t="n"/>
      <c r="B480" s="5" t="inlineStr">
        <is>
          <t>D</t>
        </is>
      </c>
      <c r="C480" s="5" t="inlineStr">
        <is>
          <t>1</t>
        </is>
      </c>
      <c r="D480" s="5" t="inlineStr">
        <is>
          <t>P2</t>
        </is>
      </c>
      <c r="G480" s="5" t="inlineStr">
        <is>
          <t>M3</t>
        </is>
      </c>
      <c r="H480" s="5" t="n">
        <v>-1</v>
      </c>
      <c r="I480" s="5" t="n">
        <v>0.4</v>
      </c>
      <c r="J480" s="5" t="n">
        <v>0.4</v>
      </c>
      <c r="K480" s="5">
        <f>$N$14-0.13-0.1-0.25</f>
        <v/>
      </c>
      <c r="L480" s="5">
        <f>K480*J480*I480*H480</f>
        <v/>
      </c>
      <c r="M480" s="5" t="inlineStr"/>
    </row>
    <row r="481">
      <c r="A481" s="5" t="n"/>
      <c r="B481" s="5" t="inlineStr">
        <is>
          <t>E</t>
        </is>
      </c>
      <c r="C481" s="5" t="inlineStr">
        <is>
          <t>6</t>
        </is>
      </c>
      <c r="D481" s="5" t="inlineStr">
        <is>
          <t>P1</t>
        </is>
      </c>
      <c r="G481" s="5" t="inlineStr">
        <is>
          <t>M3</t>
        </is>
      </c>
      <c r="H481" s="5" t="n">
        <v>-1</v>
      </c>
      <c r="I481" s="5" t="n">
        <v>0.25</v>
      </c>
      <c r="J481" s="5" t="n">
        <v>0.35</v>
      </c>
      <c r="K481" s="5">
        <f>$N$14-0.13-0.1-0.25</f>
        <v/>
      </c>
      <c r="L481" s="5">
        <f>K481*J481*I481*H481</f>
        <v/>
      </c>
      <c r="M481" s="5" t="inlineStr"/>
    </row>
    <row r="482">
      <c r="A482" s="5" t="n"/>
      <c r="B482" s="5" t="inlineStr">
        <is>
          <t>E</t>
        </is>
      </c>
      <c r="C482" s="5" t="inlineStr">
        <is>
          <t>7</t>
        </is>
      </c>
      <c r="D482" s="5" t="inlineStr">
        <is>
          <t>P1</t>
        </is>
      </c>
      <c r="G482" s="5" t="inlineStr">
        <is>
          <t>M3</t>
        </is>
      </c>
      <c r="H482" s="5" t="n">
        <v>-1</v>
      </c>
      <c r="I482" s="5" t="n">
        <v>0.25</v>
      </c>
      <c r="J482" s="5" t="n">
        <v>0.35</v>
      </c>
      <c r="K482" s="5">
        <f>$N$14-0.13-0.1-0.25</f>
        <v/>
      </c>
      <c r="L482" s="5">
        <f>K482*J482*I482*H482</f>
        <v/>
      </c>
      <c r="M482" s="5" t="inlineStr"/>
    </row>
    <row r="483">
      <c r="A483" s="5" t="n"/>
      <c r="B483" s="5" t="inlineStr">
        <is>
          <t>E</t>
        </is>
      </c>
      <c r="C483" s="5" t="inlineStr">
        <is>
          <t>8</t>
        </is>
      </c>
      <c r="D483" s="5" t="inlineStr">
        <is>
          <t>P1</t>
        </is>
      </c>
      <c r="G483" s="5" t="inlineStr">
        <is>
          <t>M3</t>
        </is>
      </c>
      <c r="H483" s="5" t="n">
        <v>-1</v>
      </c>
      <c r="I483" s="5" t="n">
        <v>0.25</v>
      </c>
      <c r="J483" s="5" t="n">
        <v>0.35</v>
      </c>
      <c r="K483" s="5">
        <f>$N$14-0.13-0.1-0.25</f>
        <v/>
      </c>
      <c r="L483" s="5">
        <f>K483*J483*I483*H483</f>
        <v/>
      </c>
      <c r="M483" s="5" t="inlineStr"/>
    </row>
    <row r="484">
      <c r="A484" s="5" t="n"/>
      <c r="B484" s="5" t="inlineStr">
        <is>
          <t>F</t>
        </is>
      </c>
      <c r="C484" s="5" t="inlineStr">
        <is>
          <t>5</t>
        </is>
      </c>
      <c r="D484" s="5" t="inlineStr">
        <is>
          <t>P4</t>
        </is>
      </c>
      <c r="G484" s="5" t="inlineStr">
        <is>
          <t>M3</t>
        </is>
      </c>
      <c r="H484" s="5" t="n">
        <v>-1</v>
      </c>
      <c r="I484" s="5" t="n">
        <v>0.35</v>
      </c>
      <c r="J484" s="5" t="n">
        <v>0.35</v>
      </c>
      <c r="K484" s="5">
        <f>$N$14-0.13-0.1-0.25</f>
        <v/>
      </c>
      <c r="L484" s="5">
        <f>K484*J484*I484*H484</f>
        <v/>
      </c>
      <c r="M484" s="5" t="inlineStr"/>
    </row>
    <row r="485">
      <c r="A485" s="5" t="n"/>
      <c r="B485" s="5" t="inlineStr">
        <is>
          <t>G</t>
        </is>
      </c>
      <c r="C485" s="5" t="inlineStr">
        <is>
          <t>1</t>
        </is>
      </c>
      <c r="D485" s="5" t="inlineStr">
        <is>
          <t>P3</t>
        </is>
      </c>
      <c r="G485" s="5" t="inlineStr">
        <is>
          <t>M3</t>
        </is>
      </c>
      <c r="H485" s="5" t="n">
        <v>-1</v>
      </c>
      <c r="I485" s="5" t="n">
        <v>0.3</v>
      </c>
      <c r="J485" s="5" t="n">
        <v>0.3</v>
      </c>
      <c r="K485" s="5">
        <f>$N$14-0.13-0.1-0.25</f>
        <v/>
      </c>
      <c r="L485" s="5">
        <f>K485*J485*I485*H485</f>
        <v/>
      </c>
      <c r="M485" s="5" t="inlineStr"/>
    </row>
    <row r="486">
      <c r="A486" s="5" t="n"/>
      <c r="B486" s="5" t="inlineStr">
        <is>
          <t>G</t>
        </is>
      </c>
      <c r="C486" s="5" t="inlineStr">
        <is>
          <t>2</t>
        </is>
      </c>
      <c r="D486" s="5" t="inlineStr">
        <is>
          <t>P2</t>
        </is>
      </c>
      <c r="G486" s="5" t="inlineStr">
        <is>
          <t>M3</t>
        </is>
      </c>
      <c r="H486" s="5" t="n">
        <v>-1</v>
      </c>
      <c r="I486" s="5" t="n">
        <v>0.4</v>
      </c>
      <c r="J486" s="5" t="n">
        <v>0.4</v>
      </c>
      <c r="K486" s="5">
        <f>$N$14-0.13-0.1-0.25</f>
        <v/>
      </c>
      <c r="L486" s="5">
        <f>K486*J486*I486*H486</f>
        <v/>
      </c>
      <c r="M486" s="5" t="inlineStr"/>
    </row>
    <row r="487">
      <c r="A487" s="5" t="n"/>
      <c r="B487" s="5" t="inlineStr">
        <is>
          <t>G</t>
        </is>
      </c>
      <c r="C487" s="5" t="inlineStr">
        <is>
          <t>3</t>
        </is>
      </c>
      <c r="D487" s="5" t="inlineStr">
        <is>
          <t>P2</t>
        </is>
      </c>
      <c r="G487" s="5" t="inlineStr">
        <is>
          <t>M3</t>
        </is>
      </c>
      <c r="H487" s="5" t="n">
        <v>-1</v>
      </c>
      <c r="I487" s="5" t="n">
        <v>0.4</v>
      </c>
      <c r="J487" s="5" t="n">
        <v>0.4</v>
      </c>
      <c r="K487" s="5">
        <f>$N$14-0.13-0.1-0.25</f>
        <v/>
      </c>
      <c r="L487" s="5">
        <f>K487*J487*I487*H487</f>
        <v/>
      </c>
      <c r="M487" s="5" t="inlineStr"/>
    </row>
    <row r="488">
      <c r="A488" s="5" t="n"/>
      <c r="B488" s="5" t="inlineStr">
        <is>
          <t>G</t>
        </is>
      </c>
      <c r="C488" s="5" t="inlineStr">
        <is>
          <t>5</t>
        </is>
      </c>
      <c r="D488" s="5" t="inlineStr">
        <is>
          <t>P3</t>
        </is>
      </c>
      <c r="G488" s="5" t="inlineStr">
        <is>
          <t>M3</t>
        </is>
      </c>
      <c r="H488" s="5" t="n">
        <v>-1</v>
      </c>
      <c r="I488" s="5" t="n">
        <v>0.3</v>
      </c>
      <c r="J488" s="5" t="n">
        <v>0.3</v>
      </c>
      <c r="K488" s="5">
        <f>$N$14-0.13-0.1-0.25</f>
        <v/>
      </c>
      <c r="L488" s="5">
        <f>K488*J488*I488*H488</f>
        <v/>
      </c>
      <c r="M488" s="5" t="inlineStr"/>
    </row>
    <row r="489">
      <c r="A489" s="5" t="n"/>
      <c r="B489" s="5" t="inlineStr">
        <is>
          <t>G</t>
        </is>
      </c>
      <c r="C489" s="5" t="inlineStr">
        <is>
          <t>6</t>
        </is>
      </c>
      <c r="D489" s="5" t="inlineStr">
        <is>
          <t>P1</t>
        </is>
      </c>
      <c r="G489" s="5" t="inlineStr">
        <is>
          <t>M3</t>
        </is>
      </c>
      <c r="H489" s="5" t="n">
        <v>-1</v>
      </c>
      <c r="I489" s="5" t="n">
        <v>0.25</v>
      </c>
      <c r="J489" s="5" t="n">
        <v>0.35</v>
      </c>
      <c r="K489" s="5">
        <f>$N$14-0.13-0.1-0.25</f>
        <v/>
      </c>
      <c r="L489" s="5">
        <f>K489*J489*I489*H489</f>
        <v/>
      </c>
      <c r="M489" s="5" t="inlineStr"/>
    </row>
    <row r="490">
      <c r="A490" s="5" t="n"/>
      <c r="B490" s="5" t="inlineStr">
        <is>
          <t>G</t>
        </is>
      </c>
      <c r="C490" s="5" t="inlineStr">
        <is>
          <t>7</t>
        </is>
      </c>
      <c r="D490" s="5" t="inlineStr">
        <is>
          <t>P1</t>
        </is>
      </c>
      <c r="G490" s="5" t="inlineStr">
        <is>
          <t>M3</t>
        </is>
      </c>
      <c r="H490" s="5" t="n">
        <v>-1</v>
      </c>
      <c r="I490" s="5" t="n">
        <v>0.25</v>
      </c>
      <c r="J490" s="5" t="n">
        <v>0.35</v>
      </c>
      <c r="K490" s="5">
        <f>$N$14-0.13-0.1-0.25</f>
        <v/>
      </c>
      <c r="L490" s="5">
        <f>K490*J490*I490*H490</f>
        <v/>
      </c>
      <c r="M490" s="5" t="inlineStr"/>
    </row>
    <row r="491">
      <c r="A491" s="5" t="n"/>
      <c r="B491" s="5" t="inlineStr">
        <is>
          <t>G</t>
        </is>
      </c>
      <c r="C491" s="5" t="inlineStr">
        <is>
          <t>8</t>
        </is>
      </c>
      <c r="D491" s="5" t="inlineStr">
        <is>
          <t>P1</t>
        </is>
      </c>
      <c r="G491" s="5" t="inlineStr">
        <is>
          <t>M3</t>
        </is>
      </c>
      <c r="H491" s="5" t="n">
        <v>-1</v>
      </c>
      <c r="I491" s="5" t="n">
        <v>0.25</v>
      </c>
      <c r="J491" s="5" t="n">
        <v>0.35</v>
      </c>
      <c r="K491" s="5">
        <f>$N$14-0.13-0.1-0.25</f>
        <v/>
      </c>
      <c r="L491" s="5">
        <f>K491*J491*I491*H491</f>
        <v/>
      </c>
      <c r="M491" s="5" t="inlineStr"/>
    </row>
    <row r="492">
      <c r="A492" s="5" t="inlineStr">
        <is>
          <t>MASSIF</t>
        </is>
      </c>
      <c r="B492" s="5" t="n"/>
      <c r="C492" s="5" t="n"/>
      <c r="D492" s="5" t="n"/>
      <c r="G492" s="5" t="inlineStr">
        <is>
          <t>M3</t>
        </is>
      </c>
      <c r="H492" s="5" t="n">
        <v>-3</v>
      </c>
      <c r="I492" s="5" t="n">
        <v>0.5</v>
      </c>
      <c r="J492" s="5" t="n">
        <v>0.5</v>
      </c>
      <c r="K492" s="5" t="n">
        <v>0.5</v>
      </c>
      <c r="L492" s="5">
        <f>K492*J492*I492*H492</f>
        <v/>
      </c>
      <c r="M492" s="5" t="inlineStr"/>
    </row>
    <row r="493">
      <c r="A493" s="6" t="inlineStr">
        <is>
          <t>total</t>
        </is>
      </c>
      <c r="M493" s="6">
        <f>SUM(L323:L492)</f>
        <v/>
      </c>
    </row>
    <row r="494">
      <c r="A494" s="3" t="inlineStr">
        <is>
          <t>19</t>
        </is>
      </c>
      <c r="B494" s="4" t="inlineStr">
        <is>
          <t xml:space="preserve">Forme en béton </t>
        </is>
      </c>
    </row>
    <row r="495">
      <c r="A495" s="5" t="inlineStr">
        <is>
          <t>POUR DALLAGE TYPE 13</t>
        </is>
      </c>
    </row>
    <row r="496">
      <c r="B496" s="2" t="inlineStr">
        <is>
          <t>axe</t>
        </is>
      </c>
      <c r="C496" s="2" t="inlineStr">
        <is>
          <t>fill</t>
        </is>
      </c>
    </row>
    <row r="497">
      <c r="A497" s="5" t="n"/>
      <c r="B497" s="5" t="inlineStr">
        <is>
          <t>A-G</t>
        </is>
      </c>
      <c r="C497" s="5" t="inlineStr">
        <is>
          <t>5-8</t>
        </is>
      </c>
      <c r="D497" s="5" t="n"/>
      <c r="G497" s="5" t="inlineStr">
        <is>
          <t>M3</t>
        </is>
      </c>
      <c r="H497" s="5" t="n">
        <v>1</v>
      </c>
      <c r="I497" s="5">
        <f>4.78+2.65+4.6</f>
        <v/>
      </c>
      <c r="J497" s="5">
        <f>3.82+0.4+0.82+1.08+0.15+3.82</f>
        <v/>
      </c>
      <c r="K497" s="5" t="n">
        <v>0.13</v>
      </c>
      <c r="L497" s="5">
        <f>I497*J497</f>
        <v/>
      </c>
      <c r="M497" s="5">
        <f>I497*J497*0.13</f>
        <v/>
      </c>
    </row>
    <row r="498">
      <c r="A498" s="5" t="inlineStr">
        <is>
          <t>POUR DALLAGE TYPE 20</t>
        </is>
      </c>
    </row>
    <row r="499">
      <c r="B499" s="2" t="inlineStr">
        <is>
          <t>axe</t>
        </is>
      </c>
      <c r="C499" s="2" t="inlineStr">
        <is>
          <t>fill</t>
        </is>
      </c>
    </row>
    <row r="500">
      <c r="A500" s="5" t="n"/>
      <c r="B500" s="5" t="inlineStr">
        <is>
          <t>A-G</t>
        </is>
      </c>
      <c r="C500" s="5" t="inlineStr">
        <is>
          <t>1-5</t>
        </is>
      </c>
      <c r="D500" s="5" t="n"/>
      <c r="G500" s="5" t="inlineStr">
        <is>
          <t>M3</t>
        </is>
      </c>
      <c r="H500" s="5" t="n">
        <v>1</v>
      </c>
      <c r="I500" s="5">
        <f>2.48+3.74+3.51+2.38</f>
        <v/>
      </c>
      <c r="J500" s="5">
        <f>3.82+0.4+0.82+1.08+0.15+3.82</f>
        <v/>
      </c>
      <c r="K500" s="5" t="n">
        <v>0.2</v>
      </c>
      <c r="L500" s="5">
        <f>I500*J500</f>
        <v/>
      </c>
      <c r="M500" s="5">
        <f>I500*J500*0.2</f>
        <v/>
      </c>
      <c r="N500" s="5">
        <f>I500*J500*0.07</f>
        <v/>
      </c>
    </row>
  </sheetData>
  <mergeCells count="9">
    <mergeCell ref="H6:H7"/>
    <mergeCell ref="G6:G7"/>
    <mergeCell ref="I6:I7"/>
    <mergeCell ref="J6:J7"/>
    <mergeCell ref="K6:K7"/>
    <mergeCell ref="L6:L7"/>
    <mergeCell ref="M6:M7"/>
    <mergeCell ref="B6:F7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10" customWidth="1" min="9" max="9"/>
    <col width="9" customWidth="1" min="10" max="10"/>
    <col width="12" customWidth="1" min="11" max="11"/>
    <col width="12" customWidth="1" min="12" max="12"/>
    <col width="16" customWidth="1" min="13" max="13"/>
  </cols>
  <sheetData>
    <row r="1">
      <c r="A1" t="inlineStr">
        <is>
          <t>AO N° :</t>
        </is>
      </c>
    </row>
    <row r="3">
      <c r="C3" t="inlineStr">
        <is>
          <t>Construction de locaux et travaux de réaménagement à la mine Youssoufia</t>
        </is>
      </c>
    </row>
    <row r="5">
      <c r="E5" s="1" t="inlineStr">
        <is>
          <t>Détail Quantitatif Métré</t>
        </is>
      </c>
    </row>
    <row r="6">
      <c r="A6" s="2" t="inlineStr">
        <is>
          <t>N°</t>
        </is>
      </c>
      <c r="B6" s="2" t="inlineStr">
        <is>
          <t>Désignation, détail de calcul, croquis, principe et justificatif</t>
        </is>
      </c>
      <c r="G6" s="2" t="inlineStr">
        <is>
          <t>U</t>
        </is>
      </c>
      <c r="H6" s="2" t="inlineStr">
        <is>
          <t>N</t>
        </is>
      </c>
      <c r="I6" s="2" t="inlineStr">
        <is>
          <t>Longueur</t>
        </is>
      </c>
      <c r="J6" s="2" t="inlineStr">
        <is>
          <t>largeur</t>
        </is>
      </c>
      <c r="K6" s="2" t="inlineStr">
        <is>
          <t>Hauteur / épaisseur</t>
        </is>
      </c>
      <c r="L6" s="2" t="inlineStr">
        <is>
          <t>Qté partielle</t>
        </is>
      </c>
      <c r="M6" s="2" t="inlineStr">
        <is>
          <t>Qté Total des Métrés</t>
        </is>
      </c>
    </row>
    <row r="7"/>
    <row r="8">
      <c r="A8" s="3" t="inlineStr">
        <is>
          <t>21</t>
        </is>
      </c>
      <c r="B8" s="4" t="inlineStr">
        <is>
          <t>Armature pour béton armé en fondation et en élévation</t>
        </is>
      </c>
    </row>
    <row r="9">
      <c r="A9" s="5" t="inlineStr">
        <is>
          <t>semelle isolee</t>
        </is>
      </c>
    </row>
    <row r="10">
      <c r="A10" s="5" t="inlineStr">
        <is>
          <t>ax</t>
        </is>
      </c>
      <c r="G10" s="5" t="n">
        <v>2</v>
      </c>
      <c r="H10" s="5" t="n">
        <v>6</v>
      </c>
      <c r="I10" s="5" t="n">
        <v>12</v>
      </c>
      <c r="J10" s="5">
        <f>1.0-0.05+34*I10/1000</f>
        <v/>
      </c>
      <c r="K10" s="5">
        <f>IF(I10=6,G10*H10*J10,"")</f>
        <v/>
      </c>
      <c r="L10" s="5">
        <f>IF(I10=8,G10*H10*J10,"")</f>
        <v/>
      </c>
      <c r="M10" s="5">
        <f>IF(I10=10,G10*H10*J10,"")</f>
        <v/>
      </c>
      <c r="N10" s="5">
        <f>IF(I10=12,G10*H10*J10,"")</f>
        <v/>
      </c>
      <c r="O10" s="5">
        <f>IF(I10=14,G10*H10*J10,"")</f>
        <v/>
      </c>
      <c r="P10" s="5">
        <f>IF(I10=16,G10*H10*J10,"")</f>
        <v/>
      </c>
      <c r="Q10" s="5">
        <f>IF(I10=20,G10*H10*J10,"")</f>
        <v/>
      </c>
      <c r="R10" s="5">
        <f>IF(I10=25,G10*H10*J10,"")</f>
        <v/>
      </c>
      <c r="S10" s="5">
        <f>IF(I10=32,G10*H10*J10,"")</f>
        <v/>
      </c>
    </row>
    <row r="11">
      <c r="A11" s="5" t="inlineStr">
        <is>
          <t>ay</t>
        </is>
      </c>
      <c r="G11" s="5" t="n">
        <v>2</v>
      </c>
      <c r="H11" s="5" t="n">
        <v>6</v>
      </c>
      <c r="I11" s="5" t="n">
        <v>12</v>
      </c>
      <c r="J11" s="5">
        <f>1.0-0.05+34*I11/1000</f>
        <v/>
      </c>
      <c r="K11" s="5">
        <f>IF(I11=6,G11*H11*J11,"")</f>
        <v/>
      </c>
      <c r="L11" s="5">
        <f>IF(I11=8,G11*H11*J11,"")</f>
        <v/>
      </c>
      <c r="M11" s="5">
        <f>IF(I11=10,G11*H11*J11,"")</f>
        <v/>
      </c>
      <c r="N11" s="5">
        <f>IF(I11=12,G11*H11*J11,"")</f>
        <v/>
      </c>
      <c r="O11" s="5">
        <f>IF(I11=14,G11*H11*J11,"")</f>
        <v/>
      </c>
      <c r="P11" s="5">
        <f>IF(I11=16,G11*H11*J11,"")</f>
        <v/>
      </c>
      <c r="Q11" s="5">
        <f>IF(I11=20,G11*H11*J11,"")</f>
        <v/>
      </c>
      <c r="R11" s="5">
        <f>IF(I11=25,G11*H11*J11,"")</f>
        <v/>
      </c>
      <c r="S11" s="5">
        <f>IF(I11=32,G11*H11*J11,"")</f>
        <v/>
      </c>
    </row>
    <row r="12">
      <c r="A12" s="5" t="inlineStr">
        <is>
          <t>ax</t>
        </is>
      </c>
      <c r="G12" s="5" t="n">
        <v>1</v>
      </c>
      <c r="H12" s="5" t="n">
        <v>7</v>
      </c>
      <c r="I12" s="5" t="n">
        <v>12</v>
      </c>
      <c r="J12" s="5">
        <f>1.1-0.05+34*I12/1000</f>
        <v/>
      </c>
      <c r="K12" s="5">
        <f>IF(I12=6,G12*H12*J12,"")</f>
        <v/>
      </c>
      <c r="L12" s="5">
        <f>IF(I12=8,G12*H12*J12,"")</f>
        <v/>
      </c>
      <c r="M12" s="5">
        <f>IF(I12=10,G12*H12*J12,"")</f>
        <v/>
      </c>
      <c r="N12" s="5">
        <f>IF(I12=12,G12*H12*J12,"")</f>
        <v/>
      </c>
      <c r="O12" s="5">
        <f>IF(I12=14,G12*H12*J12,"")</f>
        <v/>
      </c>
      <c r="P12" s="5">
        <f>IF(I12=16,G12*H12*J12,"")</f>
        <v/>
      </c>
      <c r="Q12" s="5">
        <f>IF(I12=20,G12*H12*J12,"")</f>
        <v/>
      </c>
      <c r="R12" s="5">
        <f>IF(I12=25,G12*H12*J12,"")</f>
        <v/>
      </c>
      <c r="S12" s="5">
        <f>IF(I12=32,G12*H12*J12,"")</f>
        <v/>
      </c>
    </row>
    <row r="13">
      <c r="A13" s="5" t="inlineStr">
        <is>
          <t>ay</t>
        </is>
      </c>
      <c r="G13" s="5" t="n">
        <v>1</v>
      </c>
      <c r="H13" s="5" t="n">
        <v>7</v>
      </c>
      <c r="I13" s="5" t="n">
        <v>12</v>
      </c>
      <c r="J13" s="5">
        <f>1.1-0.05+34*I13/1000</f>
        <v/>
      </c>
      <c r="K13" s="5">
        <f>IF(I13=6,G13*H13*J13,"")</f>
        <v/>
      </c>
      <c r="L13" s="5">
        <f>IF(I13=8,G13*H13*J13,"")</f>
        <v/>
      </c>
      <c r="M13" s="5">
        <f>IF(I13=10,G13*H13*J13,"")</f>
        <v/>
      </c>
      <c r="N13" s="5">
        <f>IF(I13=12,G13*H13*J13,"")</f>
        <v/>
      </c>
      <c r="O13" s="5">
        <f>IF(I13=14,G13*H13*J13,"")</f>
        <v/>
      </c>
      <c r="P13" s="5">
        <f>IF(I13=16,G13*H13*J13,"")</f>
        <v/>
      </c>
      <c r="Q13" s="5">
        <f>IF(I13=20,G13*H13*J13,"")</f>
        <v/>
      </c>
      <c r="R13" s="5">
        <f>IF(I13=25,G13*H13*J13,"")</f>
        <v/>
      </c>
      <c r="S13" s="5">
        <f>IF(I13=32,G13*H13*J13,"")</f>
        <v/>
      </c>
    </row>
    <row r="14">
      <c r="A14" s="5" t="inlineStr">
        <is>
          <t>ax</t>
        </is>
      </c>
      <c r="G14" s="5" t="n">
        <v>8</v>
      </c>
      <c r="H14" s="5" t="n">
        <v>8</v>
      </c>
      <c r="I14" s="5" t="n">
        <v>12</v>
      </c>
      <c r="J14" s="5">
        <f>1.2-0.05+34*I14/1000</f>
        <v/>
      </c>
      <c r="K14" s="5">
        <f>IF(I14=6,G14*H14*J14,"")</f>
        <v/>
      </c>
      <c r="L14" s="5">
        <f>IF(I14=8,G14*H14*J14,"")</f>
        <v/>
      </c>
      <c r="M14" s="5">
        <f>IF(I14=10,G14*H14*J14,"")</f>
        <v/>
      </c>
      <c r="N14" s="5">
        <f>IF(I14=12,G14*H14*J14,"")</f>
        <v/>
      </c>
      <c r="O14" s="5">
        <f>IF(I14=14,G14*H14*J14,"")</f>
        <v/>
      </c>
      <c r="P14" s="5">
        <f>IF(I14=16,G14*H14*J14,"")</f>
        <v/>
      </c>
      <c r="Q14" s="5">
        <f>IF(I14=20,G14*H14*J14,"")</f>
        <v/>
      </c>
      <c r="R14" s="5">
        <f>IF(I14=25,G14*H14*J14,"")</f>
        <v/>
      </c>
      <c r="S14" s="5">
        <f>IF(I14=32,G14*H14*J14,"")</f>
        <v/>
      </c>
    </row>
    <row r="15">
      <c r="A15" s="5" t="inlineStr">
        <is>
          <t>ay</t>
        </is>
      </c>
      <c r="G15" s="5" t="n">
        <v>8</v>
      </c>
      <c r="H15" s="5" t="n">
        <v>8</v>
      </c>
      <c r="I15" s="5" t="n">
        <v>12</v>
      </c>
      <c r="J15" s="5">
        <f>1.2-0.05+34*I15/1000</f>
        <v/>
      </c>
      <c r="K15" s="5">
        <f>IF(I15=6,G15*H15*J15,"")</f>
        <v/>
      </c>
      <c r="L15" s="5">
        <f>IF(I15=8,G15*H15*J15,"")</f>
        <v/>
      </c>
      <c r="M15" s="5">
        <f>IF(I15=10,G15*H15*J15,"")</f>
        <v/>
      </c>
      <c r="N15" s="5">
        <f>IF(I15=12,G15*H15*J15,"")</f>
        <v/>
      </c>
      <c r="O15" s="5">
        <f>IF(I15=14,G15*H15*J15,"")</f>
        <v/>
      </c>
      <c r="P15" s="5">
        <f>IF(I15=16,G15*H15*J15,"")</f>
        <v/>
      </c>
      <c r="Q15" s="5">
        <f>IF(I15=20,G15*H15*J15,"")</f>
        <v/>
      </c>
      <c r="R15" s="5">
        <f>IF(I15=25,G15*H15*J15,"")</f>
        <v/>
      </c>
      <c r="S15" s="5">
        <f>IF(I15=32,G15*H15*J15,"")</f>
        <v/>
      </c>
    </row>
    <row r="16">
      <c r="A16" s="5" t="inlineStr">
        <is>
          <t>ax</t>
        </is>
      </c>
      <c r="G16" s="5" t="n">
        <v>9</v>
      </c>
      <c r="H16" s="5" t="n">
        <v>11</v>
      </c>
      <c r="I16" s="5" t="n">
        <v>12</v>
      </c>
      <c r="J16" s="5">
        <f>1.5-0.05+34*I16/1000</f>
        <v/>
      </c>
      <c r="K16" s="5">
        <f>IF(I16=6,G16*H16*J16,"")</f>
        <v/>
      </c>
      <c r="L16" s="5">
        <f>IF(I16=8,G16*H16*J16,"")</f>
        <v/>
      </c>
      <c r="M16" s="5">
        <f>IF(I16=10,G16*H16*J16,"")</f>
        <v/>
      </c>
      <c r="N16" s="5">
        <f>IF(I16=12,G16*H16*J16,"")</f>
        <v/>
      </c>
      <c r="O16" s="5">
        <f>IF(I16=14,G16*H16*J16,"")</f>
        <v/>
      </c>
      <c r="P16" s="5">
        <f>IF(I16=16,G16*H16*J16,"")</f>
        <v/>
      </c>
      <c r="Q16" s="5">
        <f>IF(I16=20,G16*H16*J16,"")</f>
        <v/>
      </c>
      <c r="R16" s="5">
        <f>IF(I16=25,G16*H16*J16,"")</f>
        <v/>
      </c>
      <c r="S16" s="5">
        <f>IF(I16=32,G16*H16*J16,"")</f>
        <v/>
      </c>
    </row>
    <row r="17">
      <c r="A17" s="5" t="inlineStr">
        <is>
          <t>ay</t>
        </is>
      </c>
      <c r="G17" s="5" t="n">
        <v>9</v>
      </c>
      <c r="H17" s="5" t="n">
        <v>11</v>
      </c>
      <c r="I17" s="5" t="n">
        <v>12</v>
      </c>
      <c r="J17" s="5">
        <f>1.5-0.05+34*I17/1000</f>
        <v/>
      </c>
      <c r="K17" s="5">
        <f>IF(I17=6,G17*H17*J17,"")</f>
        <v/>
      </c>
      <c r="L17" s="5">
        <f>IF(I17=8,G17*H17*J17,"")</f>
        <v/>
      </c>
      <c r="M17" s="5">
        <f>IF(I17=10,G17*H17*J17,"")</f>
        <v/>
      </c>
      <c r="N17" s="5">
        <f>IF(I17=12,G17*H17*J17,"")</f>
        <v/>
      </c>
      <c r="O17" s="5">
        <f>IF(I17=14,G17*H17*J17,"")</f>
        <v/>
      </c>
      <c r="P17" s="5">
        <f>IF(I17=16,G17*H17*J17,"")</f>
        <v/>
      </c>
      <c r="Q17" s="5">
        <f>IF(I17=20,G17*H17*J17,"")</f>
        <v/>
      </c>
      <c r="R17" s="5">
        <f>IF(I17=25,G17*H17*J17,"")</f>
        <v/>
      </c>
      <c r="S17" s="5">
        <f>IF(I17=32,G17*H17*J17,"")</f>
        <v/>
      </c>
    </row>
    <row r="18">
      <c r="A18" s="5" t="inlineStr">
        <is>
          <t>ax</t>
        </is>
      </c>
      <c r="G18" s="5" t="n">
        <v>3</v>
      </c>
      <c r="H18" s="5" t="n">
        <v>11</v>
      </c>
      <c r="I18" s="5" t="n">
        <v>12</v>
      </c>
      <c r="J18" s="5">
        <f>1.5-0.05+34*I18/1000</f>
        <v/>
      </c>
      <c r="K18" s="5">
        <f>IF(I18=6,G18*H18*J18,"")</f>
        <v/>
      </c>
      <c r="L18" s="5">
        <f>IF(I18=8,G18*H18*J18,"")</f>
        <v/>
      </c>
      <c r="M18" s="5">
        <f>IF(I18=10,G18*H18*J18,"")</f>
        <v/>
      </c>
      <c r="N18" s="5">
        <f>IF(I18=12,G18*H18*J18,"")</f>
        <v/>
      </c>
      <c r="O18" s="5">
        <f>IF(I18=14,G18*H18*J18,"")</f>
        <v/>
      </c>
      <c r="P18" s="5">
        <f>IF(I18=16,G18*H18*J18,"")</f>
        <v/>
      </c>
      <c r="Q18" s="5">
        <f>IF(I18=20,G18*H18*J18,"")</f>
        <v/>
      </c>
      <c r="R18" s="5">
        <f>IF(I18=25,G18*H18*J18,"")</f>
        <v/>
      </c>
      <c r="S18" s="5">
        <f>IF(I18=32,G18*H18*J18,"")</f>
        <v/>
      </c>
    </row>
    <row r="19">
      <c r="A19" s="5" t="inlineStr">
        <is>
          <t>ay</t>
        </is>
      </c>
      <c r="G19" s="5" t="n">
        <v>3</v>
      </c>
      <c r="H19" s="5" t="n">
        <v>11</v>
      </c>
      <c r="I19" s="5" t="n">
        <v>12</v>
      </c>
      <c r="J19" s="5">
        <f>1.5-0.05+34*I19/1000</f>
        <v/>
      </c>
      <c r="K19" s="5">
        <f>IF(I19=6,G19*H19*J19,"")</f>
        <v/>
      </c>
      <c r="L19" s="5">
        <f>IF(I19=8,G19*H19*J19,"")</f>
        <v/>
      </c>
      <c r="M19" s="5">
        <f>IF(I19=10,G19*H19*J19,"")</f>
        <v/>
      </c>
      <c r="N19" s="5">
        <f>IF(I19=12,G19*H19*J19,"")</f>
        <v/>
      </c>
      <c r="O19" s="5">
        <f>IF(I19=14,G19*H19*J19,"")</f>
        <v/>
      </c>
      <c r="P19" s="5">
        <f>IF(I19=16,G19*H19*J19,"")</f>
        <v/>
      </c>
      <c r="Q19" s="5">
        <f>IF(I19=20,G19*H19*J19,"")</f>
        <v/>
      </c>
      <c r="R19" s="5">
        <f>IF(I19=25,G19*H19*J19,"")</f>
        <v/>
      </c>
      <c r="S19" s="5">
        <f>IF(I19=32,G19*H19*J19,"")</f>
        <v/>
      </c>
    </row>
    <row r="20">
      <c r="A20" s="6" t="inlineStr">
        <is>
          <t>total</t>
        </is>
      </c>
      <c r="M20" s="6">
        <f>SUM(L10:L19)</f>
        <v/>
      </c>
    </row>
    <row r="21">
      <c r="A21" s="5" t="inlineStr">
        <is>
          <t>fût poteau</t>
        </is>
      </c>
    </row>
    <row r="22">
      <c r="T22" s="5" t="n">
        <v>1.4</v>
      </c>
    </row>
    <row r="23">
      <c r="E23" s="5" t="inlineStr">
        <is>
          <t>P1</t>
        </is>
      </c>
      <c r="K23" s="5">
        <f>IF(I23=6,G23*H23*J23,"")</f>
        <v/>
      </c>
      <c r="L23" s="5">
        <f>IF(I23=8,G23*H23*J23,"")</f>
        <v/>
      </c>
      <c r="M23" s="5">
        <f>IF(I23=10,G23*H23*J23,"")</f>
        <v/>
      </c>
      <c r="N23" s="5">
        <f>IF(I23=12,G23*H23*J23,"")</f>
        <v/>
      </c>
      <c r="O23" s="5">
        <f>IF(I23=14,G23*H23*J23,"")</f>
        <v/>
      </c>
      <c r="P23" s="5">
        <f>IF(I23=16,G23*H23*J23,"")</f>
        <v/>
      </c>
      <c r="Q23" s="5">
        <f>IF(I23=20,G23*H23*J23,"")</f>
        <v/>
      </c>
      <c r="R23" s="5">
        <f>IF(I23=25,G23*H23*J23,"")</f>
        <v/>
      </c>
      <c r="S23" s="5">
        <f>IF(I23=32,G23*H23*J23,"")</f>
        <v/>
      </c>
    </row>
    <row r="24">
      <c r="A24" s="5" t="inlineStr">
        <is>
          <t xml:space="preserve">ARM LONG </t>
        </is>
      </c>
      <c r="G24" s="5" t="n">
        <v>12</v>
      </c>
      <c r="H24" s="5" t="n">
        <v>4</v>
      </c>
      <c r="I24" s="5" t="n">
        <v>14</v>
      </c>
      <c r="J24" s="5">
        <f>($T$22-0.1-0.05)+70*I24/1000+18*I24/1000</f>
        <v/>
      </c>
      <c r="K24" s="5">
        <f>IF(I24=6,G24*H24*J24,"")</f>
        <v/>
      </c>
      <c r="L24" s="5">
        <f>IF(I24=8,G24*H24*J24,"")</f>
        <v/>
      </c>
      <c r="M24" s="5">
        <f>IF(I24=10,G24*H24*J24,"")</f>
        <v/>
      </c>
      <c r="N24" s="5">
        <f>IF(I24=12,G24*H24*J24,"")</f>
        <v/>
      </c>
      <c r="O24" s="5">
        <f>IF(I24=14,G24*H24*J24,"")</f>
        <v/>
      </c>
      <c r="P24" s="5">
        <f>IF(I24=16,G24*H24*J24,"")</f>
        <v/>
      </c>
      <c r="Q24" s="5">
        <f>IF(I24=20,G24*H24*J24,"")</f>
        <v/>
      </c>
      <c r="R24" s="5">
        <f>IF(I24=25,G24*H24*J24,"")</f>
        <v/>
      </c>
      <c r="S24" s="5">
        <f>IF(I24=32,G24*H24*J24,"")</f>
        <v/>
      </c>
    </row>
    <row r="25">
      <c r="A25" s="5" t="inlineStr">
        <is>
          <t xml:space="preserve">ARM LONG </t>
        </is>
      </c>
      <c r="G25" s="5" t="n">
        <v>12</v>
      </c>
      <c r="H25" s="5" t="n">
        <v>2</v>
      </c>
      <c r="I25" s="5" t="n">
        <v>14</v>
      </c>
      <c r="J25" s="5">
        <f>($T$22-0.1-0.05)+70*I25/1000+18*I25/1000</f>
        <v/>
      </c>
      <c r="K25" s="5">
        <f>IF(I25=6,G25*H25*J25,"")</f>
        <v/>
      </c>
      <c r="L25" s="5">
        <f>IF(I25=8,G25*H25*J25,"")</f>
        <v/>
      </c>
      <c r="M25" s="5">
        <f>IF(I25=10,G25*H25*J25,"")</f>
        <v/>
      </c>
      <c r="N25" s="5">
        <f>IF(I25=12,G25*H25*J25,"")</f>
        <v/>
      </c>
      <c r="O25" s="5">
        <f>IF(I25=14,G25*H25*J25,"")</f>
        <v/>
      </c>
      <c r="P25" s="5">
        <f>IF(I25=16,G25*H25*J25,"")</f>
        <v/>
      </c>
      <c r="Q25" s="5">
        <f>IF(I25=20,G25*H25*J25,"")</f>
        <v/>
      </c>
      <c r="R25" s="5">
        <f>IF(I25=25,G25*H25*J25,"")</f>
        <v/>
      </c>
      <c r="S25" s="5">
        <f>IF(I25=32,G25*H25*J25,"")</f>
        <v/>
      </c>
    </row>
    <row r="26">
      <c r="A26" s="5" t="inlineStr">
        <is>
          <t>CADRE</t>
        </is>
      </c>
      <c r="G26" s="5" t="n">
        <v>12</v>
      </c>
      <c r="H26" s="5">
        <f>ROUNDUP(1.2/0.15,0)+2</f>
        <v/>
      </c>
      <c r="I26" s="5" t="n">
        <v>6</v>
      </c>
      <c r="J26" s="5">
        <f>(2*(0.25+0.35)-0.05+20.5*I26/1000)</f>
        <v/>
      </c>
      <c r="K26" s="5">
        <f>IF(I26=6,G26*H26*J26,"")</f>
        <v/>
      </c>
      <c r="L26" s="5">
        <f>IF(I26=8,G26*H26*J26,"")</f>
        <v/>
      </c>
      <c r="M26" s="5">
        <f>IF(I26=10,G26*H26*J26,"")</f>
        <v/>
      </c>
      <c r="N26" s="5">
        <f>IF(I26=12,G26*H26*J26,"")</f>
        <v/>
      </c>
      <c r="O26" s="5">
        <f>IF(I26=14,G26*H26*J26,"")</f>
        <v/>
      </c>
      <c r="P26" s="5">
        <f>IF(I26=16,G26*H26*J26,"")</f>
        <v/>
      </c>
      <c r="Q26" s="5">
        <f>IF(I26=20,G26*H26*J26,"")</f>
        <v/>
      </c>
      <c r="R26" s="5">
        <f>IF(I26=25,G26*H26*J26,"")</f>
        <v/>
      </c>
      <c r="S26" s="5">
        <f>IF(I26=32,G26*H26*J26,"")</f>
        <v/>
      </c>
    </row>
    <row r="27">
      <c r="A27" s="5" t="inlineStr">
        <is>
          <t>EPINGLE</t>
        </is>
      </c>
      <c r="G27" s="5" t="n">
        <v>12</v>
      </c>
      <c r="H27" s="5">
        <f>ROUNDUP(1.2/0.15,0)+2</f>
        <v/>
      </c>
      <c r="I27" s="5" t="n">
        <v>6</v>
      </c>
      <c r="J27" s="5">
        <f>0.25-0.05+22*I27/1000</f>
        <v/>
      </c>
      <c r="K27" s="5">
        <f>IF(I27=6,G27*H27*J27,"")</f>
        <v/>
      </c>
      <c r="L27" s="5">
        <f>IF(I27=8,G27*H27*J27,"")</f>
        <v/>
      </c>
      <c r="M27" s="5">
        <f>IF(I27=10,G27*H27*J27,"")</f>
        <v/>
      </c>
      <c r="N27" s="5">
        <f>IF(I27=12,G27*H27*J27,"")</f>
        <v/>
      </c>
      <c r="O27" s="5">
        <f>IF(I27=14,G27*H27*J27,"")</f>
        <v/>
      </c>
      <c r="P27" s="5">
        <f>IF(I27=16,G27*H27*J27,"")</f>
        <v/>
      </c>
      <c r="Q27" s="5">
        <f>IF(I27=20,G27*H27*J27,"")</f>
        <v/>
      </c>
      <c r="R27" s="5">
        <f>IF(I27=25,G27*H27*J27,"")</f>
        <v/>
      </c>
      <c r="S27" s="5">
        <f>IF(I27=32,G27*H27*J27,"")</f>
        <v/>
      </c>
    </row>
    <row r="28">
      <c r="E28" s="5" t="inlineStr">
        <is>
          <t>P2</t>
        </is>
      </c>
      <c r="K28" s="5">
        <f>IF(I28=6,G28*H28*J28,"")</f>
        <v/>
      </c>
      <c r="L28" s="5">
        <f>IF(I28=8,G28*H28*J28,"")</f>
        <v/>
      </c>
      <c r="M28" s="5">
        <f>IF(I28=10,G28*H28*J28,"")</f>
        <v/>
      </c>
      <c r="N28" s="5">
        <f>IF(I28=12,G28*H28*J28,"")</f>
        <v/>
      </c>
      <c r="O28" s="5">
        <f>IF(I28=14,G28*H28*J28,"")</f>
        <v/>
      </c>
      <c r="P28" s="5">
        <f>IF(I28=16,G28*H28*J28,"")</f>
        <v/>
      </c>
      <c r="Q28" s="5">
        <f>IF(I28=20,G28*H28*J28,"")</f>
        <v/>
      </c>
      <c r="R28" s="5">
        <f>IF(I28=25,G28*H28*J28,"")</f>
        <v/>
      </c>
      <c r="S28" s="5">
        <f>IF(I28=32,G28*H28*J28,"")</f>
        <v/>
      </c>
    </row>
    <row r="29">
      <c r="A29" s="5" t="inlineStr">
        <is>
          <t xml:space="preserve">ARM LONG </t>
        </is>
      </c>
      <c r="G29" s="5" t="n">
        <v>5</v>
      </c>
      <c r="H29" s="5" t="n">
        <v>4</v>
      </c>
      <c r="I29" s="5" t="n">
        <v>14</v>
      </c>
      <c r="J29" s="5">
        <f>($T$22-0.1-0.05)+70*I29/1000+18*I29/1000</f>
        <v/>
      </c>
      <c r="K29" s="5">
        <f>IF(I29=6,G29*H29*J29,"")</f>
        <v/>
      </c>
      <c r="L29" s="5">
        <f>IF(I29=8,G29*H29*J29,"")</f>
        <v/>
      </c>
      <c r="M29" s="5">
        <f>IF(I29=10,G29*H29*J29,"")</f>
        <v/>
      </c>
      <c r="N29" s="5">
        <f>IF(I29=12,G29*H29*J29,"")</f>
        <v/>
      </c>
      <c r="O29" s="5">
        <f>IF(I29=14,G29*H29*J29,"")</f>
        <v/>
      </c>
      <c r="P29" s="5">
        <f>IF(I29=16,G29*H29*J29,"")</f>
        <v/>
      </c>
      <c r="Q29" s="5">
        <f>IF(I29=20,G29*H29*J29,"")</f>
        <v/>
      </c>
      <c r="R29" s="5">
        <f>IF(I29=25,G29*H29*J29,"")</f>
        <v/>
      </c>
      <c r="S29" s="5">
        <f>IF(I29=32,G29*H29*J29,"")</f>
        <v/>
      </c>
    </row>
    <row r="30">
      <c r="A30" s="5" t="inlineStr">
        <is>
          <t xml:space="preserve">ARM LONG </t>
        </is>
      </c>
      <c r="G30" s="5" t="n">
        <v>5</v>
      </c>
      <c r="H30" s="5" t="n">
        <v>2</v>
      </c>
      <c r="I30" s="5" t="n">
        <v>14</v>
      </c>
      <c r="J30" s="5">
        <f>($T$22-0.1-0.05)+70*I30/1000+18*I30/1000</f>
        <v/>
      </c>
      <c r="K30" s="5">
        <f>IF(I30=6,G30*H30*J30,"")</f>
        <v/>
      </c>
      <c r="L30" s="5">
        <f>IF(I30=8,G30*H30*J30,"")</f>
        <v/>
      </c>
      <c r="M30" s="5">
        <f>IF(I30=10,G30*H30*J30,"")</f>
        <v/>
      </c>
      <c r="N30" s="5">
        <f>IF(I30=12,G30*H30*J30,"")</f>
        <v/>
      </c>
      <c r="O30" s="5">
        <f>IF(I30=14,G30*H30*J30,"")</f>
        <v/>
      </c>
      <c r="P30" s="5">
        <f>IF(I30=16,G30*H30*J30,"")</f>
        <v/>
      </c>
      <c r="Q30" s="5">
        <f>IF(I30=20,G30*H30*J30,"")</f>
        <v/>
      </c>
      <c r="R30" s="5">
        <f>IF(I30=25,G30*H30*J30,"")</f>
        <v/>
      </c>
      <c r="S30" s="5">
        <f>IF(I30=32,G30*H30*J30,"")</f>
        <v/>
      </c>
    </row>
    <row r="31">
      <c r="A31" s="5" t="inlineStr">
        <is>
          <t>CADRE</t>
        </is>
      </c>
      <c r="G31" s="5" t="n">
        <v>5</v>
      </c>
      <c r="H31" s="5">
        <f>ROUNDUP(1.2/0.15,0)+2</f>
        <v/>
      </c>
      <c r="I31" s="5" t="n">
        <v>6</v>
      </c>
      <c r="J31" s="5">
        <f>(2*(0.4+0.4)-0.05+20.5*I31/1000)</f>
        <v/>
      </c>
      <c r="K31" s="5">
        <f>IF(I31=6,G31*H31*J31,"")</f>
        <v/>
      </c>
      <c r="L31" s="5">
        <f>IF(I31=8,G31*H31*J31,"")</f>
        <v/>
      </c>
      <c r="M31" s="5">
        <f>IF(I31=10,G31*H31*J31,"")</f>
        <v/>
      </c>
      <c r="N31" s="5">
        <f>IF(I31=12,G31*H31*J31,"")</f>
        <v/>
      </c>
      <c r="O31" s="5">
        <f>IF(I31=14,G31*H31*J31,"")</f>
        <v/>
      </c>
      <c r="P31" s="5">
        <f>IF(I31=16,G31*H31*J31,"")</f>
        <v/>
      </c>
      <c r="Q31" s="5">
        <f>IF(I31=20,G31*H31*J31,"")</f>
        <v/>
      </c>
      <c r="R31" s="5">
        <f>IF(I31=25,G31*H31*J31,"")</f>
        <v/>
      </c>
      <c r="S31" s="5">
        <f>IF(I31=32,G31*H31*J31,"")</f>
        <v/>
      </c>
    </row>
    <row r="32">
      <c r="A32" s="5" t="inlineStr">
        <is>
          <t>EPINGLE</t>
        </is>
      </c>
      <c r="G32" s="5" t="n">
        <v>5</v>
      </c>
      <c r="H32" s="5">
        <f>ROUNDUP(1.2/0.15,0)+2</f>
        <v/>
      </c>
      <c r="I32" s="5" t="n">
        <v>6</v>
      </c>
      <c r="J32" s="5">
        <f>0.4-0.05+22*I32/1000</f>
        <v/>
      </c>
      <c r="K32" s="5">
        <f>IF(I32=6,G32*H32*J32,"")</f>
        <v/>
      </c>
      <c r="L32" s="5">
        <f>IF(I32=8,G32*H32*J32,"")</f>
        <v/>
      </c>
      <c r="M32" s="5">
        <f>IF(I32=10,G32*H32*J32,"")</f>
        <v/>
      </c>
      <c r="N32" s="5">
        <f>IF(I32=12,G32*H32*J32,"")</f>
        <v/>
      </c>
      <c r="O32" s="5">
        <f>IF(I32=14,G32*H32*J32,"")</f>
        <v/>
      </c>
      <c r="P32" s="5">
        <f>IF(I32=16,G32*H32*J32,"")</f>
        <v/>
      </c>
      <c r="Q32" s="5">
        <f>IF(I32=20,G32*H32*J32,"")</f>
        <v/>
      </c>
      <c r="R32" s="5">
        <f>IF(I32=25,G32*H32*J32,"")</f>
        <v/>
      </c>
      <c r="S32" s="5">
        <f>IF(I32=32,G32*H32*J32,"")</f>
        <v/>
      </c>
    </row>
    <row r="33">
      <c r="E33" s="5" t="inlineStr">
        <is>
          <t>P3</t>
        </is>
      </c>
      <c r="K33" s="5">
        <f>IF(I33=6,G33*H33*J33,"")</f>
        <v/>
      </c>
      <c r="L33" s="5">
        <f>IF(I33=8,G33*H33*J33,"")</f>
        <v/>
      </c>
      <c r="M33" s="5">
        <f>IF(I33=10,G33*H33*J33,"")</f>
        <v/>
      </c>
      <c r="N33" s="5">
        <f>IF(I33=12,G33*H33*J33,"")</f>
        <v/>
      </c>
      <c r="O33" s="5">
        <f>IF(I33=14,G33*H33*J33,"")</f>
        <v/>
      </c>
      <c r="P33" s="5">
        <f>IF(I33=16,G33*H33*J33,"")</f>
        <v/>
      </c>
      <c r="Q33" s="5">
        <f>IF(I33=20,G33*H33*J33,"")</f>
        <v/>
      </c>
      <c r="R33" s="5">
        <f>IF(I33=25,G33*H33*J33,"")</f>
        <v/>
      </c>
      <c r="S33" s="5">
        <f>IF(I33=32,G33*H33*J33,"")</f>
        <v/>
      </c>
    </row>
    <row r="34">
      <c r="A34" s="5" t="inlineStr">
        <is>
          <t xml:space="preserve">ARM LONG </t>
        </is>
      </c>
      <c r="G34" s="5" t="n">
        <v>4</v>
      </c>
      <c r="H34" s="5" t="n">
        <v>4</v>
      </c>
      <c r="I34" s="5" t="n">
        <v>14</v>
      </c>
      <c r="J34" s="5">
        <f>($T$22-0.1-0.05)+70*I34/1000+18*I34/1000</f>
        <v/>
      </c>
      <c r="K34" s="5">
        <f>IF(I34=6,G34*H34*J34,"")</f>
        <v/>
      </c>
      <c r="L34" s="5">
        <f>IF(I34=8,G34*H34*J34,"")</f>
        <v/>
      </c>
      <c r="M34" s="5">
        <f>IF(I34=10,G34*H34*J34,"")</f>
        <v/>
      </c>
      <c r="N34" s="5">
        <f>IF(I34=12,G34*H34*J34,"")</f>
        <v/>
      </c>
      <c r="O34" s="5">
        <f>IF(I34=14,G34*H34*J34,"")</f>
        <v/>
      </c>
      <c r="P34" s="5">
        <f>IF(I34=16,G34*H34*J34,"")</f>
        <v/>
      </c>
      <c r="Q34" s="5">
        <f>IF(I34=20,G34*H34*J34,"")</f>
        <v/>
      </c>
      <c r="R34" s="5">
        <f>IF(I34=25,G34*H34*J34,"")</f>
        <v/>
      </c>
      <c r="S34" s="5">
        <f>IF(I34=32,G34*H34*J34,"")</f>
        <v/>
      </c>
    </row>
    <row r="35">
      <c r="A35" s="5" t="inlineStr">
        <is>
          <t xml:space="preserve">ARM LONG </t>
        </is>
      </c>
      <c r="G35" s="5" t="n">
        <v>4</v>
      </c>
      <c r="H35" s="5" t="n">
        <v>2</v>
      </c>
      <c r="I35" s="5" t="n">
        <v>14</v>
      </c>
      <c r="J35" s="5">
        <f>($T$22-0.1-0.05)+70*I35/1000+18*I35/1000</f>
        <v/>
      </c>
      <c r="K35" s="5">
        <f>IF(I35=6,G35*H35*J35,"")</f>
        <v/>
      </c>
      <c r="L35" s="5">
        <f>IF(I35=8,G35*H35*J35,"")</f>
        <v/>
      </c>
      <c r="M35" s="5">
        <f>IF(I35=10,G35*H35*J35,"")</f>
        <v/>
      </c>
      <c r="N35" s="5">
        <f>IF(I35=12,G35*H35*J35,"")</f>
        <v/>
      </c>
      <c r="O35" s="5">
        <f>IF(I35=14,G35*H35*J35,"")</f>
        <v/>
      </c>
      <c r="P35" s="5">
        <f>IF(I35=16,G35*H35*J35,"")</f>
        <v/>
      </c>
      <c r="Q35" s="5">
        <f>IF(I35=20,G35*H35*J35,"")</f>
        <v/>
      </c>
      <c r="R35" s="5">
        <f>IF(I35=25,G35*H35*J35,"")</f>
        <v/>
      </c>
      <c r="S35" s="5">
        <f>IF(I35=32,G35*H35*J35,"")</f>
        <v/>
      </c>
    </row>
    <row r="36">
      <c r="A36" s="5" t="inlineStr">
        <is>
          <t>CADRE</t>
        </is>
      </c>
      <c r="G36" s="5" t="n">
        <v>4</v>
      </c>
      <c r="H36" s="5">
        <f>ROUNDUP(1.2/0.15,0)+2</f>
        <v/>
      </c>
      <c r="I36" s="5" t="n">
        <v>6</v>
      </c>
      <c r="J36" s="5">
        <f>(2*(0.3+0.3)-0.05+20.5*I36/1000)</f>
        <v/>
      </c>
      <c r="K36" s="5">
        <f>IF(I36=6,G36*H36*J36,"")</f>
        <v/>
      </c>
      <c r="L36" s="5">
        <f>IF(I36=8,G36*H36*J36,"")</f>
        <v/>
      </c>
      <c r="M36" s="5">
        <f>IF(I36=10,G36*H36*J36,"")</f>
        <v/>
      </c>
      <c r="N36" s="5">
        <f>IF(I36=12,G36*H36*J36,"")</f>
        <v/>
      </c>
      <c r="O36" s="5">
        <f>IF(I36=14,G36*H36*J36,"")</f>
        <v/>
      </c>
      <c r="P36" s="5">
        <f>IF(I36=16,G36*H36*J36,"")</f>
        <v/>
      </c>
      <c r="Q36" s="5">
        <f>IF(I36=20,G36*H36*J36,"")</f>
        <v/>
      </c>
      <c r="R36" s="5">
        <f>IF(I36=25,G36*H36*J36,"")</f>
        <v/>
      </c>
      <c r="S36" s="5">
        <f>IF(I36=32,G36*H36*J36,"")</f>
        <v/>
      </c>
    </row>
    <row r="37">
      <c r="A37" s="5" t="inlineStr">
        <is>
          <t>EPINGLE</t>
        </is>
      </c>
      <c r="G37" s="5" t="n">
        <v>4</v>
      </c>
      <c r="H37" s="5">
        <f>ROUNDUP(1.2/0.15,0)+2</f>
        <v/>
      </c>
      <c r="I37" s="5" t="n">
        <v>6</v>
      </c>
      <c r="J37" s="5">
        <f>0.3-0.05+22*I37/1000</f>
        <v/>
      </c>
      <c r="K37" s="5">
        <f>IF(I37=6,G37*H37*J37,"")</f>
        <v/>
      </c>
      <c r="L37" s="5">
        <f>IF(I37=8,G37*H37*J37,"")</f>
        <v/>
      </c>
      <c r="M37" s="5">
        <f>IF(I37=10,G37*H37*J37,"")</f>
        <v/>
      </c>
      <c r="N37" s="5">
        <f>IF(I37=12,G37*H37*J37,"")</f>
        <v/>
      </c>
      <c r="O37" s="5">
        <f>IF(I37=14,G37*H37*J37,"")</f>
        <v/>
      </c>
      <c r="P37" s="5">
        <f>IF(I37=16,G37*H37*J37,"")</f>
        <v/>
      </c>
      <c r="Q37" s="5">
        <f>IF(I37=20,G37*H37*J37,"")</f>
        <v/>
      </c>
      <c r="R37" s="5">
        <f>IF(I37=25,G37*H37*J37,"")</f>
        <v/>
      </c>
      <c r="S37" s="5">
        <f>IF(I37=32,G37*H37*J37,"")</f>
        <v/>
      </c>
    </row>
    <row r="38">
      <c r="E38" s="5" t="inlineStr">
        <is>
          <t>P4</t>
        </is>
      </c>
      <c r="K38" s="5">
        <f>IF(I38=6,G38*H38*J38,"")</f>
        <v/>
      </c>
      <c r="L38" s="5">
        <f>IF(I38=8,G38*H38*J38,"")</f>
        <v/>
      </c>
      <c r="M38" s="5">
        <f>IF(I38=10,G38*H38*J38,"")</f>
        <v/>
      </c>
      <c r="N38" s="5">
        <f>IF(I38=12,G38*H38*J38,"")</f>
        <v/>
      </c>
      <c r="O38" s="5">
        <f>IF(I38=14,G38*H38*J38,"")</f>
        <v/>
      </c>
      <c r="P38" s="5">
        <f>IF(I38=16,G38*H38*J38,"")</f>
        <v/>
      </c>
      <c r="Q38" s="5">
        <f>IF(I38=20,G38*H38*J38,"")</f>
        <v/>
      </c>
      <c r="R38" s="5">
        <f>IF(I38=25,G38*H38*J38,"")</f>
        <v/>
      </c>
      <c r="S38" s="5">
        <f>IF(I38=32,G38*H38*J38,"")</f>
        <v/>
      </c>
    </row>
    <row r="39">
      <c r="A39" s="5" t="inlineStr">
        <is>
          <t xml:space="preserve">ARM LONG </t>
        </is>
      </c>
      <c r="G39" s="5" t="n">
        <v>2</v>
      </c>
      <c r="H39" s="5" t="n">
        <v>6</v>
      </c>
      <c r="I39" s="5" t="n">
        <v>14</v>
      </c>
      <c r="J39" s="5">
        <f>($T$22-0.1-0.05)+70*I39/1000+18*I39/1000</f>
        <v/>
      </c>
      <c r="K39" s="5">
        <f>IF(I39=6,G39*H39*J39,"")</f>
        <v/>
      </c>
      <c r="L39" s="5">
        <f>IF(I39=8,G39*H39*J39,"")</f>
        <v/>
      </c>
      <c r="M39" s="5">
        <f>IF(I39=10,G39*H39*J39,"")</f>
        <v/>
      </c>
      <c r="N39" s="5">
        <f>IF(I39=12,G39*H39*J39,"")</f>
        <v/>
      </c>
      <c r="O39" s="5">
        <f>IF(I39=14,G39*H39*J39,"")</f>
        <v/>
      </c>
      <c r="P39" s="5">
        <f>IF(I39=16,G39*H39*J39,"")</f>
        <v/>
      </c>
      <c r="Q39" s="5">
        <f>IF(I39=20,G39*H39*J39,"")</f>
        <v/>
      </c>
      <c r="R39" s="5">
        <f>IF(I39=25,G39*H39*J39,"")</f>
        <v/>
      </c>
      <c r="S39" s="5">
        <f>IF(I39=32,G39*H39*J39,"")</f>
        <v/>
      </c>
    </row>
    <row r="40">
      <c r="A40" s="5" t="inlineStr">
        <is>
          <t>CADRE</t>
        </is>
      </c>
      <c r="G40" s="5" t="n">
        <v>2</v>
      </c>
      <c r="H40" s="5">
        <f>ROUNDUP(1.2/0.15,0)+2</f>
        <v/>
      </c>
      <c r="I40" s="5" t="n">
        <v>6</v>
      </c>
      <c r="J40" s="5">
        <f>(2*(0.35+0.35)-0.05+20.5*I40/1000)</f>
        <v/>
      </c>
      <c r="K40" s="5">
        <f>IF(I40=6,G40*H40*J40,"")</f>
        <v/>
      </c>
      <c r="L40" s="5">
        <f>IF(I40=8,G40*H40*J40,"")</f>
        <v/>
      </c>
      <c r="M40" s="5">
        <f>IF(I40=10,G40*H40*J40,"")</f>
        <v/>
      </c>
      <c r="N40" s="5">
        <f>IF(I40=12,G40*H40*J40,"")</f>
        <v/>
      </c>
      <c r="O40" s="5">
        <f>IF(I40=14,G40*H40*J40,"")</f>
        <v/>
      </c>
      <c r="P40" s="5">
        <f>IF(I40=16,G40*H40*J40,"")</f>
        <v/>
      </c>
      <c r="Q40" s="5">
        <f>IF(I40=20,G40*H40*J40,"")</f>
        <v/>
      </c>
      <c r="R40" s="5">
        <f>IF(I40=25,G40*H40*J40,"")</f>
        <v/>
      </c>
      <c r="S40" s="5">
        <f>IF(I40=32,G40*H40*J40,"")</f>
        <v/>
      </c>
    </row>
    <row r="41">
      <c r="A41" s="5" t="inlineStr">
        <is>
          <t>EPINGLE</t>
        </is>
      </c>
      <c r="G41" s="5" t="n">
        <v>2</v>
      </c>
      <c r="H41" s="5">
        <f>ROUNDUP(1.2/0.15,0)+2</f>
        <v/>
      </c>
      <c r="I41" s="5" t="n">
        <v>6</v>
      </c>
      <c r="J41" s="5">
        <f>0.35-0.05+22*I41/1000</f>
        <v/>
      </c>
      <c r="K41" s="5">
        <f>IF(I41=6,G41*H41*J41,"")</f>
        <v/>
      </c>
      <c r="L41" s="5">
        <f>IF(I41=8,G41*H41*J41,"")</f>
        <v/>
      </c>
      <c r="M41" s="5">
        <f>IF(I41=10,G41*H41*J41,"")</f>
        <v/>
      </c>
      <c r="N41" s="5">
        <f>IF(I41=12,G41*H41*J41,"")</f>
        <v/>
      </c>
      <c r="O41" s="5">
        <f>IF(I41=14,G41*H41*J41,"")</f>
        <v/>
      </c>
      <c r="P41" s="5">
        <f>IF(I41=16,G41*H41*J41,"")</f>
        <v/>
      </c>
      <c r="Q41" s="5">
        <f>IF(I41=20,G41*H41*J41,"")</f>
        <v/>
      </c>
      <c r="R41" s="5">
        <f>IF(I41=25,G41*H41*J41,"")</f>
        <v/>
      </c>
      <c r="S41" s="5">
        <f>IF(I41=32,G41*H41*J41,"")</f>
        <v/>
      </c>
    </row>
    <row r="42">
      <c r="A42" s="6" t="inlineStr">
        <is>
          <t>total</t>
        </is>
      </c>
      <c r="M42" s="6">
        <f>SUM(L23:L38)</f>
        <v/>
      </c>
    </row>
    <row r="43">
      <c r="A43" s="5" t="inlineStr">
        <is>
          <t xml:space="preserve">chainage </t>
        </is>
      </c>
    </row>
    <row r="44">
      <c r="D44" s="5">
        <f>'Detail quantitatif fondation'!I174+'Detail quantitatif fondation'!I175+'Detail quantitatif fondation'!I176+'Detail quantitatif fondation'!I177+'Detail quantitatif fondation'!I178+'Detail quantitatif fondation'!I179+'Detail quantitatif fondation'!I180+'Detail quantitatif fondation'!I181+'Detail quantitatif fondation'!I182+'Detail quantitatif fondation'!I183+'Detail quantitatif fondation'!I184+'Detail quantitatif fondation'!I185+'Detail quantitatif fondation'!I186+'Detail quantitatif fondation'!I187+'Detail quantitatif fondation'!I188+'Detail quantitatif fondation'!I189+'Detail quantitatif fondation'!I190</f>
        <v/>
      </c>
      <c r="E44" s="5" t="n">
        <v>0.4</v>
      </c>
      <c r="F44" s="5" t="n">
        <v>0.2</v>
      </c>
    </row>
    <row r="45">
      <c r="A45" s="5" t="inlineStr">
        <is>
          <t xml:space="preserve">ARM LONG </t>
        </is>
      </c>
      <c r="G45" s="5" t="n">
        <v>1</v>
      </c>
      <c r="H45" s="5" t="n">
        <v>6</v>
      </c>
      <c r="I45" s="5" t="n">
        <v>10</v>
      </c>
      <c r="J45" s="5">
        <f>D44+ROUNDUP(D44/12,0)</f>
        <v/>
      </c>
      <c r="K45" s="5">
        <f>IF(I45=6,G45*H45*J45,"")</f>
        <v/>
      </c>
      <c r="L45" s="5">
        <f>IF(I45=8,G45*H45*J45,"")</f>
        <v/>
      </c>
      <c r="M45" s="5">
        <f>IF(I45=10,G45*H45*J45,"")</f>
        <v/>
      </c>
      <c r="N45" s="5">
        <f>IF(I45=12,G45*H45*J45,"")</f>
        <v/>
      </c>
      <c r="O45" s="5">
        <f>IF(I45=14,G45*H45*J45,"")</f>
        <v/>
      </c>
      <c r="P45" s="5">
        <f>IF(I45=16,G45*H45*J45,"")</f>
        <v/>
      </c>
      <c r="Q45" s="5">
        <f>IF(I45=20,G45*H45*J45,"")</f>
        <v/>
      </c>
      <c r="R45" s="5">
        <f>IF(I45=25,G45*H45*J45,"")</f>
        <v/>
      </c>
      <c r="S45" s="5">
        <f>IF(I45=32,G45*H45*J45,"")</f>
        <v/>
      </c>
    </row>
    <row r="46">
      <c r="A46" s="5" t="inlineStr">
        <is>
          <t>CADRE</t>
        </is>
      </c>
      <c r="G46" s="5" t="n">
        <v>1</v>
      </c>
      <c r="H46" s="5">
        <f>ROUNDUP((J45-0.3*(12+7+4))/0.2,0)</f>
        <v/>
      </c>
      <c r="I46" s="5" t="n">
        <v>6</v>
      </c>
      <c r="J46" s="5">
        <f>2*(E44+F44)-0.05+20.5*I46/1000</f>
        <v/>
      </c>
      <c r="K46" s="5">
        <f>IF(I46=6,G46*H46*J46,"")</f>
        <v/>
      </c>
      <c r="L46" s="5">
        <f>IF(I46=8,G46*H46*J46,"")</f>
        <v/>
      </c>
      <c r="M46" s="5">
        <f>IF(I46=10,G46*H46*J46,"")</f>
        <v/>
      </c>
      <c r="N46" s="5">
        <f>IF(I46=12,G46*H46*J46,"")</f>
        <v/>
      </c>
      <c r="O46" s="5">
        <f>IF(I46=14,G46*H46*J46,"")</f>
        <v/>
      </c>
      <c r="P46" s="5">
        <f>IF(I46=16,G46*H46*J46,"")</f>
        <v/>
      </c>
      <c r="Q46" s="5">
        <f>IF(I46=20,G46*H46*J46,"")</f>
        <v/>
      </c>
      <c r="R46" s="5">
        <f>IF(I46=25,G46*H46*J46,"")</f>
        <v/>
      </c>
      <c r="S46" s="5">
        <f>IF(I46=32,G46*H46*J46,"")</f>
        <v/>
      </c>
    </row>
    <row r="47">
      <c r="A47" s="5" t="inlineStr">
        <is>
          <t xml:space="preserve">EPINGLE </t>
        </is>
      </c>
      <c r="G47" s="5" t="n">
        <v>1</v>
      </c>
      <c r="H47" s="5" t="n">
        <v>6</v>
      </c>
      <c r="I47" s="5" t="n">
        <v>6</v>
      </c>
      <c r="J47" s="5">
        <f>F44-0.05+22*I47/1000</f>
        <v/>
      </c>
      <c r="K47" s="5">
        <f>IF(I47=6,G47*H47*J47,"")</f>
        <v/>
      </c>
      <c r="L47" s="5">
        <f>IF(I47=8,G47*H47*J47,"")</f>
        <v/>
      </c>
      <c r="M47" s="5">
        <f>IF(I47=10,G47*H47*J47,"")</f>
        <v/>
      </c>
      <c r="N47" s="5">
        <f>IF(I47=12,G47*H47*J47,"")</f>
        <v/>
      </c>
      <c r="O47" s="5">
        <f>IF(I47=14,G47*H47*J47,"")</f>
        <v/>
      </c>
      <c r="P47" s="5">
        <f>IF(I47=16,G47*H47*J47,"")</f>
        <v/>
      </c>
      <c r="Q47" s="5">
        <f>IF(I47=20,G47*H47*J47,"")</f>
        <v/>
      </c>
      <c r="R47" s="5">
        <f>IF(I47=25,G47*H47*J47,"")</f>
        <v/>
      </c>
      <c r="S47" s="5">
        <f>IF(I47=32,G47*H47*J47,"")</f>
        <v/>
      </c>
    </row>
    <row r="48">
      <c r="A48" s="5" t="inlineStr">
        <is>
          <t>LONGRINE LG1</t>
        </is>
      </c>
    </row>
    <row r="49">
      <c r="A49" s="5" t="inlineStr">
        <is>
          <t>LG1</t>
        </is>
      </c>
      <c r="D49" s="5">
        <f>'Detail quantitatif fondation'!I152+'Detail quantitatif fondation'!I153+'Detail quantitatif fondation'!I154+'Detail quantitatif fondation'!I159+'Detail quantitatif fondation'!I160+'Detail quantitatif fondation'!I165+'Detail quantitatif fondation'!I166+'Detail quantitatif fondation'!I167+'Detail quantitatif fondation'!I168+'Detail quantitatif fondation'!I169+'Detail quantitatif fondation'!I170</f>
        <v/>
      </c>
      <c r="E49" s="5" t="n">
        <v>0.2</v>
      </c>
      <c r="F49" s="5" t="n">
        <v>0.5</v>
      </c>
    </row>
    <row r="50">
      <c r="A50" s="5" t="inlineStr">
        <is>
          <t>ARM LONG SUPP</t>
        </is>
      </c>
      <c r="G50" s="5" t="n">
        <v>1</v>
      </c>
      <c r="H50" s="5" t="n">
        <v>3</v>
      </c>
      <c r="I50" s="5" t="n">
        <v>12</v>
      </c>
      <c r="J50" s="5">
        <f>D49</f>
        <v/>
      </c>
      <c r="K50" s="5">
        <f>IF(I50=6,G50*H50*J50,"")</f>
        <v/>
      </c>
      <c r="L50" s="5">
        <f>IF(I50=8,G50*H50*J50,"")</f>
        <v/>
      </c>
      <c r="M50" s="5">
        <f>IF(I50=10,G50*H50*J50,"")</f>
        <v/>
      </c>
      <c r="N50" s="5">
        <f>IF(I50=12,G50*H50*J50,"")</f>
        <v/>
      </c>
      <c r="O50" s="5">
        <f>IF(I50=14,G50*H50*J50,"")</f>
        <v/>
      </c>
      <c r="P50" s="5">
        <f>IF(I50=16,G50*H50*J50,"")</f>
        <v/>
      </c>
      <c r="Q50" s="5">
        <f>IF(I50=20,G50*H50*J50,"")</f>
        <v/>
      </c>
      <c r="R50" s="5">
        <f>IF(I50=25,G50*H50*J50,"")</f>
        <v/>
      </c>
      <c r="S50" s="5">
        <f>IF(I50=32,G50*H50*J50,"")</f>
        <v/>
      </c>
    </row>
    <row r="51">
      <c r="A51" s="5" t="inlineStr">
        <is>
          <t>ARM LONG INF</t>
        </is>
      </c>
      <c r="G51" s="5" t="n">
        <v>1</v>
      </c>
      <c r="H51" s="5" t="n">
        <v>3</v>
      </c>
      <c r="I51" s="5" t="n">
        <v>10</v>
      </c>
      <c r="J51" s="5">
        <f>D49</f>
        <v/>
      </c>
      <c r="K51" s="5">
        <f>IF(I51=6,G51*H51*J51,"")</f>
        <v/>
      </c>
      <c r="L51" s="5">
        <f>IF(I51=8,G51*H51*J51,"")</f>
        <v/>
      </c>
      <c r="M51" s="5">
        <f>IF(I51=10,G51*H51*J51,"")</f>
        <v/>
      </c>
      <c r="N51" s="5">
        <f>IF(I51=12,G51*H51*J51,"")</f>
        <v/>
      </c>
      <c r="O51" s="5">
        <f>IF(I51=14,G51*H51*J51,"")</f>
        <v/>
      </c>
      <c r="P51" s="5">
        <f>IF(I51=16,G51*H51*J51,"")</f>
        <v/>
      </c>
      <c r="Q51" s="5">
        <f>IF(I51=20,G51*H51*J51,"")</f>
        <v/>
      </c>
      <c r="R51" s="5">
        <f>IF(I51=25,G51*H51*J51,"")</f>
        <v/>
      </c>
      <c r="S51" s="5">
        <f>IF(I51=32,G51*H51*J51,"")</f>
        <v/>
      </c>
    </row>
    <row r="52">
      <c r="A52" s="5" t="inlineStr">
        <is>
          <t>CADRE</t>
        </is>
      </c>
      <c r="G52" s="5" t="n">
        <v>1</v>
      </c>
      <c r="H52" s="5">
        <f>ROUNDUP(D49/0.2,0)</f>
        <v/>
      </c>
      <c r="I52" s="5" t="n">
        <v>6</v>
      </c>
      <c r="J52" s="5">
        <f>2*(E49+F49)-0.05+20.5*I52/1000</f>
        <v/>
      </c>
      <c r="K52" s="5">
        <f>IF(I52=6,G52*H52*J52,"")</f>
        <v/>
      </c>
      <c r="L52" s="5">
        <f>IF(I52=8,G52*H52*J52,"")</f>
        <v/>
      </c>
      <c r="M52" s="5">
        <f>IF(I52=10,G52*H52*J52,"")</f>
        <v/>
      </c>
      <c r="N52" s="5">
        <f>IF(I52=12,G52*H52*J52,"")</f>
        <v/>
      </c>
      <c r="O52" s="5">
        <f>IF(I52=14,G52*H52*J52,"")</f>
        <v/>
      </c>
      <c r="P52" s="5">
        <f>IF(I52=16,G52*H52*J52,"")</f>
        <v/>
      </c>
      <c r="Q52" s="5">
        <f>IF(I52=20,G52*H52*J52,"")</f>
        <v/>
      </c>
      <c r="R52" s="5">
        <f>IF(I52=25,G52*H52*J52,"")</f>
        <v/>
      </c>
      <c r="S52" s="5">
        <f>IF(I52=32,G52*H52*J52,"")</f>
        <v/>
      </c>
    </row>
    <row r="53">
      <c r="A53" s="5" t="inlineStr">
        <is>
          <t>EPINGLE</t>
        </is>
      </c>
      <c r="G53" s="5" t="n">
        <v>1</v>
      </c>
      <c r="H53" s="5">
        <f>ROUNDUP(D49/0.2,0)</f>
        <v/>
      </c>
      <c r="I53" s="5" t="n">
        <v>6</v>
      </c>
      <c r="J53" s="5">
        <f>F49-0.05+22*I53/1000</f>
        <v/>
      </c>
      <c r="K53" s="5">
        <f>IF(I53=6,G53*H53*J53,"")</f>
        <v/>
      </c>
      <c r="L53" s="5">
        <f>IF(I53=8,G53*H53*J53,"")</f>
        <v/>
      </c>
      <c r="M53" s="5">
        <f>IF(I53=10,G53*H53*J53,"")</f>
        <v/>
      </c>
      <c r="N53" s="5">
        <f>IF(I53=12,G53*H53*J53,"")</f>
        <v/>
      </c>
      <c r="O53" s="5">
        <f>IF(I53=14,G53*H53*J53,"")</f>
        <v/>
      </c>
      <c r="P53" s="5">
        <f>IF(I53=16,G53*H53*J53,"")</f>
        <v/>
      </c>
      <c r="Q53" s="5">
        <f>IF(I53=20,G53*H53*J53,"")</f>
        <v/>
      </c>
      <c r="R53" s="5">
        <f>IF(I53=25,G53*H53*J53,"")</f>
        <v/>
      </c>
      <c r="S53" s="5">
        <f>IF(I53=32,G53*H53*J53,"")</f>
        <v/>
      </c>
    </row>
    <row r="54">
      <c r="A54" s="5" t="inlineStr">
        <is>
          <t>LONGRINE LG2</t>
        </is>
      </c>
    </row>
    <row r="55">
      <c r="A55" s="5" t="inlineStr">
        <is>
          <t>LG2</t>
        </is>
      </c>
      <c r="D55" s="5">
        <f>'Detail quantitatif fondation'!I155+'Detail quantitatif fondation'!I156+'Detail quantitatif fondation'!I157+'Detail quantitatif fondation'!I158+'Detail quantitatif fondation'!I161+'Detail quantitatif fondation'!I162+'Detail quantitatif fondation'!I163+'Detail quantitatif fondation'!I164</f>
        <v/>
      </c>
      <c r="E55" s="5" t="n">
        <v>0.2</v>
      </c>
      <c r="F55" s="5" t="n">
        <v>0.4</v>
      </c>
    </row>
    <row r="56">
      <c r="A56" s="5" t="inlineStr">
        <is>
          <t>ARM LONG SUPP</t>
        </is>
      </c>
      <c r="G56" s="5" t="n">
        <v>1</v>
      </c>
      <c r="H56" s="5" t="n">
        <v>3</v>
      </c>
      <c r="I56" s="5" t="n">
        <v>12</v>
      </c>
      <c r="J56" s="5">
        <f>D55</f>
        <v/>
      </c>
      <c r="K56" s="5">
        <f>IF(I56=6,G56*H56*J56,"")</f>
        <v/>
      </c>
      <c r="L56" s="5">
        <f>IF(I56=8,G56*H56*J56,"")</f>
        <v/>
      </c>
      <c r="M56" s="5">
        <f>IF(I56=10,G56*H56*J56,"")</f>
        <v/>
      </c>
      <c r="N56" s="5">
        <f>IF(I56=12,G56*H56*J56,"")</f>
        <v/>
      </c>
      <c r="O56" s="5">
        <f>IF(I56=14,G56*H56*J56,"")</f>
        <v/>
      </c>
      <c r="P56" s="5">
        <f>IF(I56=16,G56*H56*J56,"")</f>
        <v/>
      </c>
      <c r="Q56" s="5">
        <f>IF(I56=20,G56*H56*J56,"")</f>
        <v/>
      </c>
      <c r="R56" s="5">
        <f>IF(I56=25,G56*H56*J56,"")</f>
        <v/>
      </c>
      <c r="S56" s="5">
        <f>IF(I56=32,G56*H56*J56,"")</f>
        <v/>
      </c>
    </row>
    <row r="57">
      <c r="A57" s="5" t="inlineStr">
        <is>
          <t>ARM LONG INF</t>
        </is>
      </c>
      <c r="G57" s="5" t="n">
        <v>1</v>
      </c>
      <c r="H57" s="5" t="n">
        <v>3</v>
      </c>
      <c r="I57" s="5" t="n">
        <v>10</v>
      </c>
      <c r="J57" s="5">
        <f>D55</f>
        <v/>
      </c>
      <c r="K57" s="5">
        <f>IF(I57=6,G57*H57*J57,"")</f>
        <v/>
      </c>
      <c r="L57" s="5">
        <f>IF(I57=8,G57*H57*J57,"")</f>
        <v/>
      </c>
      <c r="M57" s="5">
        <f>IF(I57=10,G57*H57*J57,"")</f>
        <v/>
      </c>
      <c r="N57" s="5">
        <f>IF(I57=12,G57*H57*J57,"")</f>
        <v/>
      </c>
      <c r="O57" s="5">
        <f>IF(I57=14,G57*H57*J57,"")</f>
        <v/>
      </c>
      <c r="P57" s="5">
        <f>IF(I57=16,G57*H57*J57,"")</f>
        <v/>
      </c>
      <c r="Q57" s="5">
        <f>IF(I57=20,G57*H57*J57,"")</f>
        <v/>
      </c>
      <c r="R57" s="5">
        <f>IF(I57=25,G57*H57*J57,"")</f>
        <v/>
      </c>
      <c r="S57" s="5">
        <f>IF(I57=32,G57*H57*J57,"")</f>
        <v/>
      </c>
    </row>
    <row r="58">
      <c r="A58" s="5" t="inlineStr">
        <is>
          <t>CADRE</t>
        </is>
      </c>
      <c r="G58" s="5" t="n">
        <v>1</v>
      </c>
      <c r="H58" s="5">
        <f>ROUNDUP(D55/0.2,0)</f>
        <v/>
      </c>
      <c r="I58" s="5" t="n">
        <v>6</v>
      </c>
      <c r="J58" s="5">
        <f>2*(E55+F55)-0.05+20.5*I58/1000</f>
        <v/>
      </c>
      <c r="K58" s="5">
        <f>IF(I58=6,G58*H58*J58,"")</f>
        <v/>
      </c>
      <c r="L58" s="5">
        <f>IF(I58=8,G58*H58*J58,"")</f>
        <v/>
      </c>
      <c r="M58" s="5">
        <f>IF(I58=10,G58*H58*J58,"")</f>
        <v/>
      </c>
      <c r="N58" s="5">
        <f>IF(I58=12,G58*H58*J58,"")</f>
        <v/>
      </c>
      <c r="O58" s="5">
        <f>IF(I58=14,G58*H58*J58,"")</f>
        <v/>
      </c>
      <c r="P58" s="5">
        <f>IF(I58=16,G58*H58*J58,"")</f>
        <v/>
      </c>
      <c r="Q58" s="5">
        <f>IF(I58=20,G58*H58*J58,"")</f>
        <v/>
      </c>
      <c r="R58" s="5">
        <f>IF(I58=25,G58*H58*J58,"")</f>
        <v/>
      </c>
      <c r="S58" s="5">
        <f>IF(I58=32,G58*H58*J58,"")</f>
        <v/>
      </c>
    </row>
    <row r="59">
      <c r="A59" s="5" t="inlineStr">
        <is>
          <t>EPINGLE</t>
        </is>
      </c>
      <c r="G59" s="5" t="n">
        <v>1</v>
      </c>
      <c r="H59" s="5">
        <f>ROUNDUP(D55/0.2,0)</f>
        <v/>
      </c>
      <c r="I59" s="5" t="n">
        <v>6</v>
      </c>
      <c r="J59" s="5">
        <f>F55-0.05+22*I59/1000</f>
        <v/>
      </c>
      <c r="K59" s="5">
        <f>IF(I59=6,G59*H59*J59,"")</f>
        <v/>
      </c>
      <c r="L59" s="5">
        <f>IF(I59=8,G59*H59*J59,"")</f>
        <v/>
      </c>
      <c r="M59" s="5">
        <f>IF(I59=10,G59*H59*J59,"")</f>
        <v/>
      </c>
      <c r="N59" s="5">
        <f>IF(I59=12,G59*H59*J59,"")</f>
        <v/>
      </c>
      <c r="O59" s="5">
        <f>IF(I59=14,G59*H59*J59,"")</f>
        <v/>
      </c>
      <c r="P59" s="5">
        <f>IF(I59=16,G59*H59*J59,"")</f>
        <v/>
      </c>
      <c r="Q59" s="5">
        <f>IF(I59=20,G59*H59*J59,"")</f>
        <v/>
      </c>
      <c r="R59" s="5">
        <f>IF(I59=25,G59*H59*J59,"")</f>
        <v/>
      </c>
      <c r="S59" s="5">
        <f>IF(I59=32,G59*H59*J59,"")</f>
        <v/>
      </c>
    </row>
    <row r="60">
      <c r="A60" s="5" t="inlineStr">
        <is>
          <t xml:space="preserve">NAPPE DU DALLAGE </t>
        </is>
      </c>
    </row>
    <row r="61">
      <c r="A61" s="5" t="inlineStr">
        <is>
          <t>DALLAGE TYPE 13CM</t>
        </is>
      </c>
      <c r="E61" s="5" t="n">
        <v>10.4</v>
      </c>
      <c r="F61" s="5" t="n">
        <v>11.64</v>
      </c>
      <c r="K61" s="5">
        <f>IF(I61=6,G61*H61*J61,"")</f>
        <v/>
      </c>
      <c r="L61" s="5">
        <f>IF(I61=8,G61*H61*J61,"")</f>
        <v/>
      </c>
      <c r="M61" s="5">
        <f>IF(I61=10,G61*H61*J61,"")</f>
        <v/>
      </c>
      <c r="N61" s="5">
        <f>IF(I61=12,G61*H61*J61,"")</f>
        <v/>
      </c>
      <c r="O61" s="5">
        <f>IF(I61=14,G61*H61*J61,"")</f>
        <v/>
      </c>
      <c r="P61" s="5">
        <f>IF(I61=16,G61*H61*J61,"")</f>
        <v/>
      </c>
      <c r="Q61" s="5">
        <f>IF(I61=20,G61*H61*J61,"")</f>
        <v/>
      </c>
      <c r="R61" s="5">
        <f>IF(I61=25,G61*H61*J61,"")</f>
        <v/>
      </c>
      <c r="S61" s="5">
        <f>IF(I61=32,G61*H61*J61,"")</f>
        <v/>
      </c>
    </row>
    <row r="62">
      <c r="A62" s="5" t="inlineStr">
        <is>
          <t>AX</t>
        </is>
      </c>
      <c r="G62" s="5" t="n">
        <v>1</v>
      </c>
      <c r="H62" s="5">
        <f>ROUNDUP(E61/0.15,0)</f>
        <v/>
      </c>
      <c r="I62" s="5" t="n">
        <v>8</v>
      </c>
      <c r="J62" s="5">
        <f>10.4</f>
        <v/>
      </c>
      <c r="K62" s="5">
        <f>IF(I62=6,G62*H62*J62,"")</f>
        <v/>
      </c>
      <c r="L62" s="5">
        <f>IF(I62=8,G62*H62*J62,"")</f>
        <v/>
      </c>
      <c r="M62" s="5">
        <f>IF(I62=10,G62*H62*J62,"")</f>
        <v/>
      </c>
      <c r="N62" s="5">
        <f>IF(I62=12,G62*H62*J62,"")</f>
        <v/>
      </c>
      <c r="O62" s="5">
        <f>IF(I62=14,G62*H62*J62,"")</f>
        <v/>
      </c>
      <c r="P62" s="5">
        <f>IF(I62=16,G62*H62*J62,"")</f>
        <v/>
      </c>
      <c r="Q62" s="5">
        <f>IF(I62=20,G62*H62*J62,"")</f>
        <v/>
      </c>
      <c r="R62" s="5">
        <f>IF(I62=25,G62*H62*J62,"")</f>
        <v/>
      </c>
      <c r="S62" s="5">
        <f>IF(I62=32,G62*H62*J62,"")</f>
        <v/>
      </c>
    </row>
    <row r="63">
      <c r="A63" s="5" t="inlineStr">
        <is>
          <t>AY</t>
        </is>
      </c>
      <c r="G63" s="5" t="n">
        <v>1</v>
      </c>
      <c r="H63" s="5">
        <f>ROUNDUP(F61/0.15,0)</f>
        <v/>
      </c>
      <c r="I63" s="5" t="n">
        <v>8</v>
      </c>
      <c r="J63" s="5">
        <f>11.64+1</f>
        <v/>
      </c>
      <c r="K63" s="5">
        <f>IF(I63=6,G63*H63*J63,"")</f>
        <v/>
      </c>
      <c r="L63" s="5">
        <f>IF(I63=8,G63*H63*J63,"")</f>
        <v/>
      </c>
      <c r="M63" s="5">
        <f>IF(I63=10,G63*H63*J63,"")</f>
        <v/>
      </c>
      <c r="N63" s="5">
        <f>IF(I63=12,G63*H63*J63,"")</f>
        <v/>
      </c>
      <c r="O63" s="5">
        <f>IF(I63=14,G63*H63*J63,"")</f>
        <v/>
      </c>
      <c r="P63" s="5">
        <f>IF(I63=16,G63*H63*J63,"")</f>
        <v/>
      </c>
      <c r="Q63" s="5">
        <f>IF(I63=20,G63*H63*J63,"")</f>
        <v/>
      </c>
      <c r="R63" s="5">
        <f>IF(I63=25,G63*H63*J63,"")</f>
        <v/>
      </c>
      <c r="S63" s="5">
        <f>IF(I63=32,G63*H63*J63,"")</f>
        <v/>
      </c>
    </row>
    <row r="64">
      <c r="A64" s="5" t="inlineStr">
        <is>
          <t>DALLAGE TYPE 20CM</t>
        </is>
      </c>
      <c r="E64" s="5" t="n">
        <v>10.4</v>
      </c>
      <c r="F64" s="5" t="n">
        <v>12.11</v>
      </c>
      <c r="K64" s="5">
        <f>IF(I64=6,G64*H64*J64,"")</f>
        <v/>
      </c>
      <c r="L64" s="5">
        <f>IF(I64=8,G64*H64*J64,"")</f>
        <v/>
      </c>
      <c r="M64" s="5">
        <f>IF(I64=10,G64*H64*J64,"")</f>
        <v/>
      </c>
      <c r="N64" s="5">
        <f>IF(I64=12,G64*H64*J64,"")</f>
        <v/>
      </c>
      <c r="O64" s="5">
        <f>IF(I64=14,G64*H64*J64,"")</f>
        <v/>
      </c>
      <c r="P64" s="5">
        <f>IF(I64=16,G64*H64*J64,"")</f>
        <v/>
      </c>
      <c r="Q64" s="5">
        <f>IF(I64=20,G64*H64*J64,"")</f>
        <v/>
      </c>
      <c r="R64" s="5">
        <f>IF(I64=25,G64*H64*J64,"")</f>
        <v/>
      </c>
      <c r="S64" s="5">
        <f>IF(I64=32,G64*H64*J64,"")</f>
        <v/>
      </c>
    </row>
    <row r="65">
      <c r="A65" s="5" t="inlineStr">
        <is>
          <t>AX</t>
        </is>
      </c>
      <c r="G65" s="5" t="n">
        <v>2</v>
      </c>
      <c r="H65" s="5">
        <f>ROUNDUP(E64/0.15,0)</f>
        <v/>
      </c>
      <c r="I65" s="5" t="n">
        <v>8</v>
      </c>
      <c r="J65" s="5">
        <f>10.4</f>
        <v/>
      </c>
      <c r="K65" s="5">
        <f>IF(I65=6,G65*H65*J65,"")</f>
        <v/>
      </c>
      <c r="L65" s="5">
        <f>IF(I65=8,G65*H65*J65,"")</f>
        <v/>
      </c>
      <c r="M65" s="5">
        <f>IF(I65=10,G65*H65*J65,"")</f>
        <v/>
      </c>
      <c r="N65" s="5">
        <f>IF(I65=12,G65*H65*J65,"")</f>
        <v/>
      </c>
      <c r="O65" s="5">
        <f>IF(I65=14,G65*H65*J65,"")</f>
        <v/>
      </c>
      <c r="P65" s="5">
        <f>IF(I65=16,G65*H65*J65,"")</f>
        <v/>
      </c>
      <c r="Q65" s="5">
        <f>IF(I65=20,G65*H65*J65,"")</f>
        <v/>
      </c>
      <c r="R65" s="5">
        <f>IF(I65=25,G65*H65*J65,"")</f>
        <v/>
      </c>
      <c r="S65" s="5">
        <f>IF(I65=32,G65*H65*J65,"")</f>
        <v/>
      </c>
    </row>
    <row r="66">
      <c r="A66" s="5" t="inlineStr">
        <is>
          <t>AY</t>
        </is>
      </c>
      <c r="G66" s="5" t="n">
        <v>2</v>
      </c>
      <c r="H66" s="5">
        <f>ROUNDUP(F64/0.15,0)</f>
        <v/>
      </c>
      <c r="I66" s="5" t="n">
        <v>8</v>
      </c>
      <c r="J66" s="5">
        <f>12.11+1</f>
        <v/>
      </c>
      <c r="K66" s="5">
        <f>IF(I66=6,G66*H66*J66,"")</f>
        <v/>
      </c>
      <c r="L66" s="5">
        <f>IF(I66=8,G66*H66*J66,"")</f>
        <v/>
      </c>
      <c r="M66" s="5">
        <f>IF(I66=10,G66*H66*J66,"")</f>
        <v/>
      </c>
      <c r="N66" s="5">
        <f>IF(I66=12,G66*H66*J66,"")</f>
        <v/>
      </c>
      <c r="O66" s="5">
        <f>IF(I66=14,G66*H66*J66,"")</f>
        <v/>
      </c>
      <c r="P66" s="5">
        <f>IF(I66=16,G66*H66*J66,"")</f>
        <v/>
      </c>
      <c r="Q66" s="5">
        <f>IF(I66=20,G66*H66*J66,"")</f>
        <v/>
      </c>
      <c r="R66" s="5">
        <f>IF(I66=25,G66*H66*J66,"")</f>
        <v/>
      </c>
      <c r="S66" s="5">
        <f>IF(I66=32,G66*H66*J66,"")</f>
        <v/>
      </c>
    </row>
    <row r="67">
      <c r="A67" s="6" t="inlineStr">
        <is>
          <t>total</t>
        </is>
      </c>
      <c r="M67" s="6">
        <f>SUM(L61:L64)</f>
        <v/>
      </c>
    </row>
    <row r="68">
      <c r="G68" s="3" t="inlineStr">
        <is>
          <t xml:space="preserve"> LONGUEUR  TOTALE</t>
        </is>
      </c>
      <c r="K68" s="3">
        <f>SUM(K61:K64)</f>
        <v/>
      </c>
      <c r="L68" s="3">
        <f>SUM(L61:L64)</f>
        <v/>
      </c>
      <c r="M68" s="3">
        <f>SUM(M61:M64)</f>
        <v/>
      </c>
      <c r="N68" s="3">
        <f>SUM(N61:N64)</f>
        <v/>
      </c>
      <c r="O68" s="3">
        <f>SUM(O61:O64)</f>
        <v/>
      </c>
      <c r="P68" s="3">
        <f>SUM(P61:P64)</f>
        <v/>
      </c>
      <c r="Q68" s="3">
        <f>SUM(Q61:Q64)</f>
        <v/>
      </c>
      <c r="R68" s="3">
        <f>SUM(R61:R64)</f>
        <v/>
      </c>
      <c r="S68" s="3">
        <f>SUM(S61:S64)</f>
        <v/>
      </c>
    </row>
    <row r="69">
      <c r="G69" s="3" t="inlineStr">
        <is>
          <t xml:space="preserve"> POIDS / ML</t>
        </is>
      </c>
      <c r="K69" s="3">
        <f>6*6/162</f>
        <v/>
      </c>
      <c r="L69" s="3">
        <f>8*8/162</f>
        <v/>
      </c>
      <c r="M69" s="3">
        <f>10*10/162</f>
        <v/>
      </c>
      <c r="N69" s="3">
        <f>12*12/162</f>
        <v/>
      </c>
      <c r="O69" s="3">
        <f>14*14/162</f>
        <v/>
      </c>
      <c r="P69" s="3">
        <f>16*16/162</f>
        <v/>
      </c>
      <c r="Q69" s="3">
        <f>20*20/162</f>
        <v/>
      </c>
      <c r="R69" s="3">
        <f>25*25/162</f>
        <v/>
      </c>
      <c r="S69" s="3">
        <f>32*32/162</f>
        <v/>
      </c>
    </row>
    <row r="70">
      <c r="G70" s="3" t="inlineStr">
        <is>
          <t xml:space="preserve"> POIDS PARTIELS</t>
        </is>
      </c>
      <c r="K70" s="3">
        <f>K69*K68</f>
        <v/>
      </c>
      <c r="L70" s="3">
        <f>L69*L68</f>
        <v/>
      </c>
      <c r="M70" s="3">
        <f>M69*M68</f>
        <v/>
      </c>
      <c r="N70" s="3">
        <f>N69*N68</f>
        <v/>
      </c>
      <c r="O70" s="3">
        <f>O69*O68</f>
        <v/>
      </c>
      <c r="P70" s="3">
        <f>P69*P68</f>
        <v/>
      </c>
      <c r="Q70" s="3">
        <f>Q69*Q68</f>
        <v/>
      </c>
      <c r="R70" s="3">
        <f>R69*R68</f>
        <v/>
      </c>
      <c r="S70" s="3">
        <f>S69*S68</f>
        <v/>
      </c>
    </row>
    <row r="71">
      <c r="G71" s="3" t="inlineStr">
        <is>
          <t xml:space="preserve"> POIDS TOTAL (kg)</t>
        </is>
      </c>
      <c r="K71" s="6">
        <f>SUM(K70:S70)</f>
        <v/>
      </c>
    </row>
    <row r="72">
      <c r="A72" s="3" t="inlineStr">
        <is>
          <t>DETAIL PAR ELEMENT</t>
        </is>
      </c>
    </row>
    <row r="73">
      <c r="A73" s="5" t="inlineStr">
        <is>
          <t>semelle isolee</t>
        </is>
      </c>
    </row>
    <row r="74">
      <c r="A74" s="2" t="inlineStr">
        <is>
          <t>repère</t>
        </is>
      </c>
      <c r="B74" s="2" t="inlineStr">
        <is>
          <t>axe</t>
        </is>
      </c>
      <c r="C74" s="2" t="inlineStr">
        <is>
          <t>fill</t>
        </is>
      </c>
      <c r="D74" s="2" t="inlineStr">
        <is>
          <t>A</t>
        </is>
      </c>
      <c r="E74" s="2" t="inlineStr">
        <is>
          <t>B</t>
        </is>
      </c>
      <c r="F74" s="2" t="inlineStr">
        <is>
          <t>H</t>
        </is>
      </c>
    </row>
    <row r="75">
      <c r="A75" s="5" t="inlineStr">
        <is>
          <t>S1</t>
        </is>
      </c>
      <c r="B75" s="5" t="inlineStr">
        <is>
          <t>A</t>
        </is>
      </c>
      <c r="C75" s="5" t="inlineStr">
        <is>
          <t>1</t>
        </is>
      </c>
      <c r="D75" s="5" t="n">
        <v>1</v>
      </c>
      <c r="E75" s="5" t="n">
        <v>1</v>
      </c>
      <c r="F75" s="5" t="n">
        <v>0.25</v>
      </c>
    </row>
    <row r="76">
      <c r="A76" s="5" t="inlineStr">
        <is>
          <t>Armature INF X</t>
        </is>
      </c>
      <c r="G76" s="5" t="n">
        <v>1</v>
      </c>
      <c r="H76" s="5" t="n">
        <v>6</v>
      </c>
      <c r="I76" s="5" t="n">
        <v>12</v>
      </c>
      <c r="J76" s="5">
        <f>(1.0-0.05)+34*I76/1000</f>
        <v/>
      </c>
      <c r="K76" s="5">
        <f>IF(I76=6,G76*H76*J76,"")</f>
        <v/>
      </c>
      <c r="L76" s="5">
        <f>IF(I76=8,G76*H76*J76,"")</f>
        <v/>
      </c>
      <c r="M76" s="5">
        <f>IF(I76=10,G76*H76*J76,"")</f>
        <v/>
      </c>
      <c r="N76" s="5">
        <f>IF(I76=12,G76*H76*J76,"")</f>
        <v/>
      </c>
      <c r="O76" s="5">
        <f>IF(I76=14,G76*H76*J76,"")</f>
        <v/>
      </c>
      <c r="P76" s="5">
        <f>IF(I76=16,G76*H76*J76,"")</f>
        <v/>
      </c>
      <c r="Q76" s="5">
        <f>IF(I76=20,G76*H76*J76,"")</f>
        <v/>
      </c>
      <c r="R76" s="5">
        <f>IF(I76=25,G76*H76*J76,"")</f>
        <v/>
      </c>
      <c r="S76" s="5">
        <f>IF(I76=32,G76*H76*J76,"")</f>
        <v/>
      </c>
    </row>
    <row r="77">
      <c r="A77" s="5" t="inlineStr">
        <is>
          <t>Armature INF Y</t>
        </is>
      </c>
      <c r="G77" s="5" t="n">
        <v>1</v>
      </c>
      <c r="H77" s="5" t="n">
        <v>6</v>
      </c>
      <c r="I77" s="5" t="n">
        <v>12</v>
      </c>
      <c r="J77" s="5">
        <f>(1.0-0.05)+34*I77/1000</f>
        <v/>
      </c>
      <c r="K77" s="5">
        <f>IF(I77=6,G77*H77*J77,"")</f>
        <v/>
      </c>
      <c r="L77" s="5">
        <f>IF(I77=8,G77*H77*J77,"")</f>
        <v/>
      </c>
      <c r="M77" s="5">
        <f>IF(I77=10,G77*H77*J77,"")</f>
        <v/>
      </c>
      <c r="N77" s="5">
        <f>IF(I77=12,G77*H77*J77,"")</f>
        <v/>
      </c>
      <c r="O77" s="5">
        <f>IF(I77=14,G77*H77*J77,"")</f>
        <v/>
      </c>
      <c r="P77" s="5">
        <f>IF(I77=16,G77*H77*J77,"")</f>
        <v/>
      </c>
      <c r="Q77" s="5">
        <f>IF(I77=20,G77*H77*J77,"")</f>
        <v/>
      </c>
      <c r="R77" s="5">
        <f>IF(I77=25,G77*H77*J77,"")</f>
        <v/>
      </c>
      <c r="S77" s="5">
        <f>IF(I77=32,G77*H77*J77,"")</f>
        <v/>
      </c>
    </row>
    <row r="78">
      <c r="A78" s="5" t="inlineStr">
        <is>
          <t>S4</t>
        </is>
      </c>
      <c r="B78" s="5" t="inlineStr">
        <is>
          <t>A</t>
        </is>
      </c>
      <c r="C78" s="5" t="inlineStr">
        <is>
          <t>2</t>
        </is>
      </c>
      <c r="D78" s="5" t="n">
        <v>1.5</v>
      </c>
      <c r="E78" s="5" t="n">
        <v>1.5</v>
      </c>
      <c r="F78" s="5" t="n">
        <v>0.4</v>
      </c>
    </row>
    <row r="79">
      <c r="A79" s="5" t="inlineStr">
        <is>
          <t>Armature INF X</t>
        </is>
      </c>
      <c r="G79" s="5" t="n">
        <v>1</v>
      </c>
      <c r="H79" s="5" t="n">
        <v>11</v>
      </c>
      <c r="I79" s="5" t="n">
        <v>12</v>
      </c>
      <c r="J79" s="5">
        <f>(1.5-0.05)+34*I79/1000</f>
        <v/>
      </c>
      <c r="K79" s="5">
        <f>IF(I79=6,G79*H79*J79,"")</f>
        <v/>
      </c>
      <c r="L79" s="5">
        <f>IF(I79=8,G79*H79*J79,"")</f>
        <v/>
      </c>
      <c r="M79" s="5">
        <f>IF(I79=10,G79*H79*J79,"")</f>
        <v/>
      </c>
      <c r="N79" s="5">
        <f>IF(I79=12,G79*H79*J79,"")</f>
        <v/>
      </c>
      <c r="O79" s="5">
        <f>IF(I79=14,G79*H79*J79,"")</f>
        <v/>
      </c>
      <c r="P79" s="5">
        <f>IF(I79=16,G79*H79*J79,"")</f>
        <v/>
      </c>
      <c r="Q79" s="5">
        <f>IF(I79=20,G79*H79*J79,"")</f>
        <v/>
      </c>
      <c r="R79" s="5">
        <f>IF(I79=25,G79*H79*J79,"")</f>
        <v/>
      </c>
      <c r="S79" s="5">
        <f>IF(I79=32,G79*H79*J79,"")</f>
        <v/>
      </c>
    </row>
    <row r="80">
      <c r="A80" s="5" t="inlineStr">
        <is>
          <t>Armature INF Y</t>
        </is>
      </c>
      <c r="G80" s="5" t="n">
        <v>1</v>
      </c>
      <c r="H80" s="5" t="n">
        <v>11</v>
      </c>
      <c r="I80" s="5" t="n">
        <v>12</v>
      </c>
      <c r="J80" s="5">
        <f>(1.5-0.05)+34*I80/1000</f>
        <v/>
      </c>
      <c r="K80" s="5">
        <f>IF(I80=6,G80*H80*J80,"")</f>
        <v/>
      </c>
      <c r="L80" s="5">
        <f>IF(I80=8,G80*H80*J80,"")</f>
        <v/>
      </c>
      <c r="M80" s="5">
        <f>IF(I80=10,G80*H80*J80,"")</f>
        <v/>
      </c>
      <c r="N80" s="5">
        <f>IF(I80=12,G80*H80*J80,"")</f>
        <v/>
      </c>
      <c r="O80" s="5">
        <f>IF(I80=14,G80*H80*J80,"")</f>
        <v/>
      </c>
      <c r="P80" s="5">
        <f>IF(I80=16,G80*H80*J80,"")</f>
        <v/>
      </c>
      <c r="Q80" s="5">
        <f>IF(I80=20,G80*H80*J80,"")</f>
        <v/>
      </c>
      <c r="R80" s="5">
        <f>IF(I80=25,G80*H80*J80,"")</f>
        <v/>
      </c>
      <c r="S80" s="5">
        <f>IF(I80=32,G80*H80*J80,"")</f>
        <v/>
      </c>
    </row>
    <row r="81">
      <c r="A81" s="5" t="inlineStr">
        <is>
          <t>S4</t>
        </is>
      </c>
      <c r="B81" s="5" t="inlineStr">
        <is>
          <t>A</t>
        </is>
      </c>
      <c r="C81" s="5" t="inlineStr">
        <is>
          <t>4</t>
        </is>
      </c>
      <c r="D81" s="5" t="n">
        <v>1.5</v>
      </c>
      <c r="E81" s="5" t="n">
        <v>1.5</v>
      </c>
      <c r="F81" s="5" t="n">
        <v>0.4</v>
      </c>
    </row>
    <row r="82">
      <c r="A82" s="5" t="inlineStr">
        <is>
          <t>Armature INF X</t>
        </is>
      </c>
      <c r="G82" s="5" t="n">
        <v>1</v>
      </c>
      <c r="H82" s="5" t="n">
        <v>11</v>
      </c>
      <c r="I82" s="5" t="n">
        <v>12</v>
      </c>
      <c r="J82" s="5">
        <f>(1.5-0.05)+34*I82/1000</f>
        <v/>
      </c>
      <c r="K82" s="5">
        <f>IF(I82=6,G82*H82*J82,"")</f>
        <v/>
      </c>
      <c r="L82" s="5">
        <f>IF(I82=8,G82*H82*J82,"")</f>
        <v/>
      </c>
      <c r="M82" s="5">
        <f>IF(I82=10,G82*H82*J82,"")</f>
        <v/>
      </c>
      <c r="N82" s="5">
        <f>IF(I82=12,G82*H82*J82,"")</f>
        <v/>
      </c>
      <c r="O82" s="5">
        <f>IF(I82=14,G82*H82*J82,"")</f>
        <v/>
      </c>
      <c r="P82" s="5">
        <f>IF(I82=16,G82*H82*J82,"")</f>
        <v/>
      </c>
      <c r="Q82" s="5">
        <f>IF(I82=20,G82*H82*J82,"")</f>
        <v/>
      </c>
      <c r="R82" s="5">
        <f>IF(I82=25,G82*H82*J82,"")</f>
        <v/>
      </c>
      <c r="S82" s="5">
        <f>IF(I82=32,G82*H82*J82,"")</f>
        <v/>
      </c>
    </row>
    <row r="83">
      <c r="A83" s="5" t="inlineStr">
        <is>
          <t>Armature INF Y</t>
        </is>
      </c>
      <c r="G83" s="5" t="n">
        <v>1</v>
      </c>
      <c r="H83" s="5" t="n">
        <v>11</v>
      </c>
      <c r="I83" s="5" t="n">
        <v>12</v>
      </c>
      <c r="J83" s="5">
        <f>(1.5-0.05)+34*I83/1000</f>
        <v/>
      </c>
      <c r="K83" s="5">
        <f>IF(I83=6,G83*H83*J83,"")</f>
        <v/>
      </c>
      <c r="L83" s="5">
        <f>IF(I83=8,G83*H83*J83,"")</f>
        <v/>
      </c>
      <c r="M83" s="5">
        <f>IF(I83=10,G83*H83*J83,"")</f>
        <v/>
      </c>
      <c r="N83" s="5">
        <f>IF(I83=12,G83*H83*J83,"")</f>
        <v/>
      </c>
      <c r="O83" s="5">
        <f>IF(I83=14,G83*H83*J83,"")</f>
        <v/>
      </c>
      <c r="P83" s="5">
        <f>IF(I83=16,G83*H83*J83,"")</f>
        <v/>
      </c>
      <c r="Q83" s="5">
        <f>IF(I83=20,G83*H83*J83,"")</f>
        <v/>
      </c>
      <c r="R83" s="5">
        <f>IF(I83=25,G83*H83*J83,"")</f>
        <v/>
      </c>
      <c r="S83" s="5">
        <f>IF(I83=32,G83*H83*J83,"")</f>
        <v/>
      </c>
    </row>
    <row r="84">
      <c r="A84" s="5" t="inlineStr">
        <is>
          <t>S2</t>
        </is>
      </c>
      <c r="B84" s="5" t="inlineStr">
        <is>
          <t>A</t>
        </is>
      </c>
      <c r="C84" s="5" t="inlineStr">
        <is>
          <t>5</t>
        </is>
      </c>
      <c r="D84" s="5" t="n">
        <v>1.1</v>
      </c>
      <c r="E84" s="5" t="n">
        <v>1.1</v>
      </c>
      <c r="F84" s="5" t="n">
        <v>0.25</v>
      </c>
    </row>
    <row r="85">
      <c r="A85" s="5" t="inlineStr">
        <is>
          <t>Armature INF X</t>
        </is>
      </c>
      <c r="G85" s="5" t="n">
        <v>1</v>
      </c>
      <c r="H85" s="5" t="n">
        <v>7</v>
      </c>
      <c r="I85" s="5" t="n">
        <v>12</v>
      </c>
      <c r="J85" s="5">
        <f>(1.1-0.05)+34*I85/1000</f>
        <v/>
      </c>
      <c r="K85" s="5">
        <f>IF(I85=6,G85*H85*J85,"")</f>
        <v/>
      </c>
      <c r="L85" s="5">
        <f>IF(I85=8,G85*H85*J85,"")</f>
        <v/>
      </c>
      <c r="M85" s="5">
        <f>IF(I85=10,G85*H85*J85,"")</f>
        <v/>
      </c>
      <c r="N85" s="5">
        <f>IF(I85=12,G85*H85*J85,"")</f>
        <v/>
      </c>
      <c r="O85" s="5">
        <f>IF(I85=14,G85*H85*J85,"")</f>
        <v/>
      </c>
      <c r="P85" s="5">
        <f>IF(I85=16,G85*H85*J85,"")</f>
        <v/>
      </c>
      <c r="Q85" s="5">
        <f>IF(I85=20,G85*H85*J85,"")</f>
        <v/>
      </c>
      <c r="R85" s="5">
        <f>IF(I85=25,G85*H85*J85,"")</f>
        <v/>
      </c>
      <c r="S85" s="5">
        <f>IF(I85=32,G85*H85*J85,"")</f>
        <v/>
      </c>
    </row>
    <row r="86">
      <c r="A86" s="5" t="inlineStr">
        <is>
          <t>Armature INF Y</t>
        </is>
      </c>
      <c r="G86" s="5" t="n">
        <v>1</v>
      </c>
      <c r="H86" s="5" t="n">
        <v>7</v>
      </c>
      <c r="I86" s="5" t="n">
        <v>12</v>
      </c>
      <c r="J86" s="5">
        <f>(1.1-0.05)+34*I86/1000</f>
        <v/>
      </c>
      <c r="K86" s="5">
        <f>IF(I86=6,G86*H86*J86,"")</f>
        <v/>
      </c>
      <c r="L86" s="5">
        <f>IF(I86=8,G86*H86*J86,"")</f>
        <v/>
      </c>
      <c r="M86" s="5">
        <f>IF(I86=10,G86*H86*J86,"")</f>
        <v/>
      </c>
      <c r="N86" s="5">
        <f>IF(I86=12,G86*H86*J86,"")</f>
        <v/>
      </c>
      <c r="O86" s="5">
        <f>IF(I86=14,G86*H86*J86,"")</f>
        <v/>
      </c>
      <c r="P86" s="5">
        <f>IF(I86=16,G86*H86*J86,"")</f>
        <v/>
      </c>
      <c r="Q86" s="5">
        <f>IF(I86=20,G86*H86*J86,"")</f>
        <v/>
      </c>
      <c r="R86" s="5">
        <f>IF(I86=25,G86*H86*J86,"")</f>
        <v/>
      </c>
      <c r="S86" s="5">
        <f>IF(I86=32,G86*H86*J86,"")</f>
        <v/>
      </c>
    </row>
    <row r="87">
      <c r="A87" s="5" t="inlineStr">
        <is>
          <t>S3</t>
        </is>
      </c>
      <c r="B87" s="5" t="inlineStr">
        <is>
          <t>A</t>
        </is>
      </c>
      <c r="C87" s="5" t="inlineStr">
        <is>
          <t>6</t>
        </is>
      </c>
      <c r="D87" s="5" t="n">
        <v>1.2</v>
      </c>
      <c r="E87" s="5" t="n">
        <v>1.2</v>
      </c>
      <c r="F87" s="5" t="n">
        <v>0.3</v>
      </c>
    </row>
    <row r="88">
      <c r="A88" s="5" t="inlineStr">
        <is>
          <t>Armature INF X</t>
        </is>
      </c>
      <c r="G88" s="5" t="n">
        <v>1</v>
      </c>
      <c r="H88" s="5" t="n">
        <v>8</v>
      </c>
      <c r="I88" s="5" t="n">
        <v>12</v>
      </c>
      <c r="J88" s="5">
        <f>(1.2-0.05)+34*I88/1000</f>
        <v/>
      </c>
      <c r="K88" s="5">
        <f>IF(I88=6,G88*H88*J88,"")</f>
        <v/>
      </c>
      <c r="L88" s="5">
        <f>IF(I88=8,G88*H88*J88,"")</f>
        <v/>
      </c>
      <c r="M88" s="5">
        <f>IF(I88=10,G88*H88*J88,"")</f>
        <v/>
      </c>
      <c r="N88" s="5">
        <f>IF(I88=12,G88*H88*J88,"")</f>
        <v/>
      </c>
      <c r="O88" s="5">
        <f>IF(I88=14,G88*H88*J88,"")</f>
        <v/>
      </c>
      <c r="P88" s="5">
        <f>IF(I88=16,G88*H88*J88,"")</f>
        <v/>
      </c>
      <c r="Q88" s="5">
        <f>IF(I88=20,G88*H88*J88,"")</f>
        <v/>
      </c>
      <c r="R88" s="5">
        <f>IF(I88=25,G88*H88*J88,"")</f>
        <v/>
      </c>
      <c r="S88" s="5">
        <f>IF(I88=32,G88*H88*J88,"")</f>
        <v/>
      </c>
    </row>
    <row r="89">
      <c r="A89" s="5" t="inlineStr">
        <is>
          <t>Armature INF Y</t>
        </is>
      </c>
      <c r="G89" s="5" t="n">
        <v>1</v>
      </c>
      <c r="H89" s="5" t="n">
        <v>8</v>
      </c>
      <c r="I89" s="5" t="n">
        <v>12</v>
      </c>
      <c r="J89" s="5">
        <f>(1.2-0.05)+34*I89/1000</f>
        <v/>
      </c>
      <c r="K89" s="5">
        <f>IF(I89=6,G89*H89*J89,"")</f>
        <v/>
      </c>
      <c r="L89" s="5">
        <f>IF(I89=8,G89*H89*J89,"")</f>
        <v/>
      </c>
      <c r="M89" s="5">
        <f>IF(I89=10,G89*H89*J89,"")</f>
        <v/>
      </c>
      <c r="N89" s="5">
        <f>IF(I89=12,G89*H89*J89,"")</f>
        <v/>
      </c>
      <c r="O89" s="5">
        <f>IF(I89=14,G89*H89*J89,"")</f>
        <v/>
      </c>
      <c r="P89" s="5">
        <f>IF(I89=16,G89*H89*J89,"")</f>
        <v/>
      </c>
      <c r="Q89" s="5">
        <f>IF(I89=20,G89*H89*J89,"")</f>
        <v/>
      </c>
      <c r="R89" s="5">
        <f>IF(I89=25,G89*H89*J89,"")</f>
        <v/>
      </c>
      <c r="S89" s="5">
        <f>IF(I89=32,G89*H89*J89,"")</f>
        <v/>
      </c>
    </row>
    <row r="90">
      <c r="A90" s="5" t="inlineStr">
        <is>
          <t>S3</t>
        </is>
      </c>
      <c r="B90" s="5" t="inlineStr">
        <is>
          <t>A</t>
        </is>
      </c>
      <c r="C90" s="5" t="inlineStr">
        <is>
          <t>7</t>
        </is>
      </c>
      <c r="D90" s="5" t="n">
        <v>1.2</v>
      </c>
      <c r="E90" s="5" t="n">
        <v>1.2</v>
      </c>
      <c r="F90" s="5" t="n">
        <v>0.3</v>
      </c>
    </row>
    <row r="91">
      <c r="A91" s="5" t="inlineStr">
        <is>
          <t>Armature INF X</t>
        </is>
      </c>
      <c r="G91" s="5" t="n">
        <v>1</v>
      </c>
      <c r="H91" s="5" t="n">
        <v>8</v>
      </c>
      <c r="I91" s="5" t="n">
        <v>12</v>
      </c>
      <c r="J91" s="5">
        <f>(1.2-0.05)+34*I91/1000</f>
        <v/>
      </c>
      <c r="K91" s="5">
        <f>IF(I91=6,G91*H91*J91,"")</f>
        <v/>
      </c>
      <c r="L91" s="5">
        <f>IF(I91=8,G91*H91*J91,"")</f>
        <v/>
      </c>
      <c r="M91" s="5">
        <f>IF(I91=10,G91*H91*J91,"")</f>
        <v/>
      </c>
      <c r="N91" s="5">
        <f>IF(I91=12,G91*H91*J91,"")</f>
        <v/>
      </c>
      <c r="O91" s="5">
        <f>IF(I91=14,G91*H91*J91,"")</f>
        <v/>
      </c>
      <c r="P91" s="5">
        <f>IF(I91=16,G91*H91*J91,"")</f>
        <v/>
      </c>
      <c r="Q91" s="5">
        <f>IF(I91=20,G91*H91*J91,"")</f>
        <v/>
      </c>
      <c r="R91" s="5">
        <f>IF(I91=25,G91*H91*J91,"")</f>
        <v/>
      </c>
      <c r="S91" s="5">
        <f>IF(I91=32,G91*H91*J91,"")</f>
        <v/>
      </c>
    </row>
    <row r="92">
      <c r="A92" s="5" t="inlineStr">
        <is>
          <t>Armature INF Y</t>
        </is>
      </c>
      <c r="G92" s="5" t="n">
        <v>1</v>
      </c>
      <c r="H92" s="5" t="n">
        <v>8</v>
      </c>
      <c r="I92" s="5" t="n">
        <v>12</v>
      </c>
      <c r="J92" s="5">
        <f>(1.2-0.05)+34*I92/1000</f>
        <v/>
      </c>
      <c r="K92" s="5">
        <f>IF(I92=6,G92*H92*J92,"")</f>
        <v/>
      </c>
      <c r="L92" s="5">
        <f>IF(I92=8,G92*H92*J92,"")</f>
        <v/>
      </c>
      <c r="M92" s="5">
        <f>IF(I92=10,G92*H92*J92,"")</f>
        <v/>
      </c>
      <c r="N92" s="5">
        <f>IF(I92=12,G92*H92*J92,"")</f>
        <v/>
      </c>
      <c r="O92" s="5">
        <f>IF(I92=14,G92*H92*J92,"")</f>
        <v/>
      </c>
      <c r="P92" s="5">
        <f>IF(I92=16,G92*H92*J92,"")</f>
        <v/>
      </c>
      <c r="Q92" s="5">
        <f>IF(I92=20,G92*H92*J92,"")</f>
        <v/>
      </c>
      <c r="R92" s="5">
        <f>IF(I92=25,G92*H92*J92,"")</f>
        <v/>
      </c>
      <c r="S92" s="5">
        <f>IF(I92=32,G92*H92*J92,"")</f>
        <v/>
      </c>
    </row>
    <row r="93">
      <c r="A93" s="5" t="inlineStr">
        <is>
          <t>S3</t>
        </is>
      </c>
      <c r="B93" s="5" t="inlineStr">
        <is>
          <t>A</t>
        </is>
      </c>
      <c r="C93" s="5" t="inlineStr">
        <is>
          <t>8</t>
        </is>
      </c>
      <c r="D93" s="5" t="n">
        <v>1.2</v>
      </c>
      <c r="E93" s="5" t="n">
        <v>1.2</v>
      </c>
      <c r="F93" s="5" t="n">
        <v>0.3</v>
      </c>
    </row>
    <row r="94">
      <c r="A94" s="5" t="inlineStr">
        <is>
          <t>Armature INF X</t>
        </is>
      </c>
      <c r="G94" s="5" t="n">
        <v>1</v>
      </c>
      <c r="H94" s="5" t="n">
        <v>8</v>
      </c>
      <c r="I94" s="5" t="n">
        <v>12</v>
      </c>
      <c r="J94" s="5">
        <f>(1.2-0.05)+34*I94/1000</f>
        <v/>
      </c>
      <c r="K94" s="5">
        <f>IF(I94=6,G94*H94*J94,"")</f>
        <v/>
      </c>
      <c r="L94" s="5">
        <f>IF(I94=8,G94*H94*J94,"")</f>
        <v/>
      </c>
      <c r="M94" s="5">
        <f>IF(I94=10,G94*H94*J94,"")</f>
        <v/>
      </c>
      <c r="N94" s="5">
        <f>IF(I94=12,G94*H94*J94,"")</f>
        <v/>
      </c>
      <c r="O94" s="5">
        <f>IF(I94=14,G94*H94*J94,"")</f>
        <v/>
      </c>
      <c r="P94" s="5">
        <f>IF(I94=16,G94*H94*J94,"")</f>
        <v/>
      </c>
      <c r="Q94" s="5">
        <f>IF(I94=20,G94*H94*J94,"")</f>
        <v/>
      </c>
      <c r="R94" s="5">
        <f>IF(I94=25,G94*H94*J94,"")</f>
        <v/>
      </c>
      <c r="S94" s="5">
        <f>IF(I94=32,G94*H94*J94,"")</f>
        <v/>
      </c>
    </row>
    <row r="95">
      <c r="A95" s="5" t="inlineStr">
        <is>
          <t>Armature INF Y</t>
        </is>
      </c>
      <c r="G95" s="5" t="n">
        <v>1</v>
      </c>
      <c r="H95" s="5" t="n">
        <v>8</v>
      </c>
      <c r="I95" s="5" t="n">
        <v>12</v>
      </c>
      <c r="J95" s="5">
        <f>(1.2-0.05)+34*I95/1000</f>
        <v/>
      </c>
      <c r="K95" s="5">
        <f>IF(I95=6,G95*H95*J95,"")</f>
        <v/>
      </c>
      <c r="L95" s="5">
        <f>IF(I95=8,G95*H95*J95,"")</f>
        <v/>
      </c>
      <c r="M95" s="5">
        <f>IF(I95=10,G95*H95*J95,"")</f>
        <v/>
      </c>
      <c r="N95" s="5">
        <f>IF(I95=12,G95*H95*J95,"")</f>
        <v/>
      </c>
      <c r="O95" s="5">
        <f>IF(I95=14,G95*H95*J95,"")</f>
        <v/>
      </c>
      <c r="P95" s="5">
        <f>IF(I95=16,G95*H95*J95,"")</f>
        <v/>
      </c>
      <c r="Q95" s="5">
        <f>IF(I95=20,G95*H95*J95,"")</f>
        <v/>
      </c>
      <c r="R95" s="5">
        <f>IF(I95=25,G95*H95*J95,"")</f>
        <v/>
      </c>
      <c r="S95" s="5">
        <f>IF(I95=32,G95*H95*J95,"")</f>
        <v/>
      </c>
    </row>
    <row r="96">
      <c r="A96" s="5" t="inlineStr">
        <is>
          <t>S5</t>
        </is>
      </c>
      <c r="B96" s="5" t="inlineStr">
        <is>
          <t>B</t>
        </is>
      </c>
      <c r="C96" s="5" t="inlineStr">
        <is>
          <t>5</t>
        </is>
      </c>
      <c r="D96" s="5" t="n">
        <v>1.5</v>
      </c>
      <c r="E96" s="5" t="n">
        <v>1.5</v>
      </c>
      <c r="F96" s="5" t="n">
        <v>0.4</v>
      </c>
    </row>
    <row r="97">
      <c r="A97" s="5" t="inlineStr">
        <is>
          <t>Armature INF X</t>
        </is>
      </c>
      <c r="G97" s="5" t="n">
        <v>1</v>
      </c>
      <c r="H97" s="5" t="n">
        <v>11</v>
      </c>
      <c r="I97" s="5" t="n">
        <v>12</v>
      </c>
      <c r="J97" s="5">
        <f>(1.5-0.05)+34*I97/1000</f>
        <v/>
      </c>
      <c r="K97" s="5">
        <f>IF(I97=6,G97*H97*J97,"")</f>
        <v/>
      </c>
      <c r="L97" s="5">
        <f>IF(I97=8,G97*H97*J97,"")</f>
        <v/>
      </c>
      <c r="M97" s="5">
        <f>IF(I97=10,G97*H97*J97,"")</f>
        <v/>
      </c>
      <c r="N97" s="5">
        <f>IF(I97=12,G97*H97*J97,"")</f>
        <v/>
      </c>
      <c r="O97" s="5">
        <f>IF(I97=14,G97*H97*J97,"")</f>
        <v/>
      </c>
      <c r="P97" s="5">
        <f>IF(I97=16,G97*H97*J97,"")</f>
        <v/>
      </c>
      <c r="Q97" s="5">
        <f>IF(I97=20,G97*H97*J97,"")</f>
        <v/>
      </c>
      <c r="R97" s="5">
        <f>IF(I97=25,G97*H97*J97,"")</f>
        <v/>
      </c>
      <c r="S97" s="5">
        <f>IF(I97=32,G97*H97*J97,"")</f>
        <v/>
      </c>
    </row>
    <row r="98">
      <c r="A98" s="5" t="inlineStr">
        <is>
          <t>Armature INF Y</t>
        </is>
      </c>
      <c r="G98" s="5" t="n">
        <v>1</v>
      </c>
      <c r="H98" s="5" t="n">
        <v>11</v>
      </c>
      <c r="I98" s="5" t="n">
        <v>12</v>
      </c>
      <c r="J98" s="5">
        <f>(1.5-0.05)+34*I98/1000</f>
        <v/>
      </c>
      <c r="K98" s="5">
        <f>IF(I98=6,G98*H98*J98,"")</f>
        <v/>
      </c>
      <c r="L98" s="5">
        <f>IF(I98=8,G98*H98*J98,"")</f>
        <v/>
      </c>
      <c r="M98" s="5">
        <f>IF(I98=10,G98*H98*J98,"")</f>
        <v/>
      </c>
      <c r="N98" s="5">
        <f>IF(I98=12,G98*H98*J98,"")</f>
        <v/>
      </c>
      <c r="O98" s="5">
        <f>IF(I98=14,G98*H98*J98,"")</f>
        <v/>
      </c>
      <c r="P98" s="5">
        <f>IF(I98=16,G98*H98*J98,"")</f>
        <v/>
      </c>
      <c r="Q98" s="5">
        <f>IF(I98=20,G98*H98*J98,"")</f>
        <v/>
      </c>
      <c r="R98" s="5">
        <f>IF(I98=25,G98*H98*J98,"")</f>
        <v/>
      </c>
      <c r="S98" s="5">
        <f>IF(I98=32,G98*H98*J98,"")</f>
        <v/>
      </c>
    </row>
    <row r="99">
      <c r="A99" s="5" t="inlineStr">
        <is>
          <t>S4</t>
        </is>
      </c>
      <c r="B99" s="5" t="inlineStr">
        <is>
          <t>C</t>
        </is>
      </c>
      <c r="C99" s="5" t="inlineStr">
        <is>
          <t>6</t>
        </is>
      </c>
      <c r="D99" s="5" t="n">
        <v>1.5</v>
      </c>
      <c r="E99" s="5" t="n">
        <v>1.5</v>
      </c>
      <c r="F99" s="5" t="n">
        <v>0.4</v>
      </c>
    </row>
    <row r="100">
      <c r="A100" s="5" t="inlineStr">
        <is>
          <t>Armature INF X</t>
        </is>
      </c>
      <c r="G100" s="5" t="n">
        <v>1</v>
      </c>
      <c r="H100" s="5" t="n">
        <v>11</v>
      </c>
      <c r="I100" s="5" t="n">
        <v>12</v>
      </c>
      <c r="J100" s="5">
        <f>(1.5-0.05)+34*I100/1000</f>
        <v/>
      </c>
      <c r="K100" s="5">
        <f>IF(I100=6,G100*H100*J100,"")</f>
        <v/>
      </c>
      <c r="L100" s="5">
        <f>IF(I100=8,G100*H100*J100,"")</f>
        <v/>
      </c>
      <c r="M100" s="5">
        <f>IF(I100=10,G100*H100*J100,"")</f>
        <v/>
      </c>
      <c r="N100" s="5">
        <f>IF(I100=12,G100*H100*J100,"")</f>
        <v/>
      </c>
      <c r="O100" s="5">
        <f>IF(I100=14,G100*H100*J100,"")</f>
        <v/>
      </c>
      <c r="P100" s="5">
        <f>IF(I100=16,G100*H100*J100,"")</f>
        <v/>
      </c>
      <c r="Q100" s="5">
        <f>IF(I100=20,G100*H100*J100,"")</f>
        <v/>
      </c>
      <c r="R100" s="5">
        <f>IF(I100=25,G100*H100*J100,"")</f>
        <v/>
      </c>
      <c r="S100" s="5">
        <f>IF(I100=32,G100*H100*J100,"")</f>
        <v/>
      </c>
    </row>
    <row r="101">
      <c r="A101" s="5" t="inlineStr">
        <is>
          <t>Armature INF Y</t>
        </is>
      </c>
      <c r="G101" s="5" t="n">
        <v>1</v>
      </c>
      <c r="H101" s="5" t="n">
        <v>11</v>
      </c>
      <c r="I101" s="5" t="n">
        <v>12</v>
      </c>
      <c r="J101" s="5">
        <f>(1.5-0.05)+34*I101/1000</f>
        <v/>
      </c>
      <c r="K101" s="5">
        <f>IF(I101=6,G101*H101*J101,"")</f>
        <v/>
      </c>
      <c r="L101" s="5">
        <f>IF(I101=8,G101*H101*J101,"")</f>
        <v/>
      </c>
      <c r="M101" s="5">
        <f>IF(I101=10,G101*H101*J101,"")</f>
        <v/>
      </c>
      <c r="N101" s="5">
        <f>IF(I101=12,G101*H101*J101,"")</f>
        <v/>
      </c>
      <c r="O101" s="5">
        <f>IF(I101=14,G101*H101*J101,"")</f>
        <v/>
      </c>
      <c r="P101" s="5">
        <f>IF(I101=16,G101*H101*J101,"")</f>
        <v/>
      </c>
      <c r="Q101" s="5">
        <f>IF(I101=20,G101*H101*J101,"")</f>
        <v/>
      </c>
      <c r="R101" s="5">
        <f>IF(I101=25,G101*H101*J101,"")</f>
        <v/>
      </c>
      <c r="S101" s="5">
        <f>IF(I101=32,G101*H101*J101,"")</f>
        <v/>
      </c>
    </row>
    <row r="102">
      <c r="A102" s="5" t="inlineStr">
        <is>
          <t>S4</t>
        </is>
      </c>
      <c r="B102" s="5" t="inlineStr">
        <is>
          <t>C</t>
        </is>
      </c>
      <c r="C102" s="5" t="inlineStr">
        <is>
          <t>7</t>
        </is>
      </c>
      <c r="D102" s="5" t="n">
        <v>1.5</v>
      </c>
      <c r="E102" s="5" t="n">
        <v>1.5</v>
      </c>
      <c r="F102" s="5" t="n">
        <v>0.4</v>
      </c>
    </row>
    <row r="103">
      <c r="A103" s="5" t="inlineStr">
        <is>
          <t>Armature INF X</t>
        </is>
      </c>
      <c r="G103" s="5" t="n">
        <v>1</v>
      </c>
      <c r="H103" s="5" t="n">
        <v>11</v>
      </c>
      <c r="I103" s="5" t="n">
        <v>12</v>
      </c>
      <c r="J103" s="5">
        <f>(1.5-0.05)+34*I103/1000</f>
        <v/>
      </c>
      <c r="K103" s="5">
        <f>IF(I103=6,G103*H103*J103,"")</f>
        <v/>
      </c>
      <c r="L103" s="5">
        <f>IF(I103=8,G103*H103*J103,"")</f>
        <v/>
      </c>
      <c r="M103" s="5">
        <f>IF(I103=10,G103*H103*J103,"")</f>
        <v/>
      </c>
      <c r="N103" s="5">
        <f>IF(I103=12,G103*H103*J103,"")</f>
        <v/>
      </c>
      <c r="O103" s="5">
        <f>IF(I103=14,G103*H103*J103,"")</f>
        <v/>
      </c>
      <c r="P103" s="5">
        <f>IF(I103=16,G103*H103*J103,"")</f>
        <v/>
      </c>
      <c r="Q103" s="5">
        <f>IF(I103=20,G103*H103*J103,"")</f>
        <v/>
      </c>
      <c r="R103" s="5">
        <f>IF(I103=25,G103*H103*J103,"")</f>
        <v/>
      </c>
      <c r="S103" s="5">
        <f>IF(I103=32,G103*H103*J103,"")</f>
        <v/>
      </c>
    </row>
    <row r="104">
      <c r="A104" s="5" t="inlineStr">
        <is>
          <t>Armature INF Y</t>
        </is>
      </c>
      <c r="G104" s="5" t="n">
        <v>1</v>
      </c>
      <c r="H104" s="5" t="n">
        <v>11</v>
      </c>
      <c r="I104" s="5" t="n">
        <v>12</v>
      </c>
      <c r="J104" s="5">
        <f>(1.5-0.05)+34*I104/1000</f>
        <v/>
      </c>
      <c r="K104" s="5">
        <f>IF(I104=6,G104*H104*J104,"")</f>
        <v/>
      </c>
      <c r="L104" s="5">
        <f>IF(I104=8,G104*H104*J104,"")</f>
        <v/>
      </c>
      <c r="M104" s="5">
        <f>IF(I104=10,G104*H104*J104,"")</f>
        <v/>
      </c>
      <c r="N104" s="5">
        <f>IF(I104=12,G104*H104*J104,"")</f>
        <v/>
      </c>
      <c r="O104" s="5">
        <f>IF(I104=14,G104*H104*J104,"")</f>
        <v/>
      </c>
      <c r="P104" s="5">
        <f>IF(I104=16,G104*H104*J104,"")</f>
        <v/>
      </c>
      <c r="Q104" s="5">
        <f>IF(I104=20,G104*H104*J104,"")</f>
        <v/>
      </c>
      <c r="R104" s="5">
        <f>IF(I104=25,G104*H104*J104,"")</f>
        <v/>
      </c>
      <c r="S104" s="5">
        <f>IF(I104=32,G104*H104*J104,"")</f>
        <v/>
      </c>
    </row>
    <row r="105">
      <c r="A105" s="5" t="inlineStr">
        <is>
          <t>S3</t>
        </is>
      </c>
      <c r="B105" s="5" t="inlineStr">
        <is>
          <t>C</t>
        </is>
      </c>
      <c r="C105" s="5" t="inlineStr">
        <is>
          <t>8</t>
        </is>
      </c>
      <c r="D105" s="5" t="n">
        <v>1.2</v>
      </c>
      <c r="E105" s="5" t="n">
        <v>1.2</v>
      </c>
      <c r="F105" s="5" t="n">
        <v>0.3</v>
      </c>
    </row>
    <row r="106">
      <c r="A106" s="5" t="inlineStr">
        <is>
          <t>Armature INF X</t>
        </is>
      </c>
      <c r="G106" s="5" t="n">
        <v>1</v>
      </c>
      <c r="H106" s="5" t="n">
        <v>8</v>
      </c>
      <c r="I106" s="5" t="n">
        <v>12</v>
      </c>
      <c r="J106" s="5">
        <f>(1.2-0.05)+34*I106/1000</f>
        <v/>
      </c>
      <c r="K106" s="5">
        <f>IF(I106=6,G106*H106*J106,"")</f>
        <v/>
      </c>
      <c r="L106" s="5">
        <f>IF(I106=8,G106*H106*J106,"")</f>
        <v/>
      </c>
      <c r="M106" s="5">
        <f>IF(I106=10,G106*H106*J106,"")</f>
        <v/>
      </c>
      <c r="N106" s="5">
        <f>IF(I106=12,G106*H106*J106,"")</f>
        <v/>
      </c>
      <c r="O106" s="5">
        <f>IF(I106=14,G106*H106*J106,"")</f>
        <v/>
      </c>
      <c r="P106" s="5">
        <f>IF(I106=16,G106*H106*J106,"")</f>
        <v/>
      </c>
      <c r="Q106" s="5">
        <f>IF(I106=20,G106*H106*J106,"")</f>
        <v/>
      </c>
      <c r="R106" s="5">
        <f>IF(I106=25,G106*H106*J106,"")</f>
        <v/>
      </c>
      <c r="S106" s="5">
        <f>IF(I106=32,G106*H106*J106,"")</f>
        <v/>
      </c>
    </row>
    <row r="107">
      <c r="A107" s="5" t="inlineStr">
        <is>
          <t>Armature INF Y</t>
        </is>
      </c>
      <c r="G107" s="5" t="n">
        <v>1</v>
      </c>
      <c r="H107" s="5" t="n">
        <v>8</v>
      </c>
      <c r="I107" s="5" t="n">
        <v>12</v>
      </c>
      <c r="J107" s="5">
        <f>(1.2-0.05)+34*I107/1000</f>
        <v/>
      </c>
      <c r="K107" s="5">
        <f>IF(I107=6,G107*H107*J107,"")</f>
        <v/>
      </c>
      <c r="L107" s="5">
        <f>IF(I107=8,G107*H107*J107,"")</f>
        <v/>
      </c>
      <c r="M107" s="5">
        <f>IF(I107=10,G107*H107*J107,"")</f>
        <v/>
      </c>
      <c r="N107" s="5">
        <f>IF(I107=12,G107*H107*J107,"")</f>
        <v/>
      </c>
      <c r="O107" s="5">
        <f>IF(I107=14,G107*H107*J107,"")</f>
        <v/>
      </c>
      <c r="P107" s="5">
        <f>IF(I107=16,G107*H107*J107,"")</f>
        <v/>
      </c>
      <c r="Q107" s="5">
        <f>IF(I107=20,G107*H107*J107,"")</f>
        <v/>
      </c>
      <c r="R107" s="5">
        <f>IF(I107=25,G107*H107*J107,"")</f>
        <v/>
      </c>
      <c r="S107" s="5">
        <f>IF(I107=32,G107*H107*J107,"")</f>
        <v/>
      </c>
    </row>
    <row r="108">
      <c r="A108" s="5" t="inlineStr">
        <is>
          <t>S4</t>
        </is>
      </c>
      <c r="B108" s="5" t="inlineStr">
        <is>
          <t>D</t>
        </is>
      </c>
      <c r="C108" s="5" t="inlineStr">
        <is>
          <t>1</t>
        </is>
      </c>
      <c r="D108" s="5" t="n">
        <v>1.5</v>
      </c>
      <c r="E108" s="5" t="n">
        <v>1.5</v>
      </c>
      <c r="F108" s="5" t="n">
        <v>0.4</v>
      </c>
    </row>
    <row r="109">
      <c r="A109" s="5" t="inlineStr">
        <is>
          <t>Armature INF X</t>
        </is>
      </c>
      <c r="G109" s="5" t="n">
        <v>1</v>
      </c>
      <c r="H109" s="5" t="n">
        <v>11</v>
      </c>
      <c r="I109" s="5" t="n">
        <v>12</v>
      </c>
      <c r="J109" s="5">
        <f>(1.5-0.05)+34*I109/1000</f>
        <v/>
      </c>
      <c r="K109" s="5">
        <f>IF(I109=6,G109*H109*J109,"")</f>
        <v/>
      </c>
      <c r="L109" s="5">
        <f>IF(I109=8,G109*H109*J109,"")</f>
        <v/>
      </c>
      <c r="M109" s="5">
        <f>IF(I109=10,G109*H109*J109,"")</f>
        <v/>
      </c>
      <c r="N109" s="5">
        <f>IF(I109=12,G109*H109*J109,"")</f>
        <v/>
      </c>
      <c r="O109" s="5">
        <f>IF(I109=14,G109*H109*J109,"")</f>
        <v/>
      </c>
      <c r="P109" s="5">
        <f>IF(I109=16,G109*H109*J109,"")</f>
        <v/>
      </c>
      <c r="Q109" s="5">
        <f>IF(I109=20,G109*H109*J109,"")</f>
        <v/>
      </c>
      <c r="R109" s="5">
        <f>IF(I109=25,G109*H109*J109,"")</f>
        <v/>
      </c>
      <c r="S109" s="5">
        <f>IF(I109=32,G109*H109*J109,"")</f>
        <v/>
      </c>
    </row>
    <row r="110">
      <c r="A110" s="5" t="inlineStr">
        <is>
          <t>Armature INF Y</t>
        </is>
      </c>
      <c r="G110" s="5" t="n">
        <v>1</v>
      </c>
      <c r="H110" s="5" t="n">
        <v>11</v>
      </c>
      <c r="I110" s="5" t="n">
        <v>12</v>
      </c>
      <c r="J110" s="5">
        <f>(1.5-0.05)+34*I110/1000</f>
        <v/>
      </c>
      <c r="K110" s="5">
        <f>IF(I110=6,G110*H110*J110,"")</f>
        <v/>
      </c>
      <c r="L110" s="5">
        <f>IF(I110=8,G110*H110*J110,"")</f>
        <v/>
      </c>
      <c r="M110" s="5">
        <f>IF(I110=10,G110*H110*J110,"")</f>
        <v/>
      </c>
      <c r="N110" s="5">
        <f>IF(I110=12,G110*H110*J110,"")</f>
        <v/>
      </c>
      <c r="O110" s="5">
        <f>IF(I110=14,G110*H110*J110,"")</f>
        <v/>
      </c>
      <c r="P110" s="5">
        <f>IF(I110=16,G110*H110*J110,"")</f>
        <v/>
      </c>
      <c r="Q110" s="5">
        <f>IF(I110=20,G110*H110*J110,"")</f>
        <v/>
      </c>
      <c r="R110" s="5">
        <f>IF(I110=25,G110*H110*J110,"")</f>
        <v/>
      </c>
      <c r="S110" s="5">
        <f>IF(I110=32,G110*H110*J110,"")</f>
        <v/>
      </c>
    </row>
    <row r="111">
      <c r="A111" s="5" t="inlineStr">
        <is>
          <t>S4</t>
        </is>
      </c>
      <c r="B111" s="5" t="inlineStr">
        <is>
          <t>E</t>
        </is>
      </c>
      <c r="C111" s="5" t="inlineStr">
        <is>
          <t>6</t>
        </is>
      </c>
      <c r="D111" s="5" t="n">
        <v>1.5</v>
      </c>
      <c r="E111" s="5" t="n">
        <v>1.5</v>
      </c>
      <c r="F111" s="5" t="n">
        <v>0.4</v>
      </c>
    </row>
    <row r="112">
      <c r="A112" s="5" t="inlineStr">
        <is>
          <t>Armature INF X</t>
        </is>
      </c>
      <c r="G112" s="5" t="n">
        <v>1</v>
      </c>
      <c r="H112" s="5" t="n">
        <v>11</v>
      </c>
      <c r="I112" s="5" t="n">
        <v>12</v>
      </c>
      <c r="J112" s="5">
        <f>(1.5-0.05)+34*I112/1000</f>
        <v/>
      </c>
      <c r="K112" s="5">
        <f>IF(I112=6,G112*H112*J112,"")</f>
        <v/>
      </c>
      <c r="L112" s="5">
        <f>IF(I112=8,G112*H112*J112,"")</f>
        <v/>
      </c>
      <c r="M112" s="5">
        <f>IF(I112=10,G112*H112*J112,"")</f>
        <v/>
      </c>
      <c r="N112" s="5">
        <f>IF(I112=12,G112*H112*J112,"")</f>
        <v/>
      </c>
      <c r="O112" s="5">
        <f>IF(I112=14,G112*H112*J112,"")</f>
        <v/>
      </c>
      <c r="P112" s="5">
        <f>IF(I112=16,G112*H112*J112,"")</f>
        <v/>
      </c>
      <c r="Q112" s="5">
        <f>IF(I112=20,G112*H112*J112,"")</f>
        <v/>
      </c>
      <c r="R112" s="5">
        <f>IF(I112=25,G112*H112*J112,"")</f>
        <v/>
      </c>
      <c r="S112" s="5">
        <f>IF(I112=32,G112*H112*J112,"")</f>
        <v/>
      </c>
    </row>
    <row r="113">
      <c r="A113" s="5" t="inlineStr">
        <is>
          <t>Armature INF Y</t>
        </is>
      </c>
      <c r="G113" s="5" t="n">
        <v>1</v>
      </c>
      <c r="H113" s="5" t="n">
        <v>11</v>
      </c>
      <c r="I113" s="5" t="n">
        <v>12</v>
      </c>
      <c r="J113" s="5">
        <f>(1.5-0.05)+34*I113/1000</f>
        <v/>
      </c>
      <c r="K113" s="5">
        <f>IF(I113=6,G113*H113*J113,"")</f>
        <v/>
      </c>
      <c r="L113" s="5">
        <f>IF(I113=8,G113*H113*J113,"")</f>
        <v/>
      </c>
      <c r="M113" s="5">
        <f>IF(I113=10,G113*H113*J113,"")</f>
        <v/>
      </c>
      <c r="N113" s="5">
        <f>IF(I113=12,G113*H113*J113,"")</f>
        <v/>
      </c>
      <c r="O113" s="5">
        <f>IF(I113=14,G113*H113*J113,"")</f>
        <v/>
      </c>
      <c r="P113" s="5">
        <f>IF(I113=16,G113*H113*J113,"")</f>
        <v/>
      </c>
      <c r="Q113" s="5">
        <f>IF(I113=20,G113*H113*J113,"")</f>
        <v/>
      </c>
      <c r="R113" s="5">
        <f>IF(I113=25,G113*H113*J113,"")</f>
        <v/>
      </c>
      <c r="S113" s="5">
        <f>IF(I113=32,G113*H113*J113,"")</f>
        <v/>
      </c>
    </row>
    <row r="114">
      <c r="A114" s="5" t="inlineStr">
        <is>
          <t>S4</t>
        </is>
      </c>
      <c r="B114" s="5" t="inlineStr">
        <is>
          <t>E</t>
        </is>
      </c>
      <c r="C114" s="5" t="inlineStr">
        <is>
          <t>7</t>
        </is>
      </c>
      <c r="D114" s="5" t="n">
        <v>1.5</v>
      </c>
      <c r="E114" s="5" t="n">
        <v>1.5</v>
      </c>
      <c r="F114" s="5" t="n">
        <v>0.4</v>
      </c>
    </row>
    <row r="115">
      <c r="A115" s="5" t="inlineStr">
        <is>
          <t>Armature INF X</t>
        </is>
      </c>
      <c r="G115" s="5" t="n">
        <v>1</v>
      </c>
      <c r="H115" s="5" t="n">
        <v>11</v>
      </c>
      <c r="I115" s="5" t="n">
        <v>12</v>
      </c>
      <c r="J115" s="5">
        <f>(1.5-0.05)+34*I115/1000</f>
        <v/>
      </c>
      <c r="K115" s="5">
        <f>IF(I115=6,G115*H115*J115,"")</f>
        <v/>
      </c>
      <c r="L115" s="5">
        <f>IF(I115=8,G115*H115*J115,"")</f>
        <v/>
      </c>
      <c r="M115" s="5">
        <f>IF(I115=10,G115*H115*J115,"")</f>
        <v/>
      </c>
      <c r="N115" s="5">
        <f>IF(I115=12,G115*H115*J115,"")</f>
        <v/>
      </c>
      <c r="O115" s="5">
        <f>IF(I115=14,G115*H115*J115,"")</f>
        <v/>
      </c>
      <c r="P115" s="5">
        <f>IF(I115=16,G115*H115*J115,"")</f>
        <v/>
      </c>
      <c r="Q115" s="5">
        <f>IF(I115=20,G115*H115*J115,"")</f>
        <v/>
      </c>
      <c r="R115" s="5">
        <f>IF(I115=25,G115*H115*J115,"")</f>
        <v/>
      </c>
      <c r="S115" s="5">
        <f>IF(I115=32,G115*H115*J115,"")</f>
        <v/>
      </c>
    </row>
    <row r="116">
      <c r="A116" s="5" t="inlineStr">
        <is>
          <t>Armature INF Y</t>
        </is>
      </c>
      <c r="G116" s="5" t="n">
        <v>1</v>
      </c>
      <c r="H116" s="5" t="n">
        <v>11</v>
      </c>
      <c r="I116" s="5" t="n">
        <v>12</v>
      </c>
      <c r="J116" s="5">
        <f>(1.5-0.05)+34*I116/1000</f>
        <v/>
      </c>
      <c r="K116" s="5">
        <f>IF(I116=6,G116*H116*J116,"")</f>
        <v/>
      </c>
      <c r="L116" s="5">
        <f>IF(I116=8,G116*H116*J116,"")</f>
        <v/>
      </c>
      <c r="M116" s="5">
        <f>IF(I116=10,G116*H116*J116,"")</f>
        <v/>
      </c>
      <c r="N116" s="5">
        <f>IF(I116=12,G116*H116*J116,"")</f>
        <v/>
      </c>
      <c r="O116" s="5">
        <f>IF(I116=14,G116*H116*J116,"")</f>
        <v/>
      </c>
      <c r="P116" s="5">
        <f>IF(I116=16,G116*H116*J116,"")</f>
        <v/>
      </c>
      <c r="Q116" s="5">
        <f>IF(I116=20,G116*H116*J116,"")</f>
        <v/>
      </c>
      <c r="R116" s="5">
        <f>IF(I116=25,G116*H116*J116,"")</f>
        <v/>
      </c>
      <c r="S116" s="5">
        <f>IF(I116=32,G116*H116*J116,"")</f>
        <v/>
      </c>
    </row>
    <row r="117">
      <c r="A117" s="5" t="inlineStr">
        <is>
          <t>S3</t>
        </is>
      </c>
      <c r="B117" s="5" t="inlineStr">
        <is>
          <t>E</t>
        </is>
      </c>
      <c r="C117" s="5" t="inlineStr">
        <is>
          <t>8</t>
        </is>
      </c>
      <c r="D117" s="5" t="n">
        <v>1.2</v>
      </c>
      <c r="E117" s="5" t="n">
        <v>1.2</v>
      </c>
      <c r="F117" s="5" t="n">
        <v>0.3</v>
      </c>
    </row>
    <row r="118">
      <c r="A118" s="5" t="inlineStr">
        <is>
          <t>Armature INF X</t>
        </is>
      </c>
      <c r="G118" s="5" t="n">
        <v>1</v>
      </c>
      <c r="H118" s="5" t="n">
        <v>8</v>
      </c>
      <c r="I118" s="5" t="n">
        <v>12</v>
      </c>
      <c r="J118" s="5">
        <f>(1.2-0.05)+34*I118/1000</f>
        <v/>
      </c>
      <c r="K118" s="5">
        <f>IF(I118=6,G118*H118*J118,"")</f>
        <v/>
      </c>
      <c r="L118" s="5">
        <f>IF(I118=8,G118*H118*J118,"")</f>
        <v/>
      </c>
      <c r="M118" s="5">
        <f>IF(I118=10,G118*H118*J118,"")</f>
        <v/>
      </c>
      <c r="N118" s="5">
        <f>IF(I118=12,G118*H118*J118,"")</f>
        <v/>
      </c>
      <c r="O118" s="5">
        <f>IF(I118=14,G118*H118*J118,"")</f>
        <v/>
      </c>
      <c r="P118" s="5">
        <f>IF(I118=16,G118*H118*J118,"")</f>
        <v/>
      </c>
      <c r="Q118" s="5">
        <f>IF(I118=20,G118*H118*J118,"")</f>
        <v/>
      </c>
      <c r="R118" s="5">
        <f>IF(I118=25,G118*H118*J118,"")</f>
        <v/>
      </c>
      <c r="S118" s="5">
        <f>IF(I118=32,G118*H118*J118,"")</f>
        <v/>
      </c>
    </row>
    <row r="119">
      <c r="A119" s="5" t="inlineStr">
        <is>
          <t>Armature INF Y</t>
        </is>
      </c>
      <c r="G119" s="5" t="n">
        <v>1</v>
      </c>
      <c r="H119" s="5" t="n">
        <v>8</v>
      </c>
      <c r="I119" s="5" t="n">
        <v>12</v>
      </c>
      <c r="J119" s="5">
        <f>(1.2-0.05)+34*I119/1000</f>
        <v/>
      </c>
      <c r="K119" s="5">
        <f>IF(I119=6,G119*H119*J119,"")</f>
        <v/>
      </c>
      <c r="L119" s="5">
        <f>IF(I119=8,G119*H119*J119,"")</f>
        <v/>
      </c>
      <c r="M119" s="5">
        <f>IF(I119=10,G119*H119*J119,"")</f>
        <v/>
      </c>
      <c r="N119" s="5">
        <f>IF(I119=12,G119*H119*J119,"")</f>
        <v/>
      </c>
      <c r="O119" s="5">
        <f>IF(I119=14,G119*H119*J119,"")</f>
        <v/>
      </c>
      <c r="P119" s="5">
        <f>IF(I119=16,G119*H119*J119,"")</f>
        <v/>
      </c>
      <c r="Q119" s="5">
        <f>IF(I119=20,G119*H119*J119,"")</f>
        <v/>
      </c>
      <c r="R119" s="5">
        <f>IF(I119=25,G119*H119*J119,"")</f>
        <v/>
      </c>
      <c r="S119" s="5">
        <f>IF(I119=32,G119*H119*J119,"")</f>
        <v/>
      </c>
    </row>
    <row r="120">
      <c r="A120" s="5" t="inlineStr">
        <is>
          <t>S5</t>
        </is>
      </c>
      <c r="B120" s="5" t="inlineStr">
        <is>
          <t>F</t>
        </is>
      </c>
      <c r="C120" s="5" t="inlineStr">
        <is>
          <t>5</t>
        </is>
      </c>
      <c r="D120" s="5" t="n">
        <v>1.5</v>
      </c>
      <c r="E120" s="5" t="n">
        <v>1.5</v>
      </c>
      <c r="F120" s="5" t="n">
        <v>0.4</v>
      </c>
    </row>
    <row r="121">
      <c r="A121" s="5" t="inlineStr">
        <is>
          <t>Armature INF X</t>
        </is>
      </c>
      <c r="G121" s="5" t="n">
        <v>1</v>
      </c>
      <c r="H121" s="5" t="n">
        <v>11</v>
      </c>
      <c r="I121" s="5" t="n">
        <v>12</v>
      </c>
      <c r="J121" s="5">
        <f>(1.5-0.05)+34*I121/1000</f>
        <v/>
      </c>
      <c r="K121" s="5">
        <f>IF(I121=6,G121*H121*J121,"")</f>
        <v/>
      </c>
      <c r="L121" s="5">
        <f>IF(I121=8,G121*H121*J121,"")</f>
        <v/>
      </c>
      <c r="M121" s="5">
        <f>IF(I121=10,G121*H121*J121,"")</f>
        <v/>
      </c>
      <c r="N121" s="5">
        <f>IF(I121=12,G121*H121*J121,"")</f>
        <v/>
      </c>
      <c r="O121" s="5">
        <f>IF(I121=14,G121*H121*J121,"")</f>
        <v/>
      </c>
      <c r="P121" s="5">
        <f>IF(I121=16,G121*H121*J121,"")</f>
        <v/>
      </c>
      <c r="Q121" s="5">
        <f>IF(I121=20,G121*H121*J121,"")</f>
        <v/>
      </c>
      <c r="R121" s="5">
        <f>IF(I121=25,G121*H121*J121,"")</f>
        <v/>
      </c>
      <c r="S121" s="5">
        <f>IF(I121=32,G121*H121*J121,"")</f>
        <v/>
      </c>
    </row>
    <row r="122">
      <c r="A122" s="5" t="inlineStr">
        <is>
          <t>Armature INF Y</t>
        </is>
      </c>
      <c r="G122" s="5" t="n">
        <v>1</v>
      </c>
      <c r="H122" s="5" t="n">
        <v>11</v>
      </c>
      <c r="I122" s="5" t="n">
        <v>12</v>
      </c>
      <c r="J122" s="5">
        <f>(1.5-0.05)+34*I122/1000</f>
        <v/>
      </c>
      <c r="K122" s="5">
        <f>IF(I122=6,G122*H122*J122,"")</f>
        <v/>
      </c>
      <c r="L122" s="5">
        <f>IF(I122=8,G122*H122*J122,"")</f>
        <v/>
      </c>
      <c r="M122" s="5">
        <f>IF(I122=10,G122*H122*J122,"")</f>
        <v/>
      </c>
      <c r="N122" s="5">
        <f>IF(I122=12,G122*H122*J122,"")</f>
        <v/>
      </c>
      <c r="O122" s="5">
        <f>IF(I122=14,G122*H122*J122,"")</f>
        <v/>
      </c>
      <c r="P122" s="5">
        <f>IF(I122=16,G122*H122*J122,"")</f>
        <v/>
      </c>
      <c r="Q122" s="5">
        <f>IF(I122=20,G122*H122*J122,"")</f>
        <v/>
      </c>
      <c r="R122" s="5">
        <f>IF(I122=25,G122*H122*J122,"")</f>
        <v/>
      </c>
      <c r="S122" s="5">
        <f>IF(I122=32,G122*H122*J122,"")</f>
        <v/>
      </c>
    </row>
    <row r="123">
      <c r="A123" s="5" t="inlineStr">
        <is>
          <t>S1</t>
        </is>
      </c>
      <c r="B123" s="5" t="inlineStr">
        <is>
          <t>G</t>
        </is>
      </c>
      <c r="C123" s="5" t="inlineStr">
        <is>
          <t>1</t>
        </is>
      </c>
      <c r="D123" s="5" t="n">
        <v>1</v>
      </c>
      <c r="E123" s="5" t="n">
        <v>1</v>
      </c>
      <c r="F123" s="5" t="n">
        <v>0.25</v>
      </c>
    </row>
    <row r="124">
      <c r="A124" s="5" t="inlineStr">
        <is>
          <t>Armature INF X</t>
        </is>
      </c>
      <c r="G124" s="5" t="n">
        <v>1</v>
      </c>
      <c r="H124" s="5" t="n">
        <v>6</v>
      </c>
      <c r="I124" s="5" t="n">
        <v>12</v>
      </c>
      <c r="J124" s="5">
        <f>(1.0-0.05)+34*I124/1000</f>
        <v/>
      </c>
      <c r="K124" s="5">
        <f>IF(I124=6,G124*H124*J124,"")</f>
        <v/>
      </c>
      <c r="L124" s="5">
        <f>IF(I124=8,G124*H124*J124,"")</f>
        <v/>
      </c>
      <c r="M124" s="5">
        <f>IF(I124=10,G124*H124*J124,"")</f>
        <v/>
      </c>
      <c r="N124" s="5">
        <f>IF(I124=12,G124*H124*J124,"")</f>
        <v/>
      </c>
      <c r="O124" s="5">
        <f>IF(I124=14,G124*H124*J124,"")</f>
        <v/>
      </c>
      <c r="P124" s="5">
        <f>IF(I124=16,G124*H124*J124,"")</f>
        <v/>
      </c>
      <c r="Q124" s="5">
        <f>IF(I124=20,G124*H124*J124,"")</f>
        <v/>
      </c>
      <c r="R124" s="5">
        <f>IF(I124=25,G124*H124*J124,"")</f>
        <v/>
      </c>
      <c r="S124" s="5">
        <f>IF(I124=32,G124*H124*J124,"")</f>
        <v/>
      </c>
    </row>
    <row r="125">
      <c r="A125" s="5" t="inlineStr">
        <is>
          <t>Armature INF Y</t>
        </is>
      </c>
      <c r="G125" s="5" t="n">
        <v>1</v>
      </c>
      <c r="H125" s="5" t="n">
        <v>6</v>
      </c>
      <c r="I125" s="5" t="n">
        <v>12</v>
      </c>
      <c r="J125" s="5">
        <f>(1.0-0.05)+34*I125/1000</f>
        <v/>
      </c>
      <c r="K125" s="5">
        <f>IF(I125=6,G125*H125*J125,"")</f>
        <v/>
      </c>
      <c r="L125" s="5">
        <f>IF(I125=8,G125*H125*J125,"")</f>
        <v/>
      </c>
      <c r="M125" s="5">
        <f>IF(I125=10,G125*H125*J125,"")</f>
        <v/>
      </c>
      <c r="N125" s="5">
        <f>IF(I125=12,G125*H125*J125,"")</f>
        <v/>
      </c>
      <c r="O125" s="5">
        <f>IF(I125=14,G125*H125*J125,"")</f>
        <v/>
      </c>
      <c r="P125" s="5">
        <f>IF(I125=16,G125*H125*J125,"")</f>
        <v/>
      </c>
      <c r="Q125" s="5">
        <f>IF(I125=20,G125*H125*J125,"")</f>
        <v/>
      </c>
      <c r="R125" s="5">
        <f>IF(I125=25,G125*H125*J125,"")</f>
        <v/>
      </c>
      <c r="S125" s="5">
        <f>IF(I125=32,G125*H125*J125,"")</f>
        <v/>
      </c>
    </row>
    <row r="126">
      <c r="A126" s="5" t="inlineStr">
        <is>
          <t>S4</t>
        </is>
      </c>
      <c r="B126" s="5" t="inlineStr">
        <is>
          <t>G</t>
        </is>
      </c>
      <c r="C126" s="5" t="inlineStr">
        <is>
          <t>2</t>
        </is>
      </c>
      <c r="D126" s="5" t="n">
        <v>1.5</v>
      </c>
      <c r="E126" s="5" t="n">
        <v>1.5</v>
      </c>
      <c r="F126" s="5" t="n">
        <v>0.4</v>
      </c>
    </row>
    <row r="127">
      <c r="A127" s="5" t="inlineStr">
        <is>
          <t>Armature INF X</t>
        </is>
      </c>
      <c r="G127" s="5" t="n">
        <v>1</v>
      </c>
      <c r="H127" s="5" t="n">
        <v>11</v>
      </c>
      <c r="I127" s="5" t="n">
        <v>12</v>
      </c>
      <c r="J127" s="5">
        <f>(1.5-0.05)+34*I127/1000</f>
        <v/>
      </c>
      <c r="K127" s="5">
        <f>IF(I127=6,G127*H127*J127,"")</f>
        <v/>
      </c>
      <c r="L127" s="5">
        <f>IF(I127=8,G127*H127*J127,"")</f>
        <v/>
      </c>
      <c r="M127" s="5">
        <f>IF(I127=10,G127*H127*J127,"")</f>
        <v/>
      </c>
      <c r="N127" s="5">
        <f>IF(I127=12,G127*H127*J127,"")</f>
        <v/>
      </c>
      <c r="O127" s="5">
        <f>IF(I127=14,G127*H127*J127,"")</f>
        <v/>
      </c>
      <c r="P127" s="5">
        <f>IF(I127=16,G127*H127*J127,"")</f>
        <v/>
      </c>
      <c r="Q127" s="5">
        <f>IF(I127=20,G127*H127*J127,"")</f>
        <v/>
      </c>
      <c r="R127" s="5">
        <f>IF(I127=25,G127*H127*J127,"")</f>
        <v/>
      </c>
      <c r="S127" s="5">
        <f>IF(I127=32,G127*H127*J127,"")</f>
        <v/>
      </c>
    </row>
    <row r="128">
      <c r="A128" s="5" t="inlineStr">
        <is>
          <t>Armature INF Y</t>
        </is>
      </c>
      <c r="G128" s="5" t="n">
        <v>1</v>
      </c>
      <c r="H128" s="5" t="n">
        <v>11</v>
      </c>
      <c r="I128" s="5" t="n">
        <v>12</v>
      </c>
      <c r="J128" s="5">
        <f>(1.5-0.05)+34*I128/1000</f>
        <v/>
      </c>
      <c r="K128" s="5">
        <f>IF(I128=6,G128*H128*J128,"")</f>
        <v/>
      </c>
      <c r="L128" s="5">
        <f>IF(I128=8,G128*H128*J128,"")</f>
        <v/>
      </c>
      <c r="M128" s="5">
        <f>IF(I128=10,G128*H128*J128,"")</f>
        <v/>
      </c>
      <c r="N128" s="5">
        <f>IF(I128=12,G128*H128*J128,"")</f>
        <v/>
      </c>
      <c r="O128" s="5">
        <f>IF(I128=14,G128*H128*J128,"")</f>
        <v/>
      </c>
      <c r="P128" s="5">
        <f>IF(I128=16,G128*H128*J128,"")</f>
        <v/>
      </c>
      <c r="Q128" s="5">
        <f>IF(I128=20,G128*H128*J128,"")</f>
        <v/>
      </c>
      <c r="R128" s="5">
        <f>IF(I128=25,G128*H128*J128,"")</f>
        <v/>
      </c>
      <c r="S128" s="5">
        <f>IF(I128=32,G128*H128*J128,"")</f>
        <v/>
      </c>
    </row>
    <row r="129">
      <c r="A129" s="5" t="inlineStr">
        <is>
          <t>S4</t>
        </is>
      </c>
      <c r="B129" s="5" t="inlineStr">
        <is>
          <t>G</t>
        </is>
      </c>
      <c r="C129" s="5" t="inlineStr">
        <is>
          <t>3</t>
        </is>
      </c>
      <c r="D129" s="5" t="n">
        <v>1.5</v>
      </c>
      <c r="E129" s="5" t="n">
        <v>1.5</v>
      </c>
      <c r="F129" s="5" t="n">
        <v>0.4</v>
      </c>
    </row>
    <row r="130">
      <c r="A130" s="5" t="inlineStr">
        <is>
          <t>Armature INF X</t>
        </is>
      </c>
      <c r="G130" s="5" t="n">
        <v>1</v>
      </c>
      <c r="H130" s="5" t="n">
        <v>11</v>
      </c>
      <c r="I130" s="5" t="n">
        <v>12</v>
      </c>
      <c r="J130" s="5">
        <f>(1.5-0.05)+34*I130/1000</f>
        <v/>
      </c>
      <c r="K130" s="5">
        <f>IF(I130=6,G130*H130*J130,"")</f>
        <v/>
      </c>
      <c r="L130" s="5">
        <f>IF(I130=8,G130*H130*J130,"")</f>
        <v/>
      </c>
      <c r="M130" s="5">
        <f>IF(I130=10,G130*H130*J130,"")</f>
        <v/>
      </c>
      <c r="N130" s="5">
        <f>IF(I130=12,G130*H130*J130,"")</f>
        <v/>
      </c>
      <c r="O130" s="5">
        <f>IF(I130=14,G130*H130*J130,"")</f>
        <v/>
      </c>
      <c r="P130" s="5">
        <f>IF(I130=16,G130*H130*J130,"")</f>
        <v/>
      </c>
      <c r="Q130" s="5">
        <f>IF(I130=20,G130*H130*J130,"")</f>
        <v/>
      </c>
      <c r="R130" s="5">
        <f>IF(I130=25,G130*H130*J130,"")</f>
        <v/>
      </c>
      <c r="S130" s="5">
        <f>IF(I130=32,G130*H130*J130,"")</f>
        <v/>
      </c>
    </row>
    <row r="131">
      <c r="A131" s="5" t="inlineStr">
        <is>
          <t>Armature INF Y</t>
        </is>
      </c>
      <c r="G131" s="5" t="n">
        <v>1</v>
      </c>
      <c r="H131" s="5" t="n">
        <v>11</v>
      </c>
      <c r="I131" s="5" t="n">
        <v>12</v>
      </c>
      <c r="J131" s="5">
        <f>(1.5-0.05)+34*I131/1000</f>
        <v/>
      </c>
      <c r="K131" s="5">
        <f>IF(I131=6,G131*H131*J131,"")</f>
        <v/>
      </c>
      <c r="L131" s="5">
        <f>IF(I131=8,G131*H131*J131,"")</f>
        <v/>
      </c>
      <c r="M131" s="5">
        <f>IF(I131=10,G131*H131*J131,"")</f>
        <v/>
      </c>
      <c r="N131" s="5">
        <f>IF(I131=12,G131*H131*J131,"")</f>
        <v/>
      </c>
      <c r="O131" s="5">
        <f>IF(I131=14,G131*H131*J131,"")</f>
        <v/>
      </c>
      <c r="P131" s="5">
        <f>IF(I131=16,G131*H131*J131,"")</f>
        <v/>
      </c>
      <c r="Q131" s="5">
        <f>IF(I131=20,G131*H131*J131,"")</f>
        <v/>
      </c>
      <c r="R131" s="5">
        <f>IF(I131=25,G131*H131*J131,"")</f>
        <v/>
      </c>
      <c r="S131" s="5">
        <f>IF(I131=32,G131*H131*J131,"")</f>
        <v/>
      </c>
    </row>
    <row r="132">
      <c r="A132" s="5" t="inlineStr">
        <is>
          <t>S5</t>
        </is>
      </c>
      <c r="B132" s="5" t="inlineStr">
        <is>
          <t>G</t>
        </is>
      </c>
      <c r="C132" s="5" t="inlineStr">
        <is>
          <t>5</t>
        </is>
      </c>
      <c r="D132" s="5" t="n">
        <v>1.5</v>
      </c>
      <c r="E132" s="5" t="n">
        <v>1.5</v>
      </c>
      <c r="F132" s="5" t="n">
        <v>0.4</v>
      </c>
    </row>
    <row r="133">
      <c r="A133" s="5" t="inlineStr">
        <is>
          <t>Armature INF X</t>
        </is>
      </c>
      <c r="G133" s="5" t="n">
        <v>1</v>
      </c>
      <c r="H133" s="5" t="n">
        <v>11</v>
      </c>
      <c r="I133" s="5" t="n">
        <v>12</v>
      </c>
      <c r="J133" s="5">
        <f>(1.5-0.05)+34*I133/1000</f>
        <v/>
      </c>
      <c r="K133" s="5">
        <f>IF(I133=6,G133*H133*J133,"")</f>
        <v/>
      </c>
      <c r="L133" s="5">
        <f>IF(I133=8,G133*H133*J133,"")</f>
        <v/>
      </c>
      <c r="M133" s="5">
        <f>IF(I133=10,G133*H133*J133,"")</f>
        <v/>
      </c>
      <c r="N133" s="5">
        <f>IF(I133=12,G133*H133*J133,"")</f>
        <v/>
      </c>
      <c r="O133" s="5">
        <f>IF(I133=14,G133*H133*J133,"")</f>
        <v/>
      </c>
      <c r="P133" s="5">
        <f>IF(I133=16,G133*H133*J133,"")</f>
        <v/>
      </c>
      <c r="Q133" s="5">
        <f>IF(I133=20,G133*H133*J133,"")</f>
        <v/>
      </c>
      <c r="R133" s="5">
        <f>IF(I133=25,G133*H133*J133,"")</f>
        <v/>
      </c>
      <c r="S133" s="5">
        <f>IF(I133=32,G133*H133*J133,"")</f>
        <v/>
      </c>
    </row>
    <row r="134">
      <c r="A134" s="5" t="inlineStr">
        <is>
          <t>Armature INF Y</t>
        </is>
      </c>
      <c r="G134" s="5" t="n">
        <v>1</v>
      </c>
      <c r="H134" s="5" t="n">
        <v>11</v>
      </c>
      <c r="I134" s="5" t="n">
        <v>12</v>
      </c>
      <c r="J134" s="5">
        <f>(1.5-0.05)+34*I134/1000</f>
        <v/>
      </c>
      <c r="K134" s="5">
        <f>IF(I134=6,G134*H134*J134,"")</f>
        <v/>
      </c>
      <c r="L134" s="5">
        <f>IF(I134=8,G134*H134*J134,"")</f>
        <v/>
      </c>
      <c r="M134" s="5">
        <f>IF(I134=10,G134*H134*J134,"")</f>
        <v/>
      </c>
      <c r="N134" s="5">
        <f>IF(I134=12,G134*H134*J134,"")</f>
        <v/>
      </c>
      <c r="O134" s="5">
        <f>IF(I134=14,G134*H134*J134,"")</f>
        <v/>
      </c>
      <c r="P134" s="5">
        <f>IF(I134=16,G134*H134*J134,"")</f>
        <v/>
      </c>
      <c r="Q134" s="5">
        <f>IF(I134=20,G134*H134*J134,"")</f>
        <v/>
      </c>
      <c r="R134" s="5">
        <f>IF(I134=25,G134*H134*J134,"")</f>
        <v/>
      </c>
      <c r="S134" s="5">
        <f>IF(I134=32,G134*H134*J134,"")</f>
        <v/>
      </c>
    </row>
    <row r="135">
      <c r="A135" s="5" t="inlineStr">
        <is>
          <t>S3</t>
        </is>
      </c>
      <c r="B135" s="5" t="inlineStr">
        <is>
          <t>G</t>
        </is>
      </c>
      <c r="C135" s="5" t="inlineStr">
        <is>
          <t>6</t>
        </is>
      </c>
      <c r="D135" s="5" t="n">
        <v>1.2</v>
      </c>
      <c r="E135" s="5" t="n">
        <v>1.2</v>
      </c>
      <c r="F135" s="5" t="n">
        <v>0.3</v>
      </c>
    </row>
    <row r="136">
      <c r="A136" s="5" t="inlineStr">
        <is>
          <t>Armature INF X</t>
        </is>
      </c>
      <c r="G136" s="5" t="n">
        <v>1</v>
      </c>
      <c r="H136" s="5" t="n">
        <v>8</v>
      </c>
      <c r="I136" s="5" t="n">
        <v>12</v>
      </c>
      <c r="J136" s="5">
        <f>(1.2-0.05)+34*I136/1000</f>
        <v/>
      </c>
      <c r="K136" s="5">
        <f>IF(I136=6,G136*H136*J136,"")</f>
        <v/>
      </c>
      <c r="L136" s="5">
        <f>IF(I136=8,G136*H136*J136,"")</f>
        <v/>
      </c>
      <c r="M136" s="5">
        <f>IF(I136=10,G136*H136*J136,"")</f>
        <v/>
      </c>
      <c r="N136" s="5">
        <f>IF(I136=12,G136*H136*J136,"")</f>
        <v/>
      </c>
      <c r="O136" s="5">
        <f>IF(I136=14,G136*H136*J136,"")</f>
        <v/>
      </c>
      <c r="P136" s="5">
        <f>IF(I136=16,G136*H136*J136,"")</f>
        <v/>
      </c>
      <c r="Q136" s="5">
        <f>IF(I136=20,G136*H136*J136,"")</f>
        <v/>
      </c>
      <c r="R136" s="5">
        <f>IF(I136=25,G136*H136*J136,"")</f>
        <v/>
      </c>
      <c r="S136" s="5">
        <f>IF(I136=32,G136*H136*J136,"")</f>
        <v/>
      </c>
    </row>
    <row r="137">
      <c r="A137" s="5" t="inlineStr">
        <is>
          <t>Armature INF Y</t>
        </is>
      </c>
      <c r="G137" s="5" t="n">
        <v>1</v>
      </c>
      <c r="H137" s="5" t="n">
        <v>8</v>
      </c>
      <c r="I137" s="5" t="n">
        <v>12</v>
      </c>
      <c r="J137" s="5">
        <f>(1.2-0.05)+34*I137/1000</f>
        <v/>
      </c>
      <c r="K137" s="5">
        <f>IF(I137=6,G137*H137*J137,"")</f>
        <v/>
      </c>
      <c r="L137" s="5">
        <f>IF(I137=8,G137*H137*J137,"")</f>
        <v/>
      </c>
      <c r="M137" s="5">
        <f>IF(I137=10,G137*H137*J137,"")</f>
        <v/>
      </c>
      <c r="N137" s="5">
        <f>IF(I137=12,G137*H137*J137,"")</f>
        <v/>
      </c>
      <c r="O137" s="5">
        <f>IF(I137=14,G137*H137*J137,"")</f>
        <v/>
      </c>
      <c r="P137" s="5">
        <f>IF(I137=16,G137*H137*J137,"")</f>
        <v/>
      </c>
      <c r="Q137" s="5">
        <f>IF(I137=20,G137*H137*J137,"")</f>
        <v/>
      </c>
      <c r="R137" s="5">
        <f>IF(I137=25,G137*H137*J137,"")</f>
        <v/>
      </c>
      <c r="S137" s="5">
        <f>IF(I137=32,G137*H137*J137,"")</f>
        <v/>
      </c>
    </row>
    <row r="138">
      <c r="A138" s="5" t="inlineStr">
        <is>
          <t>S3</t>
        </is>
      </c>
      <c r="B138" s="5" t="inlineStr">
        <is>
          <t>G</t>
        </is>
      </c>
      <c r="C138" s="5" t="inlineStr">
        <is>
          <t>7</t>
        </is>
      </c>
      <c r="D138" s="5" t="n">
        <v>1.2</v>
      </c>
      <c r="E138" s="5" t="n">
        <v>1.2</v>
      </c>
      <c r="F138" s="5" t="n">
        <v>0.3</v>
      </c>
    </row>
    <row r="139">
      <c r="A139" s="5" t="inlineStr">
        <is>
          <t>Armature INF X</t>
        </is>
      </c>
      <c r="G139" s="5" t="n">
        <v>1</v>
      </c>
      <c r="H139" s="5" t="n">
        <v>8</v>
      </c>
      <c r="I139" s="5" t="n">
        <v>12</v>
      </c>
      <c r="J139" s="5">
        <f>(1.2-0.05)+34*I139/1000</f>
        <v/>
      </c>
      <c r="K139" s="5">
        <f>IF(I139=6,G139*H139*J139,"")</f>
        <v/>
      </c>
      <c r="L139" s="5">
        <f>IF(I139=8,G139*H139*J139,"")</f>
        <v/>
      </c>
      <c r="M139" s="5">
        <f>IF(I139=10,G139*H139*J139,"")</f>
        <v/>
      </c>
      <c r="N139" s="5">
        <f>IF(I139=12,G139*H139*J139,"")</f>
        <v/>
      </c>
      <c r="O139" s="5">
        <f>IF(I139=14,G139*H139*J139,"")</f>
        <v/>
      </c>
      <c r="P139" s="5">
        <f>IF(I139=16,G139*H139*J139,"")</f>
        <v/>
      </c>
      <c r="Q139" s="5">
        <f>IF(I139=20,G139*H139*J139,"")</f>
        <v/>
      </c>
      <c r="R139" s="5">
        <f>IF(I139=25,G139*H139*J139,"")</f>
        <v/>
      </c>
      <c r="S139" s="5">
        <f>IF(I139=32,G139*H139*J139,"")</f>
        <v/>
      </c>
    </row>
    <row r="140">
      <c r="A140" s="5" t="inlineStr">
        <is>
          <t>Armature INF Y</t>
        </is>
      </c>
      <c r="G140" s="5" t="n">
        <v>1</v>
      </c>
      <c r="H140" s="5" t="n">
        <v>8</v>
      </c>
      <c r="I140" s="5" t="n">
        <v>12</v>
      </c>
      <c r="J140" s="5">
        <f>(1.2-0.05)+34*I140/1000</f>
        <v/>
      </c>
      <c r="K140" s="5">
        <f>IF(I140=6,G140*H140*J140,"")</f>
        <v/>
      </c>
      <c r="L140" s="5">
        <f>IF(I140=8,G140*H140*J140,"")</f>
        <v/>
      </c>
      <c r="M140" s="5">
        <f>IF(I140=10,G140*H140*J140,"")</f>
        <v/>
      </c>
      <c r="N140" s="5">
        <f>IF(I140=12,G140*H140*J140,"")</f>
        <v/>
      </c>
      <c r="O140" s="5">
        <f>IF(I140=14,G140*H140*J140,"")</f>
        <v/>
      </c>
      <c r="P140" s="5">
        <f>IF(I140=16,G140*H140*J140,"")</f>
        <v/>
      </c>
      <c r="Q140" s="5">
        <f>IF(I140=20,G140*H140*J140,"")</f>
        <v/>
      </c>
      <c r="R140" s="5">
        <f>IF(I140=25,G140*H140*J140,"")</f>
        <v/>
      </c>
      <c r="S140" s="5">
        <f>IF(I140=32,G140*H140*J140,"")</f>
        <v/>
      </c>
    </row>
    <row r="141">
      <c r="A141" s="5" t="inlineStr">
        <is>
          <t>S3</t>
        </is>
      </c>
      <c r="B141" s="5" t="inlineStr">
        <is>
          <t>G</t>
        </is>
      </c>
      <c r="C141" s="5" t="inlineStr">
        <is>
          <t>8</t>
        </is>
      </c>
      <c r="D141" s="5" t="n">
        <v>1.2</v>
      </c>
      <c r="E141" s="5" t="n">
        <v>1.2</v>
      </c>
      <c r="F141" s="5" t="n">
        <v>0.3</v>
      </c>
    </row>
    <row r="142">
      <c r="A142" s="5" t="inlineStr">
        <is>
          <t>Armature INF X</t>
        </is>
      </c>
      <c r="G142" s="5" t="n">
        <v>1</v>
      </c>
      <c r="H142" s="5" t="n">
        <v>8</v>
      </c>
      <c r="I142" s="5" t="n">
        <v>12</v>
      </c>
      <c r="J142" s="5">
        <f>(1.2-0.05)+34*I142/1000</f>
        <v/>
      </c>
      <c r="K142" s="5">
        <f>IF(I142=6,G142*H142*J142,"")</f>
        <v/>
      </c>
      <c r="L142" s="5">
        <f>IF(I142=8,G142*H142*J142,"")</f>
        <v/>
      </c>
      <c r="M142" s="5">
        <f>IF(I142=10,G142*H142*J142,"")</f>
        <v/>
      </c>
      <c r="N142" s="5">
        <f>IF(I142=12,G142*H142*J142,"")</f>
        <v/>
      </c>
      <c r="O142" s="5">
        <f>IF(I142=14,G142*H142*J142,"")</f>
        <v/>
      </c>
      <c r="P142" s="5">
        <f>IF(I142=16,G142*H142*J142,"")</f>
        <v/>
      </c>
      <c r="Q142" s="5">
        <f>IF(I142=20,G142*H142*J142,"")</f>
        <v/>
      </c>
      <c r="R142" s="5">
        <f>IF(I142=25,G142*H142*J142,"")</f>
        <v/>
      </c>
      <c r="S142" s="5">
        <f>IF(I142=32,G142*H142*J142,"")</f>
        <v/>
      </c>
    </row>
    <row r="143">
      <c r="A143" s="5" t="inlineStr">
        <is>
          <t>Armature INF Y</t>
        </is>
      </c>
      <c r="G143" s="5" t="n">
        <v>1</v>
      </c>
      <c r="H143" s="5" t="n">
        <v>8</v>
      </c>
      <c r="I143" s="5" t="n">
        <v>12</v>
      </c>
      <c r="J143" s="5">
        <f>(1.2-0.05)+34*I143/1000</f>
        <v/>
      </c>
      <c r="K143" s="5">
        <f>IF(I143=6,G143*H143*J143,"")</f>
        <v/>
      </c>
      <c r="L143" s="5">
        <f>IF(I143=8,G143*H143*J143,"")</f>
        <v/>
      </c>
      <c r="M143" s="5">
        <f>IF(I143=10,G143*H143*J143,"")</f>
        <v/>
      </c>
      <c r="N143" s="5">
        <f>IF(I143=12,G143*H143*J143,"")</f>
        <v/>
      </c>
      <c r="O143" s="5">
        <f>IF(I143=14,G143*H143*J143,"")</f>
        <v/>
      </c>
      <c r="P143" s="5">
        <f>IF(I143=16,G143*H143*J143,"")</f>
        <v/>
      </c>
      <c r="Q143" s="5">
        <f>IF(I143=20,G143*H143*J143,"")</f>
        <v/>
      </c>
      <c r="R143" s="5">
        <f>IF(I143=25,G143*H143*J143,"")</f>
        <v/>
      </c>
      <c r="S143" s="5">
        <f>IF(I143=32,G143*H143*J143,"")</f>
        <v/>
      </c>
    </row>
    <row r="144">
      <c r="A144" s="5" t="inlineStr">
        <is>
          <t>fût des poteaux</t>
        </is>
      </c>
    </row>
    <row r="145">
      <c r="T145" s="5" t="n">
        <v>1.8</v>
      </c>
    </row>
    <row r="146">
      <c r="A146" s="2" t="inlineStr">
        <is>
          <t>axe</t>
        </is>
      </c>
      <c r="B146" s="2" t="inlineStr">
        <is>
          <t>fill</t>
        </is>
      </c>
      <c r="C146" s="2" t="inlineStr">
        <is>
          <t>Nom</t>
        </is>
      </c>
      <c r="D146" s="2" t="inlineStr">
        <is>
          <t>b</t>
        </is>
      </c>
      <c r="E146" s="2" t="inlineStr">
        <is>
          <t>h</t>
        </is>
      </c>
    </row>
    <row r="147">
      <c r="B147" s="5" t="inlineStr">
        <is>
          <t>A</t>
        </is>
      </c>
      <c r="C147" s="5" t="inlineStr">
        <is>
          <t>1</t>
        </is>
      </c>
      <c r="D147" s="5" t="inlineStr">
        <is>
          <t>P3</t>
        </is>
      </c>
      <c r="E147" s="5" t="n">
        <v>0.3</v>
      </c>
      <c r="F147" s="5" t="n">
        <v>0.3</v>
      </c>
    </row>
    <row r="148">
      <c r="A148" s="5" t="inlineStr">
        <is>
          <t>Armature LONG</t>
        </is>
      </c>
      <c r="G148" s="5" t="n">
        <v>1</v>
      </c>
      <c r="H148" s="5" t="n">
        <v>4</v>
      </c>
      <c r="I148" s="5" t="n">
        <v>14</v>
      </c>
      <c r="J148" s="5">
        <f>$T$145+18*I148/1000</f>
        <v/>
      </c>
      <c r="K148" s="5">
        <f>IF(I148=6,G148*H148*J148,"")</f>
        <v/>
      </c>
      <c r="L148" s="5">
        <f>IF(I148=8,G148*H148*J148,"")</f>
        <v/>
      </c>
      <c r="M148" s="5">
        <f>IF(I148=10,G148*H148*J148,"")</f>
        <v/>
      </c>
      <c r="N148" s="5">
        <f>IF(I148=12,G148*H148*J148,"")</f>
        <v/>
      </c>
      <c r="O148" s="5">
        <f>IF(I148=14,G148*H148*J148,"")</f>
        <v/>
      </c>
      <c r="P148" s="5">
        <f>IF(I148=16,G148*H148*J148,"")</f>
        <v/>
      </c>
      <c r="Q148" s="5">
        <f>IF(I148=20,G148*H148*J148,"")</f>
        <v/>
      </c>
      <c r="R148" s="5">
        <f>IF(I148=25,G148*H148*J148,"")</f>
        <v/>
      </c>
      <c r="S148" s="5">
        <f>IF(I148=32,G148*H148*J148,"")</f>
        <v/>
      </c>
    </row>
    <row r="149">
      <c r="A149" s="5" t="inlineStr">
        <is>
          <t>Armature LONG</t>
        </is>
      </c>
      <c r="G149" s="5" t="n">
        <v>1</v>
      </c>
      <c r="H149" s="5" t="n">
        <v>2</v>
      </c>
      <c r="I149" s="5" t="n">
        <v>14</v>
      </c>
      <c r="J149" s="5">
        <f>$T$145+18*I149/1000</f>
        <v/>
      </c>
      <c r="K149" s="5">
        <f>IF(I149=6,G149*H149*J149,"")</f>
        <v/>
      </c>
      <c r="L149" s="5">
        <f>IF(I149=8,G149*H149*J149,"")</f>
        <v/>
      </c>
      <c r="M149" s="5">
        <f>IF(I149=10,G149*H149*J149,"")</f>
        <v/>
      </c>
      <c r="N149" s="5">
        <f>IF(I149=12,G149*H149*J149,"")</f>
        <v/>
      </c>
      <c r="O149" s="5">
        <f>IF(I149=14,G149*H149*J149,"")</f>
        <v/>
      </c>
      <c r="P149" s="5">
        <f>IF(I149=16,G149*H149*J149,"")</f>
        <v/>
      </c>
      <c r="Q149" s="5">
        <f>IF(I149=20,G149*H149*J149,"")</f>
        <v/>
      </c>
      <c r="R149" s="5">
        <f>IF(I149=25,G149*H149*J149,"")</f>
        <v/>
      </c>
      <c r="S149" s="5">
        <f>IF(I149=32,G149*H149*J149,"")</f>
        <v/>
      </c>
    </row>
    <row r="150">
      <c r="A150" s="5" t="inlineStr">
        <is>
          <t>CADRE</t>
        </is>
      </c>
      <c r="G150" s="5" t="n">
        <v>1</v>
      </c>
      <c r="H150" s="5">
        <f>ROUNDUP(($T$145-0.25)/0.15,0)</f>
        <v/>
      </c>
      <c r="I150" s="5" t="n">
        <v>6</v>
      </c>
      <c r="J150" s="5">
        <f>2*(E147+F147)+20.5*I150/1000</f>
        <v/>
      </c>
      <c r="K150" s="5">
        <f>IF(I150=6,G150*H150*J150,"")</f>
        <v/>
      </c>
      <c r="L150" s="5">
        <f>IF(I150=8,G150*H150*J150,"")</f>
        <v/>
      </c>
      <c r="M150" s="5">
        <f>IF(I150=10,G150*H150*J150,"")</f>
        <v/>
      </c>
      <c r="N150" s="5">
        <f>IF(I150=12,G150*H150*J150,"")</f>
        <v/>
      </c>
      <c r="O150" s="5">
        <f>IF(I150=14,G150*H150*J150,"")</f>
        <v/>
      </c>
      <c r="P150" s="5">
        <f>IF(I150=16,G150*H150*J150,"")</f>
        <v/>
      </c>
      <c r="Q150" s="5">
        <f>IF(I150=20,G150*H150*J150,"")</f>
        <v/>
      </c>
      <c r="R150" s="5">
        <f>IF(I150=25,G150*H150*J150,"")</f>
        <v/>
      </c>
      <c r="S150" s="5">
        <f>IF(I150=32,G150*H150*J150,"")</f>
        <v/>
      </c>
    </row>
    <row r="151">
      <c r="A151" s="5" t="inlineStr">
        <is>
          <t>EPINGLE</t>
        </is>
      </c>
      <c r="G151" s="5" t="n">
        <v>1</v>
      </c>
      <c r="H151" s="5">
        <f>ROUNDUP(($T$145-0.25)/0.15,0)</f>
        <v/>
      </c>
      <c r="I151" s="5" t="n">
        <v>6</v>
      </c>
      <c r="J151" s="5">
        <f>E147+22*I151/1000</f>
        <v/>
      </c>
      <c r="K151" s="5">
        <f>IF(I151=6,G151*H151*J151,"")</f>
        <v/>
      </c>
      <c r="L151" s="5">
        <f>IF(I151=8,G151*H151*J151,"")</f>
        <v/>
      </c>
      <c r="M151" s="5">
        <f>IF(I151=10,G151*H151*J151,"")</f>
        <v/>
      </c>
      <c r="N151" s="5">
        <f>IF(I151=12,G151*H151*J151,"")</f>
        <v/>
      </c>
      <c r="O151" s="5">
        <f>IF(I151=14,G151*H151*J151,"")</f>
        <v/>
      </c>
      <c r="P151" s="5">
        <f>IF(I151=16,G151*H151*J151,"")</f>
        <v/>
      </c>
      <c r="Q151" s="5">
        <f>IF(I151=20,G151*H151*J151,"")</f>
        <v/>
      </c>
      <c r="R151" s="5">
        <f>IF(I151=25,G151*H151*J151,"")</f>
        <v/>
      </c>
      <c r="S151" s="5">
        <f>IF(I151=32,G151*H151*J151,"")</f>
        <v/>
      </c>
    </row>
    <row r="152">
      <c r="B152" s="5" t="inlineStr">
        <is>
          <t>A</t>
        </is>
      </c>
      <c r="C152" s="5" t="inlineStr">
        <is>
          <t>2</t>
        </is>
      </c>
      <c r="D152" s="5" t="inlineStr">
        <is>
          <t>P2</t>
        </is>
      </c>
      <c r="E152" s="5" t="n">
        <v>0.4</v>
      </c>
      <c r="F152" s="5" t="n">
        <v>0.4</v>
      </c>
    </row>
    <row r="153">
      <c r="A153" s="5" t="inlineStr">
        <is>
          <t>Armature LONG</t>
        </is>
      </c>
      <c r="G153" s="5" t="n">
        <v>1</v>
      </c>
      <c r="H153" s="5" t="n">
        <v>4</v>
      </c>
      <c r="I153" s="5" t="n">
        <v>14</v>
      </c>
      <c r="J153" s="5">
        <f>$T$145+18*I153/1000</f>
        <v/>
      </c>
      <c r="K153" s="5">
        <f>IF(I153=6,G153*H153*J153,"")</f>
        <v/>
      </c>
      <c r="L153" s="5">
        <f>IF(I153=8,G153*H153*J153,"")</f>
        <v/>
      </c>
      <c r="M153" s="5">
        <f>IF(I153=10,G153*H153*J153,"")</f>
        <v/>
      </c>
      <c r="N153" s="5">
        <f>IF(I153=12,G153*H153*J153,"")</f>
        <v/>
      </c>
      <c r="O153" s="5">
        <f>IF(I153=14,G153*H153*J153,"")</f>
        <v/>
      </c>
      <c r="P153" s="5">
        <f>IF(I153=16,G153*H153*J153,"")</f>
        <v/>
      </c>
      <c r="Q153" s="5">
        <f>IF(I153=20,G153*H153*J153,"")</f>
        <v/>
      </c>
      <c r="R153" s="5">
        <f>IF(I153=25,G153*H153*J153,"")</f>
        <v/>
      </c>
      <c r="S153" s="5">
        <f>IF(I153=32,G153*H153*J153,"")</f>
        <v/>
      </c>
    </row>
    <row r="154">
      <c r="A154" s="5" t="inlineStr">
        <is>
          <t>Armature LONG</t>
        </is>
      </c>
      <c r="G154" s="5" t="n">
        <v>1</v>
      </c>
      <c r="H154" s="5" t="n">
        <v>2</v>
      </c>
      <c r="I154" s="5" t="n">
        <v>14</v>
      </c>
      <c r="J154" s="5">
        <f>$T$145+18*I154/1000</f>
        <v/>
      </c>
      <c r="K154" s="5">
        <f>IF(I154=6,G154*H154*J154,"")</f>
        <v/>
      </c>
      <c r="L154" s="5">
        <f>IF(I154=8,G154*H154*J154,"")</f>
        <v/>
      </c>
      <c r="M154" s="5">
        <f>IF(I154=10,G154*H154*J154,"")</f>
        <v/>
      </c>
      <c r="N154" s="5">
        <f>IF(I154=12,G154*H154*J154,"")</f>
        <v/>
      </c>
      <c r="O154" s="5">
        <f>IF(I154=14,G154*H154*J154,"")</f>
        <v/>
      </c>
      <c r="P154" s="5">
        <f>IF(I154=16,G154*H154*J154,"")</f>
        <v/>
      </c>
      <c r="Q154" s="5">
        <f>IF(I154=20,G154*H154*J154,"")</f>
        <v/>
      </c>
      <c r="R154" s="5">
        <f>IF(I154=25,G154*H154*J154,"")</f>
        <v/>
      </c>
      <c r="S154" s="5">
        <f>IF(I154=32,G154*H154*J154,"")</f>
        <v/>
      </c>
    </row>
    <row r="155">
      <c r="A155" s="5" t="inlineStr">
        <is>
          <t>CADRE</t>
        </is>
      </c>
      <c r="G155" s="5" t="n">
        <v>1</v>
      </c>
      <c r="H155" s="5">
        <f>ROUNDUP(($T$145-0.25)/0.15,0)</f>
        <v/>
      </c>
      <c r="I155" s="5" t="n">
        <v>6</v>
      </c>
      <c r="J155" s="5">
        <f>2*(E152+F152)+20.5*I155/1000</f>
        <v/>
      </c>
      <c r="K155" s="5">
        <f>IF(I155=6,G155*H155*J155,"")</f>
        <v/>
      </c>
      <c r="L155" s="5">
        <f>IF(I155=8,G155*H155*J155,"")</f>
        <v/>
      </c>
      <c r="M155" s="5">
        <f>IF(I155=10,G155*H155*J155,"")</f>
        <v/>
      </c>
      <c r="N155" s="5">
        <f>IF(I155=12,G155*H155*J155,"")</f>
        <v/>
      </c>
      <c r="O155" s="5">
        <f>IF(I155=14,G155*H155*J155,"")</f>
        <v/>
      </c>
      <c r="P155" s="5">
        <f>IF(I155=16,G155*H155*J155,"")</f>
        <v/>
      </c>
      <c r="Q155" s="5">
        <f>IF(I155=20,G155*H155*J155,"")</f>
        <v/>
      </c>
      <c r="R155" s="5">
        <f>IF(I155=25,G155*H155*J155,"")</f>
        <v/>
      </c>
      <c r="S155" s="5">
        <f>IF(I155=32,G155*H155*J155,"")</f>
        <v/>
      </c>
    </row>
    <row r="156">
      <c r="A156" s="5" t="inlineStr">
        <is>
          <t>EPINGLE</t>
        </is>
      </c>
      <c r="G156" s="5" t="n">
        <v>1</v>
      </c>
      <c r="H156" s="5">
        <f>ROUNDUP(($T$145-0.25)/0.15,0)</f>
        <v/>
      </c>
      <c r="I156" s="5" t="n">
        <v>6</v>
      </c>
      <c r="J156" s="5">
        <f>E152+22*I156/1000</f>
        <v/>
      </c>
      <c r="K156" s="5">
        <f>IF(I156=6,G156*H156*J156,"")</f>
        <v/>
      </c>
      <c r="L156" s="5">
        <f>IF(I156=8,G156*H156*J156,"")</f>
        <v/>
      </c>
      <c r="M156" s="5">
        <f>IF(I156=10,G156*H156*J156,"")</f>
        <v/>
      </c>
      <c r="N156" s="5">
        <f>IF(I156=12,G156*H156*J156,"")</f>
        <v/>
      </c>
      <c r="O156" s="5">
        <f>IF(I156=14,G156*H156*J156,"")</f>
        <v/>
      </c>
      <c r="P156" s="5">
        <f>IF(I156=16,G156*H156*J156,"")</f>
        <v/>
      </c>
      <c r="Q156" s="5">
        <f>IF(I156=20,G156*H156*J156,"")</f>
        <v/>
      </c>
      <c r="R156" s="5">
        <f>IF(I156=25,G156*H156*J156,"")</f>
        <v/>
      </c>
      <c r="S156" s="5">
        <f>IF(I156=32,G156*H156*J156,"")</f>
        <v/>
      </c>
    </row>
    <row r="157">
      <c r="B157" s="5" t="inlineStr">
        <is>
          <t>A</t>
        </is>
      </c>
      <c r="C157" s="5" t="inlineStr">
        <is>
          <t>4</t>
        </is>
      </c>
      <c r="D157" s="5" t="inlineStr">
        <is>
          <t>P2</t>
        </is>
      </c>
      <c r="E157" s="5" t="n">
        <v>0.4</v>
      </c>
      <c r="F157" s="5" t="n">
        <v>0.4</v>
      </c>
    </row>
    <row r="158">
      <c r="A158" s="5" t="inlineStr">
        <is>
          <t>Armature LONG</t>
        </is>
      </c>
      <c r="G158" s="5" t="n">
        <v>1</v>
      </c>
      <c r="H158" s="5" t="n">
        <v>4</v>
      </c>
      <c r="I158" s="5" t="n">
        <v>14</v>
      </c>
      <c r="J158" s="5">
        <f>$T$145+18*I158/1000</f>
        <v/>
      </c>
      <c r="K158" s="5">
        <f>IF(I158=6,G158*H158*J158,"")</f>
        <v/>
      </c>
      <c r="L158" s="5">
        <f>IF(I158=8,G158*H158*J158,"")</f>
        <v/>
      </c>
      <c r="M158" s="5">
        <f>IF(I158=10,G158*H158*J158,"")</f>
        <v/>
      </c>
      <c r="N158" s="5">
        <f>IF(I158=12,G158*H158*J158,"")</f>
        <v/>
      </c>
      <c r="O158" s="5">
        <f>IF(I158=14,G158*H158*J158,"")</f>
        <v/>
      </c>
      <c r="P158" s="5">
        <f>IF(I158=16,G158*H158*J158,"")</f>
        <v/>
      </c>
      <c r="Q158" s="5">
        <f>IF(I158=20,G158*H158*J158,"")</f>
        <v/>
      </c>
      <c r="R158" s="5">
        <f>IF(I158=25,G158*H158*J158,"")</f>
        <v/>
      </c>
      <c r="S158" s="5">
        <f>IF(I158=32,G158*H158*J158,"")</f>
        <v/>
      </c>
    </row>
    <row r="159">
      <c r="A159" s="5" t="inlineStr">
        <is>
          <t>Armature LONG</t>
        </is>
      </c>
      <c r="G159" s="5" t="n">
        <v>1</v>
      </c>
      <c r="H159" s="5" t="n">
        <v>2</v>
      </c>
      <c r="I159" s="5" t="n">
        <v>14</v>
      </c>
      <c r="J159" s="5">
        <f>$T$145+18*I159/1000</f>
        <v/>
      </c>
      <c r="K159" s="5">
        <f>IF(I159=6,G159*H159*J159,"")</f>
        <v/>
      </c>
      <c r="L159" s="5">
        <f>IF(I159=8,G159*H159*J159,"")</f>
        <v/>
      </c>
      <c r="M159" s="5">
        <f>IF(I159=10,G159*H159*J159,"")</f>
        <v/>
      </c>
      <c r="N159" s="5">
        <f>IF(I159=12,G159*H159*J159,"")</f>
        <v/>
      </c>
      <c r="O159" s="5">
        <f>IF(I159=14,G159*H159*J159,"")</f>
        <v/>
      </c>
      <c r="P159" s="5">
        <f>IF(I159=16,G159*H159*J159,"")</f>
        <v/>
      </c>
      <c r="Q159" s="5">
        <f>IF(I159=20,G159*H159*J159,"")</f>
        <v/>
      </c>
      <c r="R159" s="5">
        <f>IF(I159=25,G159*H159*J159,"")</f>
        <v/>
      </c>
      <c r="S159" s="5">
        <f>IF(I159=32,G159*H159*J159,"")</f>
        <v/>
      </c>
    </row>
    <row r="160">
      <c r="A160" s="5" t="inlineStr">
        <is>
          <t>CADRE</t>
        </is>
      </c>
      <c r="G160" s="5" t="n">
        <v>1</v>
      </c>
      <c r="H160" s="5">
        <f>ROUNDUP(($T$145-0.25)/0.15,0)</f>
        <v/>
      </c>
      <c r="I160" s="5" t="n">
        <v>6</v>
      </c>
      <c r="J160" s="5">
        <f>2*(E157+F157)+20.5*I160/1000</f>
        <v/>
      </c>
      <c r="K160" s="5">
        <f>IF(I160=6,G160*H160*J160,"")</f>
        <v/>
      </c>
      <c r="L160" s="5">
        <f>IF(I160=8,G160*H160*J160,"")</f>
        <v/>
      </c>
      <c r="M160" s="5">
        <f>IF(I160=10,G160*H160*J160,"")</f>
        <v/>
      </c>
      <c r="N160" s="5">
        <f>IF(I160=12,G160*H160*J160,"")</f>
        <v/>
      </c>
      <c r="O160" s="5">
        <f>IF(I160=14,G160*H160*J160,"")</f>
        <v/>
      </c>
      <c r="P160" s="5">
        <f>IF(I160=16,G160*H160*J160,"")</f>
        <v/>
      </c>
      <c r="Q160" s="5">
        <f>IF(I160=20,G160*H160*J160,"")</f>
        <v/>
      </c>
      <c r="R160" s="5">
        <f>IF(I160=25,G160*H160*J160,"")</f>
        <v/>
      </c>
      <c r="S160" s="5">
        <f>IF(I160=32,G160*H160*J160,"")</f>
        <v/>
      </c>
    </row>
    <row r="161">
      <c r="A161" s="5" t="inlineStr">
        <is>
          <t>EPINGLE</t>
        </is>
      </c>
      <c r="G161" s="5" t="n">
        <v>1</v>
      </c>
      <c r="H161" s="5">
        <f>ROUNDUP(($T$145-0.25)/0.15,0)</f>
        <v/>
      </c>
      <c r="I161" s="5" t="n">
        <v>6</v>
      </c>
      <c r="J161" s="5">
        <f>E157+22*I161/1000</f>
        <v/>
      </c>
      <c r="K161" s="5">
        <f>IF(I161=6,G161*H161*J161,"")</f>
        <v/>
      </c>
      <c r="L161" s="5">
        <f>IF(I161=8,G161*H161*J161,"")</f>
        <v/>
      </c>
      <c r="M161" s="5">
        <f>IF(I161=10,G161*H161*J161,"")</f>
        <v/>
      </c>
      <c r="N161" s="5">
        <f>IF(I161=12,G161*H161*J161,"")</f>
        <v/>
      </c>
      <c r="O161" s="5">
        <f>IF(I161=14,G161*H161*J161,"")</f>
        <v/>
      </c>
      <c r="P161" s="5">
        <f>IF(I161=16,G161*H161*J161,"")</f>
        <v/>
      </c>
      <c r="Q161" s="5">
        <f>IF(I161=20,G161*H161*J161,"")</f>
        <v/>
      </c>
      <c r="R161" s="5">
        <f>IF(I161=25,G161*H161*J161,"")</f>
        <v/>
      </c>
      <c r="S161" s="5">
        <f>IF(I161=32,G161*H161*J161,"")</f>
        <v/>
      </c>
    </row>
    <row r="162">
      <c r="B162" s="5" t="inlineStr">
        <is>
          <t>A</t>
        </is>
      </c>
      <c r="C162" s="5" t="inlineStr">
        <is>
          <t>5</t>
        </is>
      </c>
      <c r="D162" s="5" t="inlineStr">
        <is>
          <t>P3</t>
        </is>
      </c>
      <c r="E162" s="5" t="n">
        <v>0.3</v>
      </c>
      <c r="F162" s="5" t="n">
        <v>0.3</v>
      </c>
    </row>
    <row r="163">
      <c r="A163" s="5" t="inlineStr">
        <is>
          <t>Armature LONG</t>
        </is>
      </c>
      <c r="G163" s="5" t="n">
        <v>1</v>
      </c>
      <c r="H163" s="5" t="n">
        <v>4</v>
      </c>
      <c r="I163" s="5" t="n">
        <v>14</v>
      </c>
      <c r="J163" s="5">
        <f>$T$145+18*I163/1000</f>
        <v/>
      </c>
      <c r="K163" s="5">
        <f>IF(I163=6,G163*H163*J163,"")</f>
        <v/>
      </c>
      <c r="L163" s="5">
        <f>IF(I163=8,G163*H163*J163,"")</f>
        <v/>
      </c>
      <c r="M163" s="5">
        <f>IF(I163=10,G163*H163*J163,"")</f>
        <v/>
      </c>
      <c r="N163" s="5">
        <f>IF(I163=12,G163*H163*J163,"")</f>
        <v/>
      </c>
      <c r="O163" s="5">
        <f>IF(I163=14,G163*H163*J163,"")</f>
        <v/>
      </c>
      <c r="P163" s="5">
        <f>IF(I163=16,G163*H163*J163,"")</f>
        <v/>
      </c>
      <c r="Q163" s="5">
        <f>IF(I163=20,G163*H163*J163,"")</f>
        <v/>
      </c>
      <c r="R163" s="5">
        <f>IF(I163=25,G163*H163*J163,"")</f>
        <v/>
      </c>
      <c r="S163" s="5">
        <f>IF(I163=32,G163*H163*J163,"")</f>
        <v/>
      </c>
    </row>
    <row r="164">
      <c r="A164" s="5" t="inlineStr">
        <is>
          <t>Armature LONG</t>
        </is>
      </c>
      <c r="G164" s="5" t="n">
        <v>1</v>
      </c>
      <c r="H164" s="5" t="n">
        <v>2</v>
      </c>
      <c r="I164" s="5" t="n">
        <v>14</v>
      </c>
      <c r="J164" s="5">
        <f>$T$145+18*I164/1000</f>
        <v/>
      </c>
      <c r="K164" s="5">
        <f>IF(I164=6,G164*H164*J164,"")</f>
        <v/>
      </c>
      <c r="L164" s="5">
        <f>IF(I164=8,G164*H164*J164,"")</f>
        <v/>
      </c>
      <c r="M164" s="5">
        <f>IF(I164=10,G164*H164*J164,"")</f>
        <v/>
      </c>
      <c r="N164" s="5">
        <f>IF(I164=12,G164*H164*J164,"")</f>
        <v/>
      </c>
      <c r="O164" s="5">
        <f>IF(I164=14,G164*H164*J164,"")</f>
        <v/>
      </c>
      <c r="P164" s="5">
        <f>IF(I164=16,G164*H164*J164,"")</f>
        <v/>
      </c>
      <c r="Q164" s="5">
        <f>IF(I164=20,G164*H164*J164,"")</f>
        <v/>
      </c>
      <c r="R164" s="5">
        <f>IF(I164=25,G164*H164*J164,"")</f>
        <v/>
      </c>
      <c r="S164" s="5">
        <f>IF(I164=32,G164*H164*J164,"")</f>
        <v/>
      </c>
    </row>
    <row r="165">
      <c r="A165" s="5" t="inlineStr">
        <is>
          <t>CADRE</t>
        </is>
      </c>
      <c r="G165" s="5" t="n">
        <v>1</v>
      </c>
      <c r="H165" s="5">
        <f>ROUNDUP(($T$145-0.25)/0.15,0)</f>
        <v/>
      </c>
      <c r="I165" s="5" t="n">
        <v>6</v>
      </c>
      <c r="J165" s="5">
        <f>2*(E162+F162)+20.5*I165/1000</f>
        <v/>
      </c>
      <c r="K165" s="5">
        <f>IF(I165=6,G165*H165*J165,"")</f>
        <v/>
      </c>
      <c r="L165" s="5">
        <f>IF(I165=8,G165*H165*J165,"")</f>
        <v/>
      </c>
      <c r="M165" s="5">
        <f>IF(I165=10,G165*H165*J165,"")</f>
        <v/>
      </c>
      <c r="N165" s="5">
        <f>IF(I165=12,G165*H165*J165,"")</f>
        <v/>
      </c>
      <c r="O165" s="5">
        <f>IF(I165=14,G165*H165*J165,"")</f>
        <v/>
      </c>
      <c r="P165" s="5">
        <f>IF(I165=16,G165*H165*J165,"")</f>
        <v/>
      </c>
      <c r="Q165" s="5">
        <f>IF(I165=20,G165*H165*J165,"")</f>
        <v/>
      </c>
      <c r="R165" s="5">
        <f>IF(I165=25,G165*H165*J165,"")</f>
        <v/>
      </c>
      <c r="S165" s="5">
        <f>IF(I165=32,G165*H165*J165,"")</f>
        <v/>
      </c>
    </row>
    <row r="166">
      <c r="A166" s="5" t="inlineStr">
        <is>
          <t>EPINGLE</t>
        </is>
      </c>
      <c r="G166" s="5" t="n">
        <v>1</v>
      </c>
      <c r="H166" s="5">
        <f>ROUNDUP(($T$145-0.25)/0.15,0)</f>
        <v/>
      </c>
      <c r="I166" s="5" t="n">
        <v>6</v>
      </c>
      <c r="J166" s="5">
        <f>E162+22*I166/1000</f>
        <v/>
      </c>
      <c r="K166" s="5">
        <f>IF(I166=6,G166*H166*J166,"")</f>
        <v/>
      </c>
      <c r="L166" s="5">
        <f>IF(I166=8,G166*H166*J166,"")</f>
        <v/>
      </c>
      <c r="M166" s="5">
        <f>IF(I166=10,G166*H166*J166,"")</f>
        <v/>
      </c>
      <c r="N166" s="5">
        <f>IF(I166=12,G166*H166*J166,"")</f>
        <v/>
      </c>
      <c r="O166" s="5">
        <f>IF(I166=14,G166*H166*J166,"")</f>
        <v/>
      </c>
      <c r="P166" s="5">
        <f>IF(I166=16,G166*H166*J166,"")</f>
        <v/>
      </c>
      <c r="Q166" s="5">
        <f>IF(I166=20,G166*H166*J166,"")</f>
        <v/>
      </c>
      <c r="R166" s="5">
        <f>IF(I166=25,G166*H166*J166,"")</f>
        <v/>
      </c>
      <c r="S166" s="5">
        <f>IF(I166=32,G166*H166*J166,"")</f>
        <v/>
      </c>
    </row>
    <row r="167">
      <c r="B167" s="5" t="inlineStr">
        <is>
          <t>A</t>
        </is>
      </c>
      <c r="C167" s="5" t="inlineStr">
        <is>
          <t>6</t>
        </is>
      </c>
      <c r="D167" s="5" t="inlineStr">
        <is>
          <t>P1</t>
        </is>
      </c>
      <c r="E167" s="5" t="n">
        <v>0.25</v>
      </c>
      <c r="F167" s="5" t="n">
        <v>0.35</v>
      </c>
    </row>
    <row r="168">
      <c r="A168" s="5" t="inlineStr">
        <is>
          <t>Armature LONG</t>
        </is>
      </c>
      <c r="G168" s="5" t="n">
        <v>1</v>
      </c>
      <c r="H168" s="5" t="n">
        <v>4</v>
      </c>
      <c r="I168" s="5" t="n">
        <v>14</v>
      </c>
      <c r="J168" s="5">
        <f>$T$145+18*I168/1000</f>
        <v/>
      </c>
      <c r="K168" s="5">
        <f>IF(I168=6,G168*H168*J168,"")</f>
        <v/>
      </c>
      <c r="L168" s="5">
        <f>IF(I168=8,G168*H168*J168,"")</f>
        <v/>
      </c>
      <c r="M168" s="5">
        <f>IF(I168=10,G168*H168*J168,"")</f>
        <v/>
      </c>
      <c r="N168" s="5">
        <f>IF(I168=12,G168*H168*J168,"")</f>
        <v/>
      </c>
      <c r="O168" s="5">
        <f>IF(I168=14,G168*H168*J168,"")</f>
        <v/>
      </c>
      <c r="P168" s="5">
        <f>IF(I168=16,G168*H168*J168,"")</f>
        <v/>
      </c>
      <c r="Q168" s="5">
        <f>IF(I168=20,G168*H168*J168,"")</f>
        <v/>
      </c>
      <c r="R168" s="5">
        <f>IF(I168=25,G168*H168*J168,"")</f>
        <v/>
      </c>
      <c r="S168" s="5">
        <f>IF(I168=32,G168*H168*J168,"")</f>
        <v/>
      </c>
    </row>
    <row r="169">
      <c r="A169" s="5" t="inlineStr">
        <is>
          <t>Armature LONG</t>
        </is>
      </c>
      <c r="G169" s="5" t="n">
        <v>1</v>
      </c>
      <c r="H169" s="5" t="n">
        <v>2</v>
      </c>
      <c r="I169" s="5" t="n">
        <v>14</v>
      </c>
      <c r="J169" s="5">
        <f>$T$145+18*I169/1000</f>
        <v/>
      </c>
      <c r="K169" s="5">
        <f>IF(I169=6,G169*H169*J169,"")</f>
        <v/>
      </c>
      <c r="L169" s="5">
        <f>IF(I169=8,G169*H169*J169,"")</f>
        <v/>
      </c>
      <c r="M169" s="5">
        <f>IF(I169=10,G169*H169*J169,"")</f>
        <v/>
      </c>
      <c r="N169" s="5">
        <f>IF(I169=12,G169*H169*J169,"")</f>
        <v/>
      </c>
      <c r="O169" s="5">
        <f>IF(I169=14,G169*H169*J169,"")</f>
        <v/>
      </c>
      <c r="P169" s="5">
        <f>IF(I169=16,G169*H169*J169,"")</f>
        <v/>
      </c>
      <c r="Q169" s="5">
        <f>IF(I169=20,G169*H169*J169,"")</f>
        <v/>
      </c>
      <c r="R169" s="5">
        <f>IF(I169=25,G169*H169*J169,"")</f>
        <v/>
      </c>
      <c r="S169" s="5">
        <f>IF(I169=32,G169*H169*J169,"")</f>
        <v/>
      </c>
    </row>
    <row r="170">
      <c r="A170" s="5" t="inlineStr">
        <is>
          <t>CADRE</t>
        </is>
      </c>
      <c r="G170" s="5" t="n">
        <v>1</v>
      </c>
      <c r="H170" s="5">
        <f>ROUNDUP(($T$145-0.25)/0.15,0)</f>
        <v/>
      </c>
      <c r="I170" s="5" t="n">
        <v>6</v>
      </c>
      <c r="J170" s="5">
        <f>2*(E167+F167)+20.5*I170/1000</f>
        <v/>
      </c>
      <c r="K170" s="5">
        <f>IF(I170=6,G170*H170*J170,"")</f>
        <v/>
      </c>
      <c r="L170" s="5">
        <f>IF(I170=8,G170*H170*J170,"")</f>
        <v/>
      </c>
      <c r="M170" s="5">
        <f>IF(I170=10,G170*H170*J170,"")</f>
        <v/>
      </c>
      <c r="N170" s="5">
        <f>IF(I170=12,G170*H170*J170,"")</f>
        <v/>
      </c>
      <c r="O170" s="5">
        <f>IF(I170=14,G170*H170*J170,"")</f>
        <v/>
      </c>
      <c r="P170" s="5">
        <f>IF(I170=16,G170*H170*J170,"")</f>
        <v/>
      </c>
      <c r="Q170" s="5">
        <f>IF(I170=20,G170*H170*J170,"")</f>
        <v/>
      </c>
      <c r="R170" s="5">
        <f>IF(I170=25,G170*H170*J170,"")</f>
        <v/>
      </c>
      <c r="S170" s="5">
        <f>IF(I170=32,G170*H170*J170,"")</f>
        <v/>
      </c>
    </row>
    <row r="171">
      <c r="A171" s="5" t="inlineStr">
        <is>
          <t>EPINGLE</t>
        </is>
      </c>
      <c r="G171" s="5" t="n">
        <v>1</v>
      </c>
      <c r="H171" s="5">
        <f>ROUNDUP(($T$145-0.25)/0.15,0)</f>
        <v/>
      </c>
      <c r="I171" s="5" t="n">
        <v>6</v>
      </c>
      <c r="J171" s="5">
        <f>E167+22*I171/1000</f>
        <v/>
      </c>
      <c r="K171" s="5">
        <f>IF(I171=6,G171*H171*J171,"")</f>
        <v/>
      </c>
      <c r="L171" s="5">
        <f>IF(I171=8,G171*H171*J171,"")</f>
        <v/>
      </c>
      <c r="M171" s="5">
        <f>IF(I171=10,G171*H171*J171,"")</f>
        <v/>
      </c>
      <c r="N171" s="5">
        <f>IF(I171=12,G171*H171*J171,"")</f>
        <v/>
      </c>
      <c r="O171" s="5">
        <f>IF(I171=14,G171*H171*J171,"")</f>
        <v/>
      </c>
      <c r="P171" s="5">
        <f>IF(I171=16,G171*H171*J171,"")</f>
        <v/>
      </c>
      <c r="Q171" s="5">
        <f>IF(I171=20,G171*H171*J171,"")</f>
        <v/>
      </c>
      <c r="R171" s="5">
        <f>IF(I171=25,G171*H171*J171,"")</f>
        <v/>
      </c>
      <c r="S171" s="5">
        <f>IF(I171=32,G171*H171*J171,"")</f>
        <v/>
      </c>
    </row>
    <row r="172">
      <c r="B172" s="5" t="inlineStr">
        <is>
          <t>A</t>
        </is>
      </c>
      <c r="C172" s="5" t="inlineStr">
        <is>
          <t>7</t>
        </is>
      </c>
      <c r="D172" s="5" t="inlineStr">
        <is>
          <t>P1</t>
        </is>
      </c>
      <c r="E172" s="5" t="n">
        <v>0.25</v>
      </c>
      <c r="F172" s="5" t="n">
        <v>0.35</v>
      </c>
    </row>
    <row r="173">
      <c r="A173" s="5" t="inlineStr">
        <is>
          <t>Armature LONG</t>
        </is>
      </c>
      <c r="G173" s="5" t="n">
        <v>1</v>
      </c>
      <c r="H173" s="5" t="n">
        <v>4</v>
      </c>
      <c r="I173" s="5" t="n">
        <v>14</v>
      </c>
      <c r="J173" s="5">
        <f>$T$145+18*I173/1000</f>
        <v/>
      </c>
      <c r="K173" s="5">
        <f>IF(I173=6,G173*H173*J173,"")</f>
        <v/>
      </c>
      <c r="L173" s="5">
        <f>IF(I173=8,G173*H173*J173,"")</f>
        <v/>
      </c>
      <c r="M173" s="5">
        <f>IF(I173=10,G173*H173*J173,"")</f>
        <v/>
      </c>
      <c r="N173" s="5">
        <f>IF(I173=12,G173*H173*J173,"")</f>
        <v/>
      </c>
      <c r="O173" s="5">
        <f>IF(I173=14,G173*H173*J173,"")</f>
        <v/>
      </c>
      <c r="P173" s="5">
        <f>IF(I173=16,G173*H173*J173,"")</f>
        <v/>
      </c>
      <c r="Q173" s="5">
        <f>IF(I173=20,G173*H173*J173,"")</f>
        <v/>
      </c>
      <c r="R173" s="5">
        <f>IF(I173=25,G173*H173*J173,"")</f>
        <v/>
      </c>
      <c r="S173" s="5">
        <f>IF(I173=32,G173*H173*J173,"")</f>
        <v/>
      </c>
    </row>
    <row r="174">
      <c r="A174" s="5" t="inlineStr">
        <is>
          <t>Armature LONG</t>
        </is>
      </c>
      <c r="G174" s="5" t="n">
        <v>1</v>
      </c>
      <c r="H174" s="5" t="n">
        <v>2</v>
      </c>
      <c r="I174" s="5" t="n">
        <v>14</v>
      </c>
      <c r="J174" s="5">
        <f>$T$145+18*I174/1000</f>
        <v/>
      </c>
      <c r="K174" s="5">
        <f>IF(I174=6,G174*H174*J174,"")</f>
        <v/>
      </c>
      <c r="L174" s="5">
        <f>IF(I174=8,G174*H174*J174,"")</f>
        <v/>
      </c>
      <c r="M174" s="5">
        <f>IF(I174=10,G174*H174*J174,"")</f>
        <v/>
      </c>
      <c r="N174" s="5">
        <f>IF(I174=12,G174*H174*J174,"")</f>
        <v/>
      </c>
      <c r="O174" s="5">
        <f>IF(I174=14,G174*H174*J174,"")</f>
        <v/>
      </c>
      <c r="P174" s="5">
        <f>IF(I174=16,G174*H174*J174,"")</f>
        <v/>
      </c>
      <c r="Q174" s="5">
        <f>IF(I174=20,G174*H174*J174,"")</f>
        <v/>
      </c>
      <c r="R174" s="5">
        <f>IF(I174=25,G174*H174*J174,"")</f>
        <v/>
      </c>
      <c r="S174" s="5">
        <f>IF(I174=32,G174*H174*J174,"")</f>
        <v/>
      </c>
    </row>
    <row r="175">
      <c r="A175" s="5" t="inlineStr">
        <is>
          <t>CADRE</t>
        </is>
      </c>
      <c r="G175" s="5" t="n">
        <v>1</v>
      </c>
      <c r="H175" s="5">
        <f>ROUNDUP(($T$145-0.25)/0.15,0)</f>
        <v/>
      </c>
      <c r="I175" s="5" t="n">
        <v>6</v>
      </c>
      <c r="J175" s="5">
        <f>2*(E172+F172)+20.5*I175/1000</f>
        <v/>
      </c>
      <c r="K175" s="5">
        <f>IF(I175=6,G175*H175*J175,"")</f>
        <v/>
      </c>
      <c r="L175" s="5">
        <f>IF(I175=8,G175*H175*J175,"")</f>
        <v/>
      </c>
      <c r="M175" s="5">
        <f>IF(I175=10,G175*H175*J175,"")</f>
        <v/>
      </c>
      <c r="N175" s="5">
        <f>IF(I175=12,G175*H175*J175,"")</f>
        <v/>
      </c>
      <c r="O175" s="5">
        <f>IF(I175=14,G175*H175*J175,"")</f>
        <v/>
      </c>
      <c r="P175" s="5">
        <f>IF(I175=16,G175*H175*J175,"")</f>
        <v/>
      </c>
      <c r="Q175" s="5">
        <f>IF(I175=20,G175*H175*J175,"")</f>
        <v/>
      </c>
      <c r="R175" s="5">
        <f>IF(I175=25,G175*H175*J175,"")</f>
        <v/>
      </c>
      <c r="S175" s="5">
        <f>IF(I175=32,G175*H175*J175,"")</f>
        <v/>
      </c>
    </row>
    <row r="176">
      <c r="A176" s="5" t="inlineStr">
        <is>
          <t>EPINGLE</t>
        </is>
      </c>
      <c r="G176" s="5" t="n">
        <v>1</v>
      </c>
      <c r="H176" s="5">
        <f>ROUNDUP(($T$145-0.25)/0.15,0)</f>
        <v/>
      </c>
      <c r="I176" s="5" t="n">
        <v>6</v>
      </c>
      <c r="J176" s="5">
        <f>E172+22*I176/1000</f>
        <v/>
      </c>
      <c r="K176" s="5">
        <f>IF(I176=6,G176*H176*J176,"")</f>
        <v/>
      </c>
      <c r="L176" s="5">
        <f>IF(I176=8,G176*H176*J176,"")</f>
        <v/>
      </c>
      <c r="M176" s="5">
        <f>IF(I176=10,G176*H176*J176,"")</f>
        <v/>
      </c>
      <c r="N176" s="5">
        <f>IF(I176=12,G176*H176*J176,"")</f>
        <v/>
      </c>
      <c r="O176" s="5">
        <f>IF(I176=14,G176*H176*J176,"")</f>
        <v/>
      </c>
      <c r="P176" s="5">
        <f>IF(I176=16,G176*H176*J176,"")</f>
        <v/>
      </c>
      <c r="Q176" s="5">
        <f>IF(I176=20,G176*H176*J176,"")</f>
        <v/>
      </c>
      <c r="R176" s="5">
        <f>IF(I176=25,G176*H176*J176,"")</f>
        <v/>
      </c>
      <c r="S176" s="5">
        <f>IF(I176=32,G176*H176*J176,"")</f>
        <v/>
      </c>
    </row>
    <row r="177">
      <c r="B177" s="5" t="inlineStr">
        <is>
          <t>A</t>
        </is>
      </c>
      <c r="C177" s="5" t="inlineStr">
        <is>
          <t>8</t>
        </is>
      </c>
      <c r="D177" s="5" t="inlineStr">
        <is>
          <t>P1</t>
        </is>
      </c>
      <c r="E177" s="5" t="n">
        <v>0.25</v>
      </c>
      <c r="F177" s="5" t="n">
        <v>0.35</v>
      </c>
    </row>
    <row r="178">
      <c r="A178" s="5" t="inlineStr">
        <is>
          <t>Armature LONG</t>
        </is>
      </c>
      <c r="G178" s="5" t="n">
        <v>1</v>
      </c>
      <c r="H178" s="5" t="n">
        <v>4</v>
      </c>
      <c r="I178" s="5" t="n">
        <v>14</v>
      </c>
      <c r="J178" s="5">
        <f>$T$145+18*I178/1000</f>
        <v/>
      </c>
      <c r="K178" s="5">
        <f>IF(I178=6,G178*H178*J178,"")</f>
        <v/>
      </c>
      <c r="L178" s="5">
        <f>IF(I178=8,G178*H178*J178,"")</f>
        <v/>
      </c>
      <c r="M178" s="5">
        <f>IF(I178=10,G178*H178*J178,"")</f>
        <v/>
      </c>
      <c r="N178" s="5">
        <f>IF(I178=12,G178*H178*J178,"")</f>
        <v/>
      </c>
      <c r="O178" s="5">
        <f>IF(I178=14,G178*H178*J178,"")</f>
        <v/>
      </c>
      <c r="P178" s="5">
        <f>IF(I178=16,G178*H178*J178,"")</f>
        <v/>
      </c>
      <c r="Q178" s="5">
        <f>IF(I178=20,G178*H178*J178,"")</f>
        <v/>
      </c>
      <c r="R178" s="5">
        <f>IF(I178=25,G178*H178*J178,"")</f>
        <v/>
      </c>
      <c r="S178" s="5">
        <f>IF(I178=32,G178*H178*J178,"")</f>
        <v/>
      </c>
    </row>
    <row r="179">
      <c r="A179" s="5" t="inlineStr">
        <is>
          <t>Armature LONG</t>
        </is>
      </c>
      <c r="G179" s="5" t="n">
        <v>1</v>
      </c>
      <c r="H179" s="5" t="n">
        <v>2</v>
      </c>
      <c r="I179" s="5" t="n">
        <v>14</v>
      </c>
      <c r="J179" s="5">
        <f>$T$145+18*I179/1000</f>
        <v/>
      </c>
      <c r="K179" s="5">
        <f>IF(I179=6,G179*H179*J179,"")</f>
        <v/>
      </c>
      <c r="L179" s="5">
        <f>IF(I179=8,G179*H179*J179,"")</f>
        <v/>
      </c>
      <c r="M179" s="5">
        <f>IF(I179=10,G179*H179*J179,"")</f>
        <v/>
      </c>
      <c r="N179" s="5">
        <f>IF(I179=12,G179*H179*J179,"")</f>
        <v/>
      </c>
      <c r="O179" s="5">
        <f>IF(I179=14,G179*H179*J179,"")</f>
        <v/>
      </c>
      <c r="P179" s="5">
        <f>IF(I179=16,G179*H179*J179,"")</f>
        <v/>
      </c>
      <c r="Q179" s="5">
        <f>IF(I179=20,G179*H179*J179,"")</f>
        <v/>
      </c>
      <c r="R179" s="5">
        <f>IF(I179=25,G179*H179*J179,"")</f>
        <v/>
      </c>
      <c r="S179" s="5">
        <f>IF(I179=32,G179*H179*J179,"")</f>
        <v/>
      </c>
    </row>
    <row r="180">
      <c r="A180" s="5" t="inlineStr">
        <is>
          <t>CADRE</t>
        </is>
      </c>
      <c r="G180" s="5" t="n">
        <v>1</v>
      </c>
      <c r="H180" s="5">
        <f>ROUNDUP(($T$145-0.25)/0.15,0)</f>
        <v/>
      </c>
      <c r="I180" s="5" t="n">
        <v>6</v>
      </c>
      <c r="J180" s="5">
        <f>2*(E177+F177)+20.5*I180/1000</f>
        <v/>
      </c>
      <c r="K180" s="5">
        <f>IF(I180=6,G180*H180*J180,"")</f>
        <v/>
      </c>
      <c r="L180" s="5">
        <f>IF(I180=8,G180*H180*J180,"")</f>
        <v/>
      </c>
      <c r="M180" s="5">
        <f>IF(I180=10,G180*H180*J180,"")</f>
        <v/>
      </c>
      <c r="N180" s="5">
        <f>IF(I180=12,G180*H180*J180,"")</f>
        <v/>
      </c>
      <c r="O180" s="5">
        <f>IF(I180=14,G180*H180*J180,"")</f>
        <v/>
      </c>
      <c r="P180" s="5">
        <f>IF(I180=16,G180*H180*J180,"")</f>
        <v/>
      </c>
      <c r="Q180" s="5">
        <f>IF(I180=20,G180*H180*J180,"")</f>
        <v/>
      </c>
      <c r="R180" s="5">
        <f>IF(I180=25,G180*H180*J180,"")</f>
        <v/>
      </c>
      <c r="S180" s="5">
        <f>IF(I180=32,G180*H180*J180,"")</f>
        <v/>
      </c>
    </row>
    <row r="181">
      <c r="A181" s="5" t="inlineStr">
        <is>
          <t>EPINGLE</t>
        </is>
      </c>
      <c r="G181" s="5" t="n">
        <v>1</v>
      </c>
      <c r="H181" s="5">
        <f>ROUNDUP(($T$145-0.25)/0.15,0)</f>
        <v/>
      </c>
      <c r="I181" s="5" t="n">
        <v>6</v>
      </c>
      <c r="J181" s="5">
        <f>E177+22*I181/1000</f>
        <v/>
      </c>
      <c r="K181" s="5">
        <f>IF(I181=6,G181*H181*J181,"")</f>
        <v/>
      </c>
      <c r="L181" s="5">
        <f>IF(I181=8,G181*H181*J181,"")</f>
        <v/>
      </c>
      <c r="M181" s="5">
        <f>IF(I181=10,G181*H181*J181,"")</f>
        <v/>
      </c>
      <c r="N181" s="5">
        <f>IF(I181=12,G181*H181*J181,"")</f>
        <v/>
      </c>
      <c r="O181" s="5">
        <f>IF(I181=14,G181*H181*J181,"")</f>
        <v/>
      </c>
      <c r="P181" s="5">
        <f>IF(I181=16,G181*H181*J181,"")</f>
        <v/>
      </c>
      <c r="Q181" s="5">
        <f>IF(I181=20,G181*H181*J181,"")</f>
        <v/>
      </c>
      <c r="R181" s="5">
        <f>IF(I181=25,G181*H181*J181,"")</f>
        <v/>
      </c>
      <c r="S181" s="5">
        <f>IF(I181=32,G181*H181*J181,"")</f>
        <v/>
      </c>
    </row>
    <row r="182">
      <c r="B182" s="5" t="inlineStr">
        <is>
          <t>B</t>
        </is>
      </c>
      <c r="C182" s="5" t="inlineStr">
        <is>
          <t>5</t>
        </is>
      </c>
      <c r="D182" s="5" t="inlineStr">
        <is>
          <t>P4</t>
        </is>
      </c>
      <c r="E182" s="5" t="n">
        <v>0.35</v>
      </c>
      <c r="F182" s="5" t="n">
        <v>0.35</v>
      </c>
    </row>
    <row r="183">
      <c r="A183" s="5" t="inlineStr">
        <is>
          <t>Armature LONG</t>
        </is>
      </c>
      <c r="G183" s="5" t="n">
        <v>1</v>
      </c>
      <c r="H183" s="5" t="n">
        <v>6</v>
      </c>
      <c r="I183" s="5" t="n">
        <v>14</v>
      </c>
      <c r="J183" s="5">
        <f>$T$145+18*I183/1000</f>
        <v/>
      </c>
      <c r="K183" s="5">
        <f>IF(I183=6,G183*H183*J183,"")</f>
        <v/>
      </c>
      <c r="L183" s="5">
        <f>IF(I183=8,G183*H183*J183,"")</f>
        <v/>
      </c>
      <c r="M183" s="5">
        <f>IF(I183=10,G183*H183*J183,"")</f>
        <v/>
      </c>
      <c r="N183" s="5">
        <f>IF(I183=12,G183*H183*J183,"")</f>
        <v/>
      </c>
      <c r="O183" s="5">
        <f>IF(I183=14,G183*H183*J183,"")</f>
        <v/>
      </c>
      <c r="P183" s="5">
        <f>IF(I183=16,G183*H183*J183,"")</f>
        <v/>
      </c>
      <c r="Q183" s="5">
        <f>IF(I183=20,G183*H183*J183,"")</f>
        <v/>
      </c>
      <c r="R183" s="5">
        <f>IF(I183=25,G183*H183*J183,"")</f>
        <v/>
      </c>
      <c r="S183" s="5">
        <f>IF(I183=32,G183*H183*J183,"")</f>
        <v/>
      </c>
    </row>
    <row r="184">
      <c r="A184" s="5" t="inlineStr">
        <is>
          <t>CADRE</t>
        </is>
      </c>
      <c r="G184" s="5" t="n">
        <v>1</v>
      </c>
      <c r="H184" s="5">
        <f>ROUNDUP(($T$145-0.25)/0.15,0)</f>
        <v/>
      </c>
      <c r="I184" s="5" t="n">
        <v>6</v>
      </c>
      <c r="J184" s="5">
        <f>2*(E182+F182)+20.5*I184/1000</f>
        <v/>
      </c>
      <c r="K184" s="5">
        <f>IF(I184=6,G184*H184*J184,"")</f>
        <v/>
      </c>
      <c r="L184" s="5">
        <f>IF(I184=8,G184*H184*J184,"")</f>
        <v/>
      </c>
      <c r="M184" s="5">
        <f>IF(I184=10,G184*H184*J184,"")</f>
        <v/>
      </c>
      <c r="N184" s="5">
        <f>IF(I184=12,G184*H184*J184,"")</f>
        <v/>
      </c>
      <c r="O184" s="5">
        <f>IF(I184=14,G184*H184*J184,"")</f>
        <v/>
      </c>
      <c r="P184" s="5">
        <f>IF(I184=16,G184*H184*J184,"")</f>
        <v/>
      </c>
      <c r="Q184" s="5">
        <f>IF(I184=20,G184*H184*J184,"")</f>
        <v/>
      </c>
      <c r="R184" s="5">
        <f>IF(I184=25,G184*H184*J184,"")</f>
        <v/>
      </c>
      <c r="S184" s="5">
        <f>IF(I184=32,G184*H184*J184,"")</f>
        <v/>
      </c>
    </row>
    <row r="185">
      <c r="A185" s="5" t="inlineStr">
        <is>
          <t>EPINGLE</t>
        </is>
      </c>
      <c r="G185" s="5" t="n">
        <v>1</v>
      </c>
      <c r="H185" s="5">
        <f>ROUNDUP(($T$145-0.25)/0.15,0)</f>
        <v/>
      </c>
      <c r="I185" s="5" t="n">
        <v>6</v>
      </c>
      <c r="J185" s="5">
        <f>E182+22*I185/1000</f>
        <v/>
      </c>
      <c r="K185" s="5">
        <f>IF(I185=6,G185*H185*J185,"")</f>
        <v/>
      </c>
      <c r="L185" s="5">
        <f>IF(I185=8,G185*H185*J185,"")</f>
        <v/>
      </c>
      <c r="M185" s="5">
        <f>IF(I185=10,G185*H185*J185,"")</f>
        <v/>
      </c>
      <c r="N185" s="5">
        <f>IF(I185=12,G185*H185*J185,"")</f>
        <v/>
      </c>
      <c r="O185" s="5">
        <f>IF(I185=14,G185*H185*J185,"")</f>
        <v/>
      </c>
      <c r="P185" s="5">
        <f>IF(I185=16,G185*H185*J185,"")</f>
        <v/>
      </c>
      <c r="Q185" s="5">
        <f>IF(I185=20,G185*H185*J185,"")</f>
        <v/>
      </c>
      <c r="R185" s="5">
        <f>IF(I185=25,G185*H185*J185,"")</f>
        <v/>
      </c>
      <c r="S185" s="5">
        <f>IF(I185=32,G185*H185*J185,"")</f>
        <v/>
      </c>
    </row>
    <row r="186">
      <c r="B186" s="5" t="inlineStr">
        <is>
          <t>C</t>
        </is>
      </c>
      <c r="C186" s="5" t="inlineStr">
        <is>
          <t>6</t>
        </is>
      </c>
      <c r="D186" s="5" t="inlineStr">
        <is>
          <t>P1</t>
        </is>
      </c>
      <c r="E186" s="5" t="n">
        <v>0.25</v>
      </c>
      <c r="F186" s="5" t="n">
        <v>0.35</v>
      </c>
    </row>
    <row r="187">
      <c r="A187" s="5" t="inlineStr">
        <is>
          <t>Armature LONG</t>
        </is>
      </c>
      <c r="G187" s="5" t="n">
        <v>1</v>
      </c>
      <c r="H187" s="5" t="n">
        <v>4</v>
      </c>
      <c r="I187" s="5" t="n">
        <v>14</v>
      </c>
      <c r="J187" s="5">
        <f>$T$145+18*I187/1000</f>
        <v/>
      </c>
      <c r="K187" s="5">
        <f>IF(I187=6,G187*H187*J187,"")</f>
        <v/>
      </c>
      <c r="L187" s="5">
        <f>IF(I187=8,G187*H187*J187,"")</f>
        <v/>
      </c>
      <c r="M187" s="5">
        <f>IF(I187=10,G187*H187*J187,"")</f>
        <v/>
      </c>
      <c r="N187" s="5">
        <f>IF(I187=12,G187*H187*J187,"")</f>
        <v/>
      </c>
      <c r="O187" s="5">
        <f>IF(I187=14,G187*H187*J187,"")</f>
        <v/>
      </c>
      <c r="P187" s="5">
        <f>IF(I187=16,G187*H187*J187,"")</f>
        <v/>
      </c>
      <c r="Q187" s="5">
        <f>IF(I187=20,G187*H187*J187,"")</f>
        <v/>
      </c>
      <c r="R187" s="5">
        <f>IF(I187=25,G187*H187*J187,"")</f>
        <v/>
      </c>
      <c r="S187" s="5">
        <f>IF(I187=32,G187*H187*J187,"")</f>
        <v/>
      </c>
    </row>
    <row r="188">
      <c r="A188" s="5" t="inlineStr">
        <is>
          <t>Armature LONG</t>
        </is>
      </c>
      <c r="G188" s="5" t="n">
        <v>1</v>
      </c>
      <c r="H188" s="5" t="n">
        <v>2</v>
      </c>
      <c r="I188" s="5" t="n">
        <v>14</v>
      </c>
      <c r="J188" s="5">
        <f>$T$145+18*I188/1000</f>
        <v/>
      </c>
      <c r="K188" s="5">
        <f>IF(I188=6,G188*H188*J188,"")</f>
        <v/>
      </c>
      <c r="L188" s="5">
        <f>IF(I188=8,G188*H188*J188,"")</f>
        <v/>
      </c>
      <c r="M188" s="5">
        <f>IF(I188=10,G188*H188*J188,"")</f>
        <v/>
      </c>
      <c r="N188" s="5">
        <f>IF(I188=12,G188*H188*J188,"")</f>
        <v/>
      </c>
      <c r="O188" s="5">
        <f>IF(I188=14,G188*H188*J188,"")</f>
        <v/>
      </c>
      <c r="P188" s="5">
        <f>IF(I188=16,G188*H188*J188,"")</f>
        <v/>
      </c>
      <c r="Q188" s="5">
        <f>IF(I188=20,G188*H188*J188,"")</f>
        <v/>
      </c>
      <c r="R188" s="5">
        <f>IF(I188=25,G188*H188*J188,"")</f>
        <v/>
      </c>
      <c r="S188" s="5">
        <f>IF(I188=32,G188*H188*J188,"")</f>
        <v/>
      </c>
    </row>
    <row r="189">
      <c r="A189" s="5" t="inlineStr">
        <is>
          <t>CADRE</t>
        </is>
      </c>
      <c r="G189" s="5" t="n">
        <v>1</v>
      </c>
      <c r="H189" s="5">
        <f>ROUNDUP(($T$145-0.25)/0.15,0)</f>
        <v/>
      </c>
      <c r="I189" s="5" t="n">
        <v>6</v>
      </c>
      <c r="J189" s="5">
        <f>2*(E186+F186)+20.5*I189/1000</f>
        <v/>
      </c>
      <c r="K189" s="5">
        <f>IF(I189=6,G189*H189*J189,"")</f>
        <v/>
      </c>
      <c r="L189" s="5">
        <f>IF(I189=8,G189*H189*J189,"")</f>
        <v/>
      </c>
      <c r="M189" s="5">
        <f>IF(I189=10,G189*H189*J189,"")</f>
        <v/>
      </c>
      <c r="N189" s="5">
        <f>IF(I189=12,G189*H189*J189,"")</f>
        <v/>
      </c>
      <c r="O189" s="5">
        <f>IF(I189=14,G189*H189*J189,"")</f>
        <v/>
      </c>
      <c r="P189" s="5">
        <f>IF(I189=16,G189*H189*J189,"")</f>
        <v/>
      </c>
      <c r="Q189" s="5">
        <f>IF(I189=20,G189*H189*J189,"")</f>
        <v/>
      </c>
      <c r="R189" s="5">
        <f>IF(I189=25,G189*H189*J189,"")</f>
        <v/>
      </c>
      <c r="S189" s="5">
        <f>IF(I189=32,G189*H189*J189,"")</f>
        <v/>
      </c>
    </row>
    <row r="190">
      <c r="A190" s="5" t="inlineStr">
        <is>
          <t>EPINGLE</t>
        </is>
      </c>
      <c r="G190" s="5" t="n">
        <v>1</v>
      </c>
      <c r="H190" s="5">
        <f>ROUNDUP(($T$145-0.25)/0.15,0)</f>
        <v/>
      </c>
      <c r="I190" s="5" t="n">
        <v>6</v>
      </c>
      <c r="J190" s="5">
        <f>E186+22*I190/1000</f>
        <v/>
      </c>
      <c r="K190" s="5">
        <f>IF(I190=6,G190*H190*J190,"")</f>
        <v/>
      </c>
      <c r="L190" s="5">
        <f>IF(I190=8,G190*H190*J190,"")</f>
        <v/>
      </c>
      <c r="M190" s="5">
        <f>IF(I190=10,G190*H190*J190,"")</f>
        <v/>
      </c>
      <c r="N190" s="5">
        <f>IF(I190=12,G190*H190*J190,"")</f>
        <v/>
      </c>
      <c r="O190" s="5">
        <f>IF(I190=14,G190*H190*J190,"")</f>
        <v/>
      </c>
      <c r="P190" s="5">
        <f>IF(I190=16,G190*H190*J190,"")</f>
        <v/>
      </c>
      <c r="Q190" s="5">
        <f>IF(I190=20,G190*H190*J190,"")</f>
        <v/>
      </c>
      <c r="R190" s="5">
        <f>IF(I190=25,G190*H190*J190,"")</f>
        <v/>
      </c>
      <c r="S190" s="5">
        <f>IF(I190=32,G190*H190*J190,"")</f>
        <v/>
      </c>
    </row>
    <row r="191">
      <c r="B191" s="5" t="inlineStr">
        <is>
          <t>C</t>
        </is>
      </c>
      <c r="C191" s="5" t="inlineStr">
        <is>
          <t>7</t>
        </is>
      </c>
      <c r="D191" s="5" t="inlineStr">
        <is>
          <t>P1</t>
        </is>
      </c>
      <c r="E191" s="5" t="n">
        <v>0.25</v>
      </c>
      <c r="F191" s="5" t="n">
        <v>0.35</v>
      </c>
    </row>
    <row r="192">
      <c r="A192" s="5" t="inlineStr">
        <is>
          <t>Armature LONG</t>
        </is>
      </c>
      <c r="G192" s="5" t="n">
        <v>1</v>
      </c>
      <c r="H192" s="5" t="n">
        <v>4</v>
      </c>
      <c r="I192" s="5" t="n">
        <v>14</v>
      </c>
      <c r="J192" s="5">
        <f>$T$145+18*I192/1000</f>
        <v/>
      </c>
      <c r="K192" s="5">
        <f>IF(I192=6,G192*H192*J192,"")</f>
        <v/>
      </c>
      <c r="L192" s="5">
        <f>IF(I192=8,G192*H192*J192,"")</f>
        <v/>
      </c>
      <c r="M192" s="5">
        <f>IF(I192=10,G192*H192*J192,"")</f>
        <v/>
      </c>
      <c r="N192" s="5">
        <f>IF(I192=12,G192*H192*J192,"")</f>
        <v/>
      </c>
      <c r="O192" s="5">
        <f>IF(I192=14,G192*H192*J192,"")</f>
        <v/>
      </c>
      <c r="P192" s="5">
        <f>IF(I192=16,G192*H192*J192,"")</f>
        <v/>
      </c>
      <c r="Q192" s="5">
        <f>IF(I192=20,G192*H192*J192,"")</f>
        <v/>
      </c>
      <c r="R192" s="5">
        <f>IF(I192=25,G192*H192*J192,"")</f>
        <v/>
      </c>
      <c r="S192" s="5">
        <f>IF(I192=32,G192*H192*J192,"")</f>
        <v/>
      </c>
    </row>
    <row r="193">
      <c r="A193" s="5" t="inlineStr">
        <is>
          <t>Armature LONG</t>
        </is>
      </c>
      <c r="G193" s="5" t="n">
        <v>1</v>
      </c>
      <c r="H193" s="5" t="n">
        <v>2</v>
      </c>
      <c r="I193" s="5" t="n">
        <v>14</v>
      </c>
      <c r="J193" s="5">
        <f>$T$145+18*I193/1000</f>
        <v/>
      </c>
      <c r="K193" s="5">
        <f>IF(I193=6,G193*H193*J193,"")</f>
        <v/>
      </c>
      <c r="L193" s="5">
        <f>IF(I193=8,G193*H193*J193,"")</f>
        <v/>
      </c>
      <c r="M193" s="5">
        <f>IF(I193=10,G193*H193*J193,"")</f>
        <v/>
      </c>
      <c r="N193" s="5">
        <f>IF(I193=12,G193*H193*J193,"")</f>
        <v/>
      </c>
      <c r="O193" s="5">
        <f>IF(I193=14,G193*H193*J193,"")</f>
        <v/>
      </c>
      <c r="P193" s="5">
        <f>IF(I193=16,G193*H193*J193,"")</f>
        <v/>
      </c>
      <c r="Q193" s="5">
        <f>IF(I193=20,G193*H193*J193,"")</f>
        <v/>
      </c>
      <c r="R193" s="5">
        <f>IF(I193=25,G193*H193*J193,"")</f>
        <v/>
      </c>
      <c r="S193" s="5">
        <f>IF(I193=32,G193*H193*J193,"")</f>
        <v/>
      </c>
    </row>
    <row r="194">
      <c r="A194" s="5" t="inlineStr">
        <is>
          <t>CADRE</t>
        </is>
      </c>
      <c r="G194" s="5" t="n">
        <v>1</v>
      </c>
      <c r="H194" s="5">
        <f>ROUNDUP(($T$145-0.25)/0.15,0)</f>
        <v/>
      </c>
      <c r="I194" s="5" t="n">
        <v>6</v>
      </c>
      <c r="J194" s="5">
        <f>2*(E191+F191)+20.5*I194/1000</f>
        <v/>
      </c>
      <c r="K194" s="5">
        <f>IF(I194=6,G194*H194*J194,"")</f>
        <v/>
      </c>
      <c r="L194" s="5">
        <f>IF(I194=8,G194*H194*J194,"")</f>
        <v/>
      </c>
      <c r="M194" s="5">
        <f>IF(I194=10,G194*H194*J194,"")</f>
        <v/>
      </c>
      <c r="N194" s="5">
        <f>IF(I194=12,G194*H194*J194,"")</f>
        <v/>
      </c>
      <c r="O194" s="5">
        <f>IF(I194=14,G194*H194*J194,"")</f>
        <v/>
      </c>
      <c r="P194" s="5">
        <f>IF(I194=16,G194*H194*J194,"")</f>
        <v/>
      </c>
      <c r="Q194" s="5">
        <f>IF(I194=20,G194*H194*J194,"")</f>
        <v/>
      </c>
      <c r="R194" s="5">
        <f>IF(I194=25,G194*H194*J194,"")</f>
        <v/>
      </c>
      <c r="S194" s="5">
        <f>IF(I194=32,G194*H194*J194,"")</f>
        <v/>
      </c>
    </row>
    <row r="195">
      <c r="A195" s="5" t="inlineStr">
        <is>
          <t>EPINGLE</t>
        </is>
      </c>
      <c r="G195" s="5" t="n">
        <v>1</v>
      </c>
      <c r="H195" s="5">
        <f>ROUNDUP(($T$145-0.25)/0.15,0)</f>
        <v/>
      </c>
      <c r="I195" s="5" t="n">
        <v>6</v>
      </c>
      <c r="J195" s="5">
        <f>E191+22*I195/1000</f>
        <v/>
      </c>
      <c r="K195" s="5">
        <f>IF(I195=6,G195*H195*J195,"")</f>
        <v/>
      </c>
      <c r="L195" s="5">
        <f>IF(I195=8,G195*H195*J195,"")</f>
        <v/>
      </c>
      <c r="M195" s="5">
        <f>IF(I195=10,G195*H195*J195,"")</f>
        <v/>
      </c>
      <c r="N195" s="5">
        <f>IF(I195=12,G195*H195*J195,"")</f>
        <v/>
      </c>
      <c r="O195" s="5">
        <f>IF(I195=14,G195*H195*J195,"")</f>
        <v/>
      </c>
      <c r="P195" s="5">
        <f>IF(I195=16,G195*H195*J195,"")</f>
        <v/>
      </c>
      <c r="Q195" s="5">
        <f>IF(I195=20,G195*H195*J195,"")</f>
        <v/>
      </c>
      <c r="R195" s="5">
        <f>IF(I195=25,G195*H195*J195,"")</f>
        <v/>
      </c>
      <c r="S195" s="5">
        <f>IF(I195=32,G195*H195*J195,"")</f>
        <v/>
      </c>
    </row>
    <row r="196">
      <c r="B196" s="5" t="inlineStr">
        <is>
          <t>C</t>
        </is>
      </c>
      <c r="C196" s="5" t="inlineStr">
        <is>
          <t>8</t>
        </is>
      </c>
      <c r="D196" s="5" t="inlineStr">
        <is>
          <t>P1</t>
        </is>
      </c>
      <c r="E196" s="5" t="n">
        <v>0.25</v>
      </c>
      <c r="F196" s="5" t="n">
        <v>0.35</v>
      </c>
    </row>
    <row r="197">
      <c r="A197" s="5" t="inlineStr">
        <is>
          <t>Armature LONG</t>
        </is>
      </c>
      <c r="G197" s="5" t="n">
        <v>1</v>
      </c>
      <c r="H197" s="5" t="n">
        <v>4</v>
      </c>
      <c r="I197" s="5" t="n">
        <v>14</v>
      </c>
      <c r="J197" s="5">
        <f>$T$145+18*I197/1000</f>
        <v/>
      </c>
      <c r="K197" s="5">
        <f>IF(I197=6,G197*H197*J197,"")</f>
        <v/>
      </c>
      <c r="L197" s="5">
        <f>IF(I197=8,G197*H197*J197,"")</f>
        <v/>
      </c>
      <c r="M197" s="5">
        <f>IF(I197=10,G197*H197*J197,"")</f>
        <v/>
      </c>
      <c r="N197" s="5">
        <f>IF(I197=12,G197*H197*J197,"")</f>
        <v/>
      </c>
      <c r="O197" s="5">
        <f>IF(I197=14,G197*H197*J197,"")</f>
        <v/>
      </c>
      <c r="P197" s="5">
        <f>IF(I197=16,G197*H197*J197,"")</f>
        <v/>
      </c>
      <c r="Q197" s="5">
        <f>IF(I197=20,G197*H197*J197,"")</f>
        <v/>
      </c>
      <c r="R197" s="5">
        <f>IF(I197=25,G197*H197*J197,"")</f>
        <v/>
      </c>
      <c r="S197" s="5">
        <f>IF(I197=32,G197*H197*J197,"")</f>
        <v/>
      </c>
    </row>
    <row r="198">
      <c r="A198" s="5" t="inlineStr">
        <is>
          <t>Armature LONG</t>
        </is>
      </c>
      <c r="G198" s="5" t="n">
        <v>1</v>
      </c>
      <c r="H198" s="5" t="n">
        <v>2</v>
      </c>
      <c r="I198" s="5" t="n">
        <v>14</v>
      </c>
      <c r="J198" s="5">
        <f>$T$145+18*I198/1000</f>
        <v/>
      </c>
      <c r="K198" s="5">
        <f>IF(I198=6,G198*H198*J198,"")</f>
        <v/>
      </c>
      <c r="L198" s="5">
        <f>IF(I198=8,G198*H198*J198,"")</f>
        <v/>
      </c>
      <c r="M198" s="5">
        <f>IF(I198=10,G198*H198*J198,"")</f>
        <v/>
      </c>
      <c r="N198" s="5">
        <f>IF(I198=12,G198*H198*J198,"")</f>
        <v/>
      </c>
      <c r="O198" s="5">
        <f>IF(I198=14,G198*H198*J198,"")</f>
        <v/>
      </c>
      <c r="P198" s="5">
        <f>IF(I198=16,G198*H198*J198,"")</f>
        <v/>
      </c>
      <c r="Q198" s="5">
        <f>IF(I198=20,G198*H198*J198,"")</f>
        <v/>
      </c>
      <c r="R198" s="5">
        <f>IF(I198=25,G198*H198*J198,"")</f>
        <v/>
      </c>
      <c r="S198" s="5">
        <f>IF(I198=32,G198*H198*J198,"")</f>
        <v/>
      </c>
    </row>
    <row r="199">
      <c r="A199" s="5" t="inlineStr">
        <is>
          <t>CADRE</t>
        </is>
      </c>
      <c r="G199" s="5" t="n">
        <v>1</v>
      </c>
      <c r="H199" s="5">
        <f>ROUNDUP(($T$145-0.25)/0.15,0)</f>
        <v/>
      </c>
      <c r="I199" s="5" t="n">
        <v>6</v>
      </c>
      <c r="J199" s="5">
        <f>2*(E196+F196)+20.5*I199/1000</f>
        <v/>
      </c>
      <c r="K199" s="5">
        <f>IF(I199=6,G199*H199*J199,"")</f>
        <v/>
      </c>
      <c r="L199" s="5">
        <f>IF(I199=8,G199*H199*J199,"")</f>
        <v/>
      </c>
      <c r="M199" s="5">
        <f>IF(I199=10,G199*H199*J199,"")</f>
        <v/>
      </c>
      <c r="N199" s="5">
        <f>IF(I199=12,G199*H199*J199,"")</f>
        <v/>
      </c>
      <c r="O199" s="5">
        <f>IF(I199=14,G199*H199*J199,"")</f>
        <v/>
      </c>
      <c r="P199" s="5">
        <f>IF(I199=16,G199*H199*J199,"")</f>
        <v/>
      </c>
      <c r="Q199" s="5">
        <f>IF(I199=20,G199*H199*J199,"")</f>
        <v/>
      </c>
      <c r="R199" s="5">
        <f>IF(I199=25,G199*H199*J199,"")</f>
        <v/>
      </c>
      <c r="S199" s="5">
        <f>IF(I199=32,G199*H199*J199,"")</f>
        <v/>
      </c>
    </row>
    <row r="200">
      <c r="A200" s="5" t="inlineStr">
        <is>
          <t>EPINGLE</t>
        </is>
      </c>
      <c r="G200" s="5" t="n">
        <v>1</v>
      </c>
      <c r="H200" s="5">
        <f>ROUNDUP(($T$145-0.25)/0.15,0)</f>
        <v/>
      </c>
      <c r="I200" s="5" t="n">
        <v>6</v>
      </c>
      <c r="J200" s="5">
        <f>E196+22*I200/1000</f>
        <v/>
      </c>
      <c r="K200" s="5">
        <f>IF(I200=6,G200*H200*J200,"")</f>
        <v/>
      </c>
      <c r="L200" s="5">
        <f>IF(I200=8,G200*H200*J200,"")</f>
        <v/>
      </c>
      <c r="M200" s="5">
        <f>IF(I200=10,G200*H200*J200,"")</f>
        <v/>
      </c>
      <c r="N200" s="5">
        <f>IF(I200=12,G200*H200*J200,"")</f>
        <v/>
      </c>
      <c r="O200" s="5">
        <f>IF(I200=14,G200*H200*J200,"")</f>
        <v/>
      </c>
      <c r="P200" s="5">
        <f>IF(I200=16,G200*H200*J200,"")</f>
        <v/>
      </c>
      <c r="Q200" s="5">
        <f>IF(I200=20,G200*H200*J200,"")</f>
        <v/>
      </c>
      <c r="R200" s="5">
        <f>IF(I200=25,G200*H200*J200,"")</f>
        <v/>
      </c>
      <c r="S200" s="5">
        <f>IF(I200=32,G200*H200*J200,"")</f>
        <v/>
      </c>
    </row>
    <row r="201">
      <c r="B201" s="5" t="inlineStr">
        <is>
          <t>D</t>
        </is>
      </c>
      <c r="C201" s="5" t="inlineStr">
        <is>
          <t>1</t>
        </is>
      </c>
      <c r="D201" s="5" t="inlineStr">
        <is>
          <t>P2</t>
        </is>
      </c>
      <c r="E201" s="5" t="n">
        <v>0.4</v>
      </c>
      <c r="F201" s="5" t="n">
        <v>0.4</v>
      </c>
    </row>
    <row r="202">
      <c r="A202" s="5" t="inlineStr">
        <is>
          <t>Armature LONG</t>
        </is>
      </c>
      <c r="G202" s="5" t="n">
        <v>1</v>
      </c>
      <c r="H202" s="5" t="n">
        <v>4</v>
      </c>
      <c r="I202" s="5" t="n">
        <v>14</v>
      </c>
      <c r="J202" s="5">
        <f>$T$145+18*I202/1000</f>
        <v/>
      </c>
      <c r="K202" s="5">
        <f>IF(I202=6,G202*H202*J202,"")</f>
        <v/>
      </c>
      <c r="L202" s="5">
        <f>IF(I202=8,G202*H202*J202,"")</f>
        <v/>
      </c>
      <c r="M202" s="5">
        <f>IF(I202=10,G202*H202*J202,"")</f>
        <v/>
      </c>
      <c r="N202" s="5">
        <f>IF(I202=12,G202*H202*J202,"")</f>
        <v/>
      </c>
      <c r="O202" s="5">
        <f>IF(I202=14,G202*H202*J202,"")</f>
        <v/>
      </c>
      <c r="P202" s="5">
        <f>IF(I202=16,G202*H202*J202,"")</f>
        <v/>
      </c>
      <c r="Q202" s="5">
        <f>IF(I202=20,G202*H202*J202,"")</f>
        <v/>
      </c>
      <c r="R202" s="5">
        <f>IF(I202=25,G202*H202*J202,"")</f>
        <v/>
      </c>
      <c r="S202" s="5">
        <f>IF(I202=32,G202*H202*J202,"")</f>
        <v/>
      </c>
    </row>
    <row r="203">
      <c r="A203" s="5" t="inlineStr">
        <is>
          <t>Armature LONG</t>
        </is>
      </c>
      <c r="G203" s="5" t="n">
        <v>1</v>
      </c>
      <c r="H203" s="5" t="n">
        <v>2</v>
      </c>
      <c r="I203" s="5" t="n">
        <v>14</v>
      </c>
      <c r="J203" s="5">
        <f>$T$145+18*I203/1000</f>
        <v/>
      </c>
      <c r="K203" s="5">
        <f>IF(I203=6,G203*H203*J203,"")</f>
        <v/>
      </c>
      <c r="L203" s="5">
        <f>IF(I203=8,G203*H203*J203,"")</f>
        <v/>
      </c>
      <c r="M203" s="5">
        <f>IF(I203=10,G203*H203*J203,"")</f>
        <v/>
      </c>
      <c r="N203" s="5">
        <f>IF(I203=12,G203*H203*J203,"")</f>
        <v/>
      </c>
      <c r="O203" s="5">
        <f>IF(I203=14,G203*H203*J203,"")</f>
        <v/>
      </c>
      <c r="P203" s="5">
        <f>IF(I203=16,G203*H203*J203,"")</f>
        <v/>
      </c>
      <c r="Q203" s="5">
        <f>IF(I203=20,G203*H203*J203,"")</f>
        <v/>
      </c>
      <c r="R203" s="5">
        <f>IF(I203=25,G203*H203*J203,"")</f>
        <v/>
      </c>
      <c r="S203" s="5">
        <f>IF(I203=32,G203*H203*J203,"")</f>
        <v/>
      </c>
    </row>
    <row r="204">
      <c r="A204" s="5" t="inlineStr">
        <is>
          <t>CADRE</t>
        </is>
      </c>
      <c r="G204" s="5" t="n">
        <v>1</v>
      </c>
      <c r="H204" s="5">
        <f>ROUNDUP(($T$145-0.25)/0.15,0)</f>
        <v/>
      </c>
      <c r="I204" s="5" t="n">
        <v>6</v>
      </c>
      <c r="J204" s="5">
        <f>2*(E201+F201)+20.5*I204/1000</f>
        <v/>
      </c>
      <c r="K204" s="5">
        <f>IF(I204=6,G204*H204*J204,"")</f>
        <v/>
      </c>
      <c r="L204" s="5">
        <f>IF(I204=8,G204*H204*J204,"")</f>
        <v/>
      </c>
      <c r="M204" s="5">
        <f>IF(I204=10,G204*H204*J204,"")</f>
        <v/>
      </c>
      <c r="N204" s="5">
        <f>IF(I204=12,G204*H204*J204,"")</f>
        <v/>
      </c>
      <c r="O204" s="5">
        <f>IF(I204=14,G204*H204*J204,"")</f>
        <v/>
      </c>
      <c r="P204" s="5">
        <f>IF(I204=16,G204*H204*J204,"")</f>
        <v/>
      </c>
      <c r="Q204" s="5">
        <f>IF(I204=20,G204*H204*J204,"")</f>
        <v/>
      </c>
      <c r="R204" s="5">
        <f>IF(I204=25,G204*H204*J204,"")</f>
        <v/>
      </c>
      <c r="S204" s="5">
        <f>IF(I204=32,G204*H204*J204,"")</f>
        <v/>
      </c>
    </row>
    <row r="205">
      <c r="A205" s="5" t="inlineStr">
        <is>
          <t>EPINGLE</t>
        </is>
      </c>
      <c r="G205" s="5" t="n">
        <v>1</v>
      </c>
      <c r="H205" s="5">
        <f>ROUNDUP(($T$145-0.25)/0.15,0)</f>
        <v/>
      </c>
      <c r="I205" s="5" t="n">
        <v>6</v>
      </c>
      <c r="J205" s="5">
        <f>E201+22*I205/1000</f>
        <v/>
      </c>
      <c r="K205" s="5">
        <f>IF(I205=6,G205*H205*J205,"")</f>
        <v/>
      </c>
      <c r="L205" s="5">
        <f>IF(I205=8,G205*H205*J205,"")</f>
        <v/>
      </c>
      <c r="M205" s="5">
        <f>IF(I205=10,G205*H205*J205,"")</f>
        <v/>
      </c>
      <c r="N205" s="5">
        <f>IF(I205=12,G205*H205*J205,"")</f>
        <v/>
      </c>
      <c r="O205" s="5">
        <f>IF(I205=14,G205*H205*J205,"")</f>
        <v/>
      </c>
      <c r="P205" s="5">
        <f>IF(I205=16,G205*H205*J205,"")</f>
        <v/>
      </c>
      <c r="Q205" s="5">
        <f>IF(I205=20,G205*H205*J205,"")</f>
        <v/>
      </c>
      <c r="R205" s="5">
        <f>IF(I205=25,G205*H205*J205,"")</f>
        <v/>
      </c>
      <c r="S205" s="5">
        <f>IF(I205=32,G205*H205*J205,"")</f>
        <v/>
      </c>
    </row>
    <row r="206">
      <c r="B206" s="5" t="inlineStr">
        <is>
          <t>E</t>
        </is>
      </c>
      <c r="C206" s="5" t="inlineStr">
        <is>
          <t>6</t>
        </is>
      </c>
      <c r="D206" s="5" t="inlineStr">
        <is>
          <t>P1</t>
        </is>
      </c>
      <c r="E206" s="5" t="n">
        <v>0.25</v>
      </c>
      <c r="F206" s="5" t="n">
        <v>0.35</v>
      </c>
    </row>
    <row r="207">
      <c r="A207" s="5" t="inlineStr">
        <is>
          <t>Armature LONG</t>
        </is>
      </c>
      <c r="G207" s="5" t="n">
        <v>1</v>
      </c>
      <c r="H207" s="5" t="n">
        <v>4</v>
      </c>
      <c r="I207" s="5" t="n">
        <v>14</v>
      </c>
      <c r="J207" s="5">
        <f>$T$145+18*I207/1000</f>
        <v/>
      </c>
      <c r="K207" s="5">
        <f>IF(I207=6,G207*H207*J207,"")</f>
        <v/>
      </c>
      <c r="L207" s="5">
        <f>IF(I207=8,G207*H207*J207,"")</f>
        <v/>
      </c>
      <c r="M207" s="5">
        <f>IF(I207=10,G207*H207*J207,"")</f>
        <v/>
      </c>
      <c r="N207" s="5">
        <f>IF(I207=12,G207*H207*J207,"")</f>
        <v/>
      </c>
      <c r="O207" s="5">
        <f>IF(I207=14,G207*H207*J207,"")</f>
        <v/>
      </c>
      <c r="P207" s="5">
        <f>IF(I207=16,G207*H207*J207,"")</f>
        <v/>
      </c>
      <c r="Q207" s="5">
        <f>IF(I207=20,G207*H207*J207,"")</f>
        <v/>
      </c>
      <c r="R207" s="5">
        <f>IF(I207=25,G207*H207*J207,"")</f>
        <v/>
      </c>
      <c r="S207" s="5">
        <f>IF(I207=32,G207*H207*J207,"")</f>
        <v/>
      </c>
    </row>
    <row r="208">
      <c r="A208" s="5" t="inlineStr">
        <is>
          <t>Armature LONG</t>
        </is>
      </c>
      <c r="G208" s="5" t="n">
        <v>1</v>
      </c>
      <c r="H208" s="5" t="n">
        <v>2</v>
      </c>
      <c r="I208" s="5" t="n">
        <v>14</v>
      </c>
      <c r="J208" s="5">
        <f>$T$145+18*I208/1000</f>
        <v/>
      </c>
      <c r="K208" s="5">
        <f>IF(I208=6,G208*H208*J208,"")</f>
        <v/>
      </c>
      <c r="L208" s="5">
        <f>IF(I208=8,G208*H208*J208,"")</f>
        <v/>
      </c>
      <c r="M208" s="5">
        <f>IF(I208=10,G208*H208*J208,"")</f>
        <v/>
      </c>
      <c r="N208" s="5">
        <f>IF(I208=12,G208*H208*J208,"")</f>
        <v/>
      </c>
      <c r="O208" s="5">
        <f>IF(I208=14,G208*H208*J208,"")</f>
        <v/>
      </c>
      <c r="P208" s="5">
        <f>IF(I208=16,G208*H208*J208,"")</f>
        <v/>
      </c>
      <c r="Q208" s="5">
        <f>IF(I208=20,G208*H208*J208,"")</f>
        <v/>
      </c>
      <c r="R208" s="5">
        <f>IF(I208=25,G208*H208*J208,"")</f>
        <v/>
      </c>
      <c r="S208" s="5">
        <f>IF(I208=32,G208*H208*J208,"")</f>
        <v/>
      </c>
    </row>
    <row r="209">
      <c r="A209" s="5" t="inlineStr">
        <is>
          <t>CADRE</t>
        </is>
      </c>
      <c r="G209" s="5" t="n">
        <v>1</v>
      </c>
      <c r="H209" s="5">
        <f>ROUNDUP(($T$145-0.25)/0.15,0)</f>
        <v/>
      </c>
      <c r="I209" s="5" t="n">
        <v>6</v>
      </c>
      <c r="J209" s="5">
        <f>2*(E206+F206)+20.5*I209/1000</f>
        <v/>
      </c>
      <c r="K209" s="5">
        <f>IF(I209=6,G209*H209*J209,"")</f>
        <v/>
      </c>
      <c r="L209" s="5">
        <f>IF(I209=8,G209*H209*J209,"")</f>
        <v/>
      </c>
      <c r="M209" s="5">
        <f>IF(I209=10,G209*H209*J209,"")</f>
        <v/>
      </c>
      <c r="N209" s="5">
        <f>IF(I209=12,G209*H209*J209,"")</f>
        <v/>
      </c>
      <c r="O209" s="5">
        <f>IF(I209=14,G209*H209*J209,"")</f>
        <v/>
      </c>
      <c r="P209" s="5">
        <f>IF(I209=16,G209*H209*J209,"")</f>
        <v/>
      </c>
      <c r="Q209" s="5">
        <f>IF(I209=20,G209*H209*J209,"")</f>
        <v/>
      </c>
      <c r="R209" s="5">
        <f>IF(I209=25,G209*H209*J209,"")</f>
        <v/>
      </c>
      <c r="S209" s="5">
        <f>IF(I209=32,G209*H209*J209,"")</f>
        <v/>
      </c>
    </row>
    <row r="210">
      <c r="A210" s="5" t="inlineStr">
        <is>
          <t>EPINGLE</t>
        </is>
      </c>
      <c r="G210" s="5" t="n">
        <v>1</v>
      </c>
      <c r="H210" s="5">
        <f>ROUNDUP(($T$145-0.25)/0.15,0)</f>
        <v/>
      </c>
      <c r="I210" s="5" t="n">
        <v>6</v>
      </c>
      <c r="J210" s="5">
        <f>E206+22*I210/1000</f>
        <v/>
      </c>
      <c r="K210" s="5">
        <f>IF(I210=6,G210*H210*J210,"")</f>
        <v/>
      </c>
      <c r="L210" s="5">
        <f>IF(I210=8,G210*H210*J210,"")</f>
        <v/>
      </c>
      <c r="M210" s="5">
        <f>IF(I210=10,G210*H210*J210,"")</f>
        <v/>
      </c>
      <c r="N210" s="5">
        <f>IF(I210=12,G210*H210*J210,"")</f>
        <v/>
      </c>
      <c r="O210" s="5">
        <f>IF(I210=14,G210*H210*J210,"")</f>
        <v/>
      </c>
      <c r="P210" s="5">
        <f>IF(I210=16,G210*H210*J210,"")</f>
        <v/>
      </c>
      <c r="Q210" s="5">
        <f>IF(I210=20,G210*H210*J210,"")</f>
        <v/>
      </c>
      <c r="R210" s="5">
        <f>IF(I210=25,G210*H210*J210,"")</f>
        <v/>
      </c>
      <c r="S210" s="5">
        <f>IF(I210=32,G210*H210*J210,"")</f>
        <v/>
      </c>
    </row>
    <row r="211">
      <c r="B211" s="5" t="inlineStr">
        <is>
          <t>E</t>
        </is>
      </c>
      <c r="C211" s="5" t="inlineStr">
        <is>
          <t>7</t>
        </is>
      </c>
      <c r="D211" s="5" t="inlineStr">
        <is>
          <t>P1</t>
        </is>
      </c>
      <c r="E211" s="5" t="n">
        <v>0.25</v>
      </c>
      <c r="F211" s="5" t="n">
        <v>0.35</v>
      </c>
    </row>
    <row r="212">
      <c r="A212" s="5" t="inlineStr">
        <is>
          <t>Armature LONG</t>
        </is>
      </c>
      <c r="G212" s="5" t="n">
        <v>1</v>
      </c>
      <c r="H212" s="5" t="n">
        <v>4</v>
      </c>
      <c r="I212" s="5" t="n">
        <v>14</v>
      </c>
      <c r="J212" s="5">
        <f>$T$145+18*I212/1000</f>
        <v/>
      </c>
      <c r="K212" s="5">
        <f>IF(I212=6,G212*H212*J212,"")</f>
        <v/>
      </c>
      <c r="L212" s="5">
        <f>IF(I212=8,G212*H212*J212,"")</f>
        <v/>
      </c>
      <c r="M212" s="5">
        <f>IF(I212=10,G212*H212*J212,"")</f>
        <v/>
      </c>
      <c r="N212" s="5">
        <f>IF(I212=12,G212*H212*J212,"")</f>
        <v/>
      </c>
      <c r="O212" s="5">
        <f>IF(I212=14,G212*H212*J212,"")</f>
        <v/>
      </c>
      <c r="P212" s="5">
        <f>IF(I212=16,G212*H212*J212,"")</f>
        <v/>
      </c>
      <c r="Q212" s="5">
        <f>IF(I212=20,G212*H212*J212,"")</f>
        <v/>
      </c>
      <c r="R212" s="5">
        <f>IF(I212=25,G212*H212*J212,"")</f>
        <v/>
      </c>
      <c r="S212" s="5">
        <f>IF(I212=32,G212*H212*J212,"")</f>
        <v/>
      </c>
    </row>
    <row r="213">
      <c r="A213" s="5" t="inlineStr">
        <is>
          <t>Armature LONG</t>
        </is>
      </c>
      <c r="G213" s="5" t="n">
        <v>1</v>
      </c>
      <c r="H213" s="5" t="n">
        <v>2</v>
      </c>
      <c r="I213" s="5" t="n">
        <v>14</v>
      </c>
      <c r="J213" s="5">
        <f>$T$145+18*I213/1000</f>
        <v/>
      </c>
      <c r="K213" s="5">
        <f>IF(I213=6,G213*H213*J213,"")</f>
        <v/>
      </c>
      <c r="L213" s="5">
        <f>IF(I213=8,G213*H213*J213,"")</f>
        <v/>
      </c>
      <c r="M213" s="5">
        <f>IF(I213=10,G213*H213*J213,"")</f>
        <v/>
      </c>
      <c r="N213" s="5">
        <f>IF(I213=12,G213*H213*J213,"")</f>
        <v/>
      </c>
      <c r="O213" s="5">
        <f>IF(I213=14,G213*H213*J213,"")</f>
        <v/>
      </c>
      <c r="P213" s="5">
        <f>IF(I213=16,G213*H213*J213,"")</f>
        <v/>
      </c>
      <c r="Q213" s="5">
        <f>IF(I213=20,G213*H213*J213,"")</f>
        <v/>
      </c>
      <c r="R213" s="5">
        <f>IF(I213=25,G213*H213*J213,"")</f>
        <v/>
      </c>
      <c r="S213" s="5">
        <f>IF(I213=32,G213*H213*J213,"")</f>
        <v/>
      </c>
    </row>
    <row r="214">
      <c r="A214" s="5" t="inlineStr">
        <is>
          <t>CADRE</t>
        </is>
      </c>
      <c r="G214" s="5" t="n">
        <v>1</v>
      </c>
      <c r="H214" s="5">
        <f>ROUNDUP(($T$145-0.25)/0.15,0)</f>
        <v/>
      </c>
      <c r="I214" s="5" t="n">
        <v>6</v>
      </c>
      <c r="J214" s="5">
        <f>2*(E211+F211)+20.5*I214/1000</f>
        <v/>
      </c>
      <c r="K214" s="5">
        <f>IF(I214=6,G214*H214*J214,"")</f>
        <v/>
      </c>
      <c r="L214" s="5">
        <f>IF(I214=8,G214*H214*J214,"")</f>
        <v/>
      </c>
      <c r="M214" s="5">
        <f>IF(I214=10,G214*H214*J214,"")</f>
        <v/>
      </c>
      <c r="N214" s="5">
        <f>IF(I214=12,G214*H214*J214,"")</f>
        <v/>
      </c>
      <c r="O214" s="5">
        <f>IF(I214=14,G214*H214*J214,"")</f>
        <v/>
      </c>
      <c r="P214" s="5">
        <f>IF(I214=16,G214*H214*J214,"")</f>
        <v/>
      </c>
      <c r="Q214" s="5">
        <f>IF(I214=20,G214*H214*J214,"")</f>
        <v/>
      </c>
      <c r="R214" s="5">
        <f>IF(I214=25,G214*H214*J214,"")</f>
        <v/>
      </c>
      <c r="S214" s="5">
        <f>IF(I214=32,G214*H214*J214,"")</f>
        <v/>
      </c>
    </row>
    <row r="215">
      <c r="A215" s="5" t="inlineStr">
        <is>
          <t>EPINGLE</t>
        </is>
      </c>
      <c r="G215" s="5" t="n">
        <v>1</v>
      </c>
      <c r="H215" s="5">
        <f>ROUNDUP(($T$145-0.25)/0.15,0)</f>
        <v/>
      </c>
      <c r="I215" s="5" t="n">
        <v>6</v>
      </c>
      <c r="J215" s="5">
        <f>E211+22*I215/1000</f>
        <v/>
      </c>
      <c r="K215" s="5">
        <f>IF(I215=6,G215*H215*J215,"")</f>
        <v/>
      </c>
      <c r="L215" s="5">
        <f>IF(I215=8,G215*H215*J215,"")</f>
        <v/>
      </c>
      <c r="M215" s="5">
        <f>IF(I215=10,G215*H215*J215,"")</f>
        <v/>
      </c>
      <c r="N215" s="5">
        <f>IF(I215=12,G215*H215*J215,"")</f>
        <v/>
      </c>
      <c r="O215" s="5">
        <f>IF(I215=14,G215*H215*J215,"")</f>
        <v/>
      </c>
      <c r="P215" s="5">
        <f>IF(I215=16,G215*H215*J215,"")</f>
        <v/>
      </c>
      <c r="Q215" s="5">
        <f>IF(I215=20,G215*H215*J215,"")</f>
        <v/>
      </c>
      <c r="R215" s="5">
        <f>IF(I215=25,G215*H215*J215,"")</f>
        <v/>
      </c>
      <c r="S215" s="5">
        <f>IF(I215=32,G215*H215*J215,"")</f>
        <v/>
      </c>
    </row>
    <row r="216">
      <c r="B216" s="5" t="inlineStr">
        <is>
          <t>E</t>
        </is>
      </c>
      <c r="C216" s="5" t="inlineStr">
        <is>
          <t>8</t>
        </is>
      </c>
      <c r="D216" s="5" t="inlineStr">
        <is>
          <t>P1</t>
        </is>
      </c>
      <c r="E216" s="5" t="n">
        <v>0.25</v>
      </c>
      <c r="F216" s="5" t="n">
        <v>0.35</v>
      </c>
    </row>
    <row r="217">
      <c r="A217" s="5" t="inlineStr">
        <is>
          <t>Armature LONG</t>
        </is>
      </c>
      <c r="G217" s="5" t="n">
        <v>1</v>
      </c>
      <c r="H217" s="5" t="n">
        <v>4</v>
      </c>
      <c r="I217" s="5" t="n">
        <v>14</v>
      </c>
      <c r="J217" s="5">
        <f>$T$145+18*I217/1000</f>
        <v/>
      </c>
      <c r="K217" s="5">
        <f>IF(I217=6,G217*H217*J217,"")</f>
        <v/>
      </c>
      <c r="L217" s="5">
        <f>IF(I217=8,G217*H217*J217,"")</f>
        <v/>
      </c>
      <c r="M217" s="5">
        <f>IF(I217=10,G217*H217*J217,"")</f>
        <v/>
      </c>
      <c r="N217" s="5">
        <f>IF(I217=12,G217*H217*J217,"")</f>
        <v/>
      </c>
      <c r="O217" s="5">
        <f>IF(I217=14,G217*H217*J217,"")</f>
        <v/>
      </c>
      <c r="P217" s="5">
        <f>IF(I217=16,G217*H217*J217,"")</f>
        <v/>
      </c>
      <c r="Q217" s="5">
        <f>IF(I217=20,G217*H217*J217,"")</f>
        <v/>
      </c>
      <c r="R217" s="5">
        <f>IF(I217=25,G217*H217*J217,"")</f>
        <v/>
      </c>
      <c r="S217" s="5">
        <f>IF(I217=32,G217*H217*J217,"")</f>
        <v/>
      </c>
    </row>
    <row r="218">
      <c r="A218" s="5" t="inlineStr">
        <is>
          <t>Armature LONG</t>
        </is>
      </c>
      <c r="G218" s="5" t="n">
        <v>1</v>
      </c>
      <c r="H218" s="5" t="n">
        <v>2</v>
      </c>
      <c r="I218" s="5" t="n">
        <v>14</v>
      </c>
      <c r="J218" s="5">
        <f>$T$145+18*I218/1000</f>
        <v/>
      </c>
      <c r="K218" s="5">
        <f>IF(I218=6,G218*H218*J218,"")</f>
        <v/>
      </c>
      <c r="L218" s="5">
        <f>IF(I218=8,G218*H218*J218,"")</f>
        <v/>
      </c>
      <c r="M218" s="5">
        <f>IF(I218=10,G218*H218*J218,"")</f>
        <v/>
      </c>
      <c r="N218" s="5">
        <f>IF(I218=12,G218*H218*J218,"")</f>
        <v/>
      </c>
      <c r="O218" s="5">
        <f>IF(I218=14,G218*H218*J218,"")</f>
        <v/>
      </c>
      <c r="P218" s="5">
        <f>IF(I218=16,G218*H218*J218,"")</f>
        <v/>
      </c>
      <c r="Q218" s="5">
        <f>IF(I218=20,G218*H218*J218,"")</f>
        <v/>
      </c>
      <c r="R218" s="5">
        <f>IF(I218=25,G218*H218*J218,"")</f>
        <v/>
      </c>
      <c r="S218" s="5">
        <f>IF(I218=32,G218*H218*J218,"")</f>
        <v/>
      </c>
    </row>
    <row r="219">
      <c r="A219" s="5" t="inlineStr">
        <is>
          <t>CADRE</t>
        </is>
      </c>
      <c r="G219" s="5" t="n">
        <v>1</v>
      </c>
      <c r="H219" s="5">
        <f>ROUNDUP(($T$145-0.25)/0.15,0)</f>
        <v/>
      </c>
      <c r="I219" s="5" t="n">
        <v>6</v>
      </c>
      <c r="J219" s="5">
        <f>2*(E216+F216)+20.5*I219/1000</f>
        <v/>
      </c>
      <c r="K219" s="5">
        <f>IF(I219=6,G219*H219*J219,"")</f>
        <v/>
      </c>
      <c r="L219" s="5">
        <f>IF(I219=8,G219*H219*J219,"")</f>
        <v/>
      </c>
      <c r="M219" s="5">
        <f>IF(I219=10,G219*H219*J219,"")</f>
        <v/>
      </c>
      <c r="N219" s="5">
        <f>IF(I219=12,G219*H219*J219,"")</f>
        <v/>
      </c>
      <c r="O219" s="5">
        <f>IF(I219=14,G219*H219*J219,"")</f>
        <v/>
      </c>
      <c r="P219" s="5">
        <f>IF(I219=16,G219*H219*J219,"")</f>
        <v/>
      </c>
      <c r="Q219" s="5">
        <f>IF(I219=20,G219*H219*J219,"")</f>
        <v/>
      </c>
      <c r="R219" s="5">
        <f>IF(I219=25,G219*H219*J219,"")</f>
        <v/>
      </c>
      <c r="S219" s="5">
        <f>IF(I219=32,G219*H219*J219,"")</f>
        <v/>
      </c>
    </row>
    <row r="220">
      <c r="A220" s="5" t="inlineStr">
        <is>
          <t>EPINGLE</t>
        </is>
      </c>
      <c r="G220" s="5" t="n">
        <v>1</v>
      </c>
      <c r="H220" s="5">
        <f>ROUNDUP(($T$145-0.25)/0.15,0)</f>
        <v/>
      </c>
      <c r="I220" s="5" t="n">
        <v>6</v>
      </c>
      <c r="J220" s="5">
        <f>E216+22*I220/1000</f>
        <v/>
      </c>
      <c r="K220" s="5">
        <f>IF(I220=6,G220*H220*J220,"")</f>
        <v/>
      </c>
      <c r="L220" s="5">
        <f>IF(I220=8,G220*H220*J220,"")</f>
        <v/>
      </c>
      <c r="M220" s="5">
        <f>IF(I220=10,G220*H220*J220,"")</f>
        <v/>
      </c>
      <c r="N220" s="5">
        <f>IF(I220=12,G220*H220*J220,"")</f>
        <v/>
      </c>
      <c r="O220" s="5">
        <f>IF(I220=14,G220*H220*J220,"")</f>
        <v/>
      </c>
      <c r="P220" s="5">
        <f>IF(I220=16,G220*H220*J220,"")</f>
        <v/>
      </c>
      <c r="Q220" s="5">
        <f>IF(I220=20,G220*H220*J220,"")</f>
        <v/>
      </c>
      <c r="R220" s="5">
        <f>IF(I220=25,G220*H220*J220,"")</f>
        <v/>
      </c>
      <c r="S220" s="5">
        <f>IF(I220=32,G220*H220*J220,"")</f>
        <v/>
      </c>
    </row>
    <row r="221">
      <c r="B221" s="5" t="inlineStr">
        <is>
          <t>F</t>
        </is>
      </c>
      <c r="C221" s="5" t="inlineStr">
        <is>
          <t>5</t>
        </is>
      </c>
      <c r="D221" s="5" t="inlineStr">
        <is>
          <t>P4</t>
        </is>
      </c>
      <c r="E221" s="5" t="n">
        <v>0.35</v>
      </c>
      <c r="F221" s="5" t="n">
        <v>0.35</v>
      </c>
    </row>
    <row r="222">
      <c r="A222" s="5" t="inlineStr">
        <is>
          <t>Armature LONG</t>
        </is>
      </c>
      <c r="G222" s="5" t="n">
        <v>1</v>
      </c>
      <c r="H222" s="5" t="n">
        <v>6</v>
      </c>
      <c r="I222" s="5" t="n">
        <v>14</v>
      </c>
      <c r="J222" s="5">
        <f>$T$145+18*I222/1000</f>
        <v/>
      </c>
      <c r="K222" s="5">
        <f>IF(I222=6,G222*H222*J222,"")</f>
        <v/>
      </c>
      <c r="L222" s="5">
        <f>IF(I222=8,G222*H222*J222,"")</f>
        <v/>
      </c>
      <c r="M222" s="5">
        <f>IF(I222=10,G222*H222*J222,"")</f>
        <v/>
      </c>
      <c r="N222" s="5">
        <f>IF(I222=12,G222*H222*J222,"")</f>
        <v/>
      </c>
      <c r="O222" s="5">
        <f>IF(I222=14,G222*H222*J222,"")</f>
        <v/>
      </c>
      <c r="P222" s="5">
        <f>IF(I222=16,G222*H222*J222,"")</f>
        <v/>
      </c>
      <c r="Q222" s="5">
        <f>IF(I222=20,G222*H222*J222,"")</f>
        <v/>
      </c>
      <c r="R222" s="5">
        <f>IF(I222=25,G222*H222*J222,"")</f>
        <v/>
      </c>
      <c r="S222" s="5">
        <f>IF(I222=32,G222*H222*J222,"")</f>
        <v/>
      </c>
    </row>
    <row r="223">
      <c r="A223" s="5" t="inlineStr">
        <is>
          <t>CADRE</t>
        </is>
      </c>
      <c r="G223" s="5" t="n">
        <v>1</v>
      </c>
      <c r="H223" s="5">
        <f>ROUNDUP(($T$145-0.25)/0.15,0)</f>
        <v/>
      </c>
      <c r="I223" s="5" t="n">
        <v>6</v>
      </c>
      <c r="J223" s="5">
        <f>2*(E221+F221)+20.5*I223/1000</f>
        <v/>
      </c>
      <c r="K223" s="5">
        <f>IF(I223=6,G223*H223*J223,"")</f>
        <v/>
      </c>
      <c r="L223" s="5">
        <f>IF(I223=8,G223*H223*J223,"")</f>
        <v/>
      </c>
      <c r="M223" s="5">
        <f>IF(I223=10,G223*H223*J223,"")</f>
        <v/>
      </c>
      <c r="N223" s="5">
        <f>IF(I223=12,G223*H223*J223,"")</f>
        <v/>
      </c>
      <c r="O223" s="5">
        <f>IF(I223=14,G223*H223*J223,"")</f>
        <v/>
      </c>
      <c r="P223" s="5">
        <f>IF(I223=16,G223*H223*J223,"")</f>
        <v/>
      </c>
      <c r="Q223" s="5">
        <f>IF(I223=20,G223*H223*J223,"")</f>
        <v/>
      </c>
      <c r="R223" s="5">
        <f>IF(I223=25,G223*H223*J223,"")</f>
        <v/>
      </c>
      <c r="S223" s="5">
        <f>IF(I223=32,G223*H223*J223,"")</f>
        <v/>
      </c>
    </row>
    <row r="224">
      <c r="A224" s="5" t="inlineStr">
        <is>
          <t>EPINGLE</t>
        </is>
      </c>
      <c r="G224" s="5" t="n">
        <v>1</v>
      </c>
      <c r="H224" s="5">
        <f>ROUNDUP(($T$145-0.25)/0.15,0)</f>
        <v/>
      </c>
      <c r="I224" s="5" t="n">
        <v>6</v>
      </c>
      <c r="J224" s="5">
        <f>E221+22*I224/1000</f>
        <v/>
      </c>
      <c r="K224" s="5">
        <f>IF(I224=6,G224*H224*J224,"")</f>
        <v/>
      </c>
      <c r="L224" s="5">
        <f>IF(I224=8,G224*H224*J224,"")</f>
        <v/>
      </c>
      <c r="M224" s="5">
        <f>IF(I224=10,G224*H224*J224,"")</f>
        <v/>
      </c>
      <c r="N224" s="5">
        <f>IF(I224=12,G224*H224*J224,"")</f>
        <v/>
      </c>
      <c r="O224" s="5">
        <f>IF(I224=14,G224*H224*J224,"")</f>
        <v/>
      </c>
      <c r="P224" s="5">
        <f>IF(I224=16,G224*H224*J224,"")</f>
        <v/>
      </c>
      <c r="Q224" s="5">
        <f>IF(I224=20,G224*H224*J224,"")</f>
        <v/>
      </c>
      <c r="R224" s="5">
        <f>IF(I224=25,G224*H224*J224,"")</f>
        <v/>
      </c>
      <c r="S224" s="5">
        <f>IF(I224=32,G224*H224*J224,"")</f>
        <v/>
      </c>
    </row>
    <row r="225">
      <c r="B225" s="5" t="inlineStr">
        <is>
          <t>G</t>
        </is>
      </c>
      <c r="C225" s="5" t="inlineStr">
        <is>
          <t>1</t>
        </is>
      </c>
      <c r="D225" s="5" t="inlineStr">
        <is>
          <t>P3</t>
        </is>
      </c>
      <c r="E225" s="5" t="n">
        <v>0.3</v>
      </c>
      <c r="F225" s="5" t="n">
        <v>0.3</v>
      </c>
    </row>
    <row r="226">
      <c r="A226" s="5" t="inlineStr">
        <is>
          <t>Armature LONG</t>
        </is>
      </c>
      <c r="G226" s="5" t="n">
        <v>1</v>
      </c>
      <c r="H226" s="5" t="n">
        <v>4</v>
      </c>
      <c r="I226" s="5" t="n">
        <v>14</v>
      </c>
      <c r="J226" s="5">
        <f>$T$145+18*I226/1000</f>
        <v/>
      </c>
      <c r="K226" s="5">
        <f>IF(I226=6,G226*H226*J226,"")</f>
        <v/>
      </c>
      <c r="L226" s="5">
        <f>IF(I226=8,G226*H226*J226,"")</f>
        <v/>
      </c>
      <c r="M226" s="5">
        <f>IF(I226=10,G226*H226*J226,"")</f>
        <v/>
      </c>
      <c r="N226" s="5">
        <f>IF(I226=12,G226*H226*J226,"")</f>
        <v/>
      </c>
      <c r="O226" s="5">
        <f>IF(I226=14,G226*H226*J226,"")</f>
        <v/>
      </c>
      <c r="P226" s="5">
        <f>IF(I226=16,G226*H226*J226,"")</f>
        <v/>
      </c>
      <c r="Q226" s="5">
        <f>IF(I226=20,G226*H226*J226,"")</f>
        <v/>
      </c>
      <c r="R226" s="5">
        <f>IF(I226=25,G226*H226*J226,"")</f>
        <v/>
      </c>
      <c r="S226" s="5">
        <f>IF(I226=32,G226*H226*J226,"")</f>
        <v/>
      </c>
    </row>
    <row r="227">
      <c r="A227" s="5" t="inlineStr">
        <is>
          <t>Armature LONG</t>
        </is>
      </c>
      <c r="G227" s="5" t="n">
        <v>1</v>
      </c>
      <c r="H227" s="5" t="n">
        <v>2</v>
      </c>
      <c r="I227" s="5" t="n">
        <v>14</v>
      </c>
      <c r="J227" s="5">
        <f>$T$145+18*I227/1000</f>
        <v/>
      </c>
      <c r="K227" s="5">
        <f>IF(I227=6,G227*H227*J227,"")</f>
        <v/>
      </c>
      <c r="L227" s="5">
        <f>IF(I227=8,G227*H227*J227,"")</f>
        <v/>
      </c>
      <c r="M227" s="5">
        <f>IF(I227=10,G227*H227*J227,"")</f>
        <v/>
      </c>
      <c r="N227" s="5">
        <f>IF(I227=12,G227*H227*J227,"")</f>
        <v/>
      </c>
      <c r="O227" s="5">
        <f>IF(I227=14,G227*H227*J227,"")</f>
        <v/>
      </c>
      <c r="P227" s="5">
        <f>IF(I227=16,G227*H227*J227,"")</f>
        <v/>
      </c>
      <c r="Q227" s="5">
        <f>IF(I227=20,G227*H227*J227,"")</f>
        <v/>
      </c>
      <c r="R227" s="5">
        <f>IF(I227=25,G227*H227*J227,"")</f>
        <v/>
      </c>
      <c r="S227" s="5">
        <f>IF(I227=32,G227*H227*J227,"")</f>
        <v/>
      </c>
    </row>
    <row r="228">
      <c r="A228" s="5" t="inlineStr">
        <is>
          <t>CADRE</t>
        </is>
      </c>
      <c r="G228" s="5" t="n">
        <v>1</v>
      </c>
      <c r="H228" s="5">
        <f>ROUNDUP(($T$145-0.25)/0.15,0)</f>
        <v/>
      </c>
      <c r="I228" s="5" t="n">
        <v>6</v>
      </c>
      <c r="J228" s="5">
        <f>2*(E225+F225)+20.5*I228/1000</f>
        <v/>
      </c>
      <c r="K228" s="5">
        <f>IF(I228=6,G228*H228*J228,"")</f>
        <v/>
      </c>
      <c r="L228" s="5">
        <f>IF(I228=8,G228*H228*J228,"")</f>
        <v/>
      </c>
      <c r="M228" s="5">
        <f>IF(I228=10,G228*H228*J228,"")</f>
        <v/>
      </c>
      <c r="N228" s="5">
        <f>IF(I228=12,G228*H228*J228,"")</f>
        <v/>
      </c>
      <c r="O228" s="5">
        <f>IF(I228=14,G228*H228*J228,"")</f>
        <v/>
      </c>
      <c r="P228" s="5">
        <f>IF(I228=16,G228*H228*J228,"")</f>
        <v/>
      </c>
      <c r="Q228" s="5">
        <f>IF(I228=20,G228*H228*J228,"")</f>
        <v/>
      </c>
      <c r="R228" s="5">
        <f>IF(I228=25,G228*H228*J228,"")</f>
        <v/>
      </c>
      <c r="S228" s="5">
        <f>IF(I228=32,G228*H228*J228,"")</f>
        <v/>
      </c>
    </row>
    <row r="229">
      <c r="A229" s="5" t="inlineStr">
        <is>
          <t>EPINGLE</t>
        </is>
      </c>
      <c r="G229" s="5" t="n">
        <v>1</v>
      </c>
      <c r="H229" s="5">
        <f>ROUNDUP(($T$145-0.25)/0.15,0)</f>
        <v/>
      </c>
      <c r="I229" s="5" t="n">
        <v>6</v>
      </c>
      <c r="J229" s="5">
        <f>E225+22*I229/1000</f>
        <v/>
      </c>
      <c r="K229" s="5">
        <f>IF(I229=6,G229*H229*J229,"")</f>
        <v/>
      </c>
      <c r="L229" s="5">
        <f>IF(I229=8,G229*H229*J229,"")</f>
        <v/>
      </c>
      <c r="M229" s="5">
        <f>IF(I229=10,G229*H229*J229,"")</f>
        <v/>
      </c>
      <c r="N229" s="5">
        <f>IF(I229=12,G229*H229*J229,"")</f>
        <v/>
      </c>
      <c r="O229" s="5">
        <f>IF(I229=14,G229*H229*J229,"")</f>
        <v/>
      </c>
      <c r="P229" s="5">
        <f>IF(I229=16,G229*H229*J229,"")</f>
        <v/>
      </c>
      <c r="Q229" s="5">
        <f>IF(I229=20,G229*H229*J229,"")</f>
        <v/>
      </c>
      <c r="R229" s="5">
        <f>IF(I229=25,G229*H229*J229,"")</f>
        <v/>
      </c>
      <c r="S229" s="5">
        <f>IF(I229=32,G229*H229*J229,"")</f>
        <v/>
      </c>
    </row>
    <row r="230">
      <c r="B230" s="5" t="inlineStr">
        <is>
          <t>G</t>
        </is>
      </c>
      <c r="C230" s="5" t="inlineStr">
        <is>
          <t>2</t>
        </is>
      </c>
      <c r="D230" s="5" t="inlineStr">
        <is>
          <t>P2</t>
        </is>
      </c>
      <c r="E230" s="5" t="n">
        <v>0.4</v>
      </c>
      <c r="F230" s="5" t="n">
        <v>0.4</v>
      </c>
    </row>
    <row r="231">
      <c r="A231" s="5" t="inlineStr">
        <is>
          <t>Armature LONG</t>
        </is>
      </c>
      <c r="G231" s="5" t="n">
        <v>1</v>
      </c>
      <c r="H231" s="5" t="n">
        <v>4</v>
      </c>
      <c r="I231" s="5" t="n">
        <v>14</v>
      </c>
      <c r="J231" s="5">
        <f>$T$145+18*I231/1000</f>
        <v/>
      </c>
      <c r="K231" s="5">
        <f>IF(I231=6,G231*H231*J231,"")</f>
        <v/>
      </c>
      <c r="L231" s="5">
        <f>IF(I231=8,G231*H231*J231,"")</f>
        <v/>
      </c>
      <c r="M231" s="5">
        <f>IF(I231=10,G231*H231*J231,"")</f>
        <v/>
      </c>
      <c r="N231" s="5">
        <f>IF(I231=12,G231*H231*J231,"")</f>
        <v/>
      </c>
      <c r="O231" s="5">
        <f>IF(I231=14,G231*H231*J231,"")</f>
        <v/>
      </c>
      <c r="P231" s="5">
        <f>IF(I231=16,G231*H231*J231,"")</f>
        <v/>
      </c>
      <c r="Q231" s="5">
        <f>IF(I231=20,G231*H231*J231,"")</f>
        <v/>
      </c>
      <c r="R231" s="5">
        <f>IF(I231=25,G231*H231*J231,"")</f>
        <v/>
      </c>
      <c r="S231" s="5">
        <f>IF(I231=32,G231*H231*J231,"")</f>
        <v/>
      </c>
    </row>
    <row r="232">
      <c r="A232" s="5" t="inlineStr">
        <is>
          <t>Armature LONG</t>
        </is>
      </c>
      <c r="G232" s="5" t="n">
        <v>1</v>
      </c>
      <c r="H232" s="5" t="n">
        <v>2</v>
      </c>
      <c r="I232" s="5" t="n">
        <v>14</v>
      </c>
      <c r="J232" s="5">
        <f>$T$145+18*I232/1000</f>
        <v/>
      </c>
      <c r="K232" s="5">
        <f>IF(I232=6,G232*H232*J232,"")</f>
        <v/>
      </c>
      <c r="L232" s="5">
        <f>IF(I232=8,G232*H232*J232,"")</f>
        <v/>
      </c>
      <c r="M232" s="5">
        <f>IF(I232=10,G232*H232*J232,"")</f>
        <v/>
      </c>
      <c r="N232" s="5">
        <f>IF(I232=12,G232*H232*J232,"")</f>
        <v/>
      </c>
      <c r="O232" s="5">
        <f>IF(I232=14,G232*H232*J232,"")</f>
        <v/>
      </c>
      <c r="P232" s="5">
        <f>IF(I232=16,G232*H232*J232,"")</f>
        <v/>
      </c>
      <c r="Q232" s="5">
        <f>IF(I232=20,G232*H232*J232,"")</f>
        <v/>
      </c>
      <c r="R232" s="5">
        <f>IF(I232=25,G232*H232*J232,"")</f>
        <v/>
      </c>
      <c r="S232" s="5">
        <f>IF(I232=32,G232*H232*J232,"")</f>
        <v/>
      </c>
    </row>
    <row r="233">
      <c r="A233" s="5" t="inlineStr">
        <is>
          <t>CADRE</t>
        </is>
      </c>
      <c r="G233" s="5" t="n">
        <v>1</v>
      </c>
      <c r="H233" s="5">
        <f>ROUNDUP(($T$145-0.25)/0.15,0)</f>
        <v/>
      </c>
      <c r="I233" s="5" t="n">
        <v>6</v>
      </c>
      <c r="J233" s="5">
        <f>2*(E230+F230)+20.5*I233/1000</f>
        <v/>
      </c>
      <c r="K233" s="5">
        <f>IF(I233=6,G233*H233*J233,"")</f>
        <v/>
      </c>
      <c r="L233" s="5">
        <f>IF(I233=8,G233*H233*J233,"")</f>
        <v/>
      </c>
      <c r="M233" s="5">
        <f>IF(I233=10,G233*H233*J233,"")</f>
        <v/>
      </c>
      <c r="N233" s="5">
        <f>IF(I233=12,G233*H233*J233,"")</f>
        <v/>
      </c>
      <c r="O233" s="5">
        <f>IF(I233=14,G233*H233*J233,"")</f>
        <v/>
      </c>
      <c r="P233" s="5">
        <f>IF(I233=16,G233*H233*J233,"")</f>
        <v/>
      </c>
      <c r="Q233" s="5">
        <f>IF(I233=20,G233*H233*J233,"")</f>
        <v/>
      </c>
      <c r="R233" s="5">
        <f>IF(I233=25,G233*H233*J233,"")</f>
        <v/>
      </c>
      <c r="S233" s="5">
        <f>IF(I233=32,G233*H233*J233,"")</f>
        <v/>
      </c>
    </row>
    <row r="234">
      <c r="A234" s="5" t="inlineStr">
        <is>
          <t>EPINGLE</t>
        </is>
      </c>
      <c r="G234" s="5" t="n">
        <v>1</v>
      </c>
      <c r="H234" s="5">
        <f>ROUNDUP(($T$145-0.25)/0.15,0)</f>
        <v/>
      </c>
      <c r="I234" s="5" t="n">
        <v>6</v>
      </c>
      <c r="J234" s="5">
        <f>E230+22*I234/1000</f>
        <v/>
      </c>
      <c r="K234" s="5">
        <f>IF(I234=6,G234*H234*J234,"")</f>
        <v/>
      </c>
      <c r="L234" s="5">
        <f>IF(I234=8,G234*H234*J234,"")</f>
        <v/>
      </c>
      <c r="M234" s="5">
        <f>IF(I234=10,G234*H234*J234,"")</f>
        <v/>
      </c>
      <c r="N234" s="5">
        <f>IF(I234=12,G234*H234*J234,"")</f>
        <v/>
      </c>
      <c r="O234" s="5">
        <f>IF(I234=14,G234*H234*J234,"")</f>
        <v/>
      </c>
      <c r="P234" s="5">
        <f>IF(I234=16,G234*H234*J234,"")</f>
        <v/>
      </c>
      <c r="Q234" s="5">
        <f>IF(I234=20,G234*H234*J234,"")</f>
        <v/>
      </c>
      <c r="R234" s="5">
        <f>IF(I234=25,G234*H234*J234,"")</f>
        <v/>
      </c>
      <c r="S234" s="5">
        <f>IF(I234=32,G234*H234*J234,"")</f>
        <v/>
      </c>
    </row>
    <row r="235">
      <c r="B235" s="5" t="inlineStr">
        <is>
          <t>G</t>
        </is>
      </c>
      <c r="C235" s="5" t="inlineStr">
        <is>
          <t>3</t>
        </is>
      </c>
      <c r="D235" s="5" t="inlineStr">
        <is>
          <t>P2</t>
        </is>
      </c>
      <c r="E235" s="5" t="n">
        <v>0.4</v>
      </c>
      <c r="F235" s="5" t="n">
        <v>0.4</v>
      </c>
    </row>
    <row r="236">
      <c r="A236" s="5" t="inlineStr">
        <is>
          <t>Armature LONG</t>
        </is>
      </c>
      <c r="G236" s="5" t="n">
        <v>1</v>
      </c>
      <c r="H236" s="5" t="n">
        <v>4</v>
      </c>
      <c r="I236" s="5" t="n">
        <v>14</v>
      </c>
      <c r="J236" s="5">
        <f>$T$145+18*I236/1000</f>
        <v/>
      </c>
      <c r="K236" s="5">
        <f>IF(I236=6,G236*H236*J236,"")</f>
        <v/>
      </c>
      <c r="L236" s="5">
        <f>IF(I236=8,G236*H236*J236,"")</f>
        <v/>
      </c>
      <c r="M236" s="5">
        <f>IF(I236=10,G236*H236*J236,"")</f>
        <v/>
      </c>
      <c r="N236" s="5">
        <f>IF(I236=12,G236*H236*J236,"")</f>
        <v/>
      </c>
      <c r="O236" s="5">
        <f>IF(I236=14,G236*H236*J236,"")</f>
        <v/>
      </c>
      <c r="P236" s="5">
        <f>IF(I236=16,G236*H236*J236,"")</f>
        <v/>
      </c>
      <c r="Q236" s="5">
        <f>IF(I236=20,G236*H236*J236,"")</f>
        <v/>
      </c>
      <c r="R236" s="5">
        <f>IF(I236=25,G236*H236*J236,"")</f>
        <v/>
      </c>
      <c r="S236" s="5">
        <f>IF(I236=32,G236*H236*J236,"")</f>
        <v/>
      </c>
    </row>
    <row r="237">
      <c r="A237" s="5" t="inlineStr">
        <is>
          <t>Armature LONG</t>
        </is>
      </c>
      <c r="G237" s="5" t="n">
        <v>1</v>
      </c>
      <c r="H237" s="5" t="n">
        <v>2</v>
      </c>
      <c r="I237" s="5" t="n">
        <v>14</v>
      </c>
      <c r="J237" s="5">
        <f>$T$145+18*I237/1000</f>
        <v/>
      </c>
      <c r="K237" s="5">
        <f>IF(I237=6,G237*H237*J237,"")</f>
        <v/>
      </c>
      <c r="L237" s="5">
        <f>IF(I237=8,G237*H237*J237,"")</f>
        <v/>
      </c>
      <c r="M237" s="5">
        <f>IF(I237=10,G237*H237*J237,"")</f>
        <v/>
      </c>
      <c r="N237" s="5">
        <f>IF(I237=12,G237*H237*J237,"")</f>
        <v/>
      </c>
      <c r="O237" s="5">
        <f>IF(I237=14,G237*H237*J237,"")</f>
        <v/>
      </c>
      <c r="P237" s="5">
        <f>IF(I237=16,G237*H237*J237,"")</f>
        <v/>
      </c>
      <c r="Q237" s="5">
        <f>IF(I237=20,G237*H237*J237,"")</f>
        <v/>
      </c>
      <c r="R237" s="5">
        <f>IF(I237=25,G237*H237*J237,"")</f>
        <v/>
      </c>
      <c r="S237" s="5">
        <f>IF(I237=32,G237*H237*J237,"")</f>
        <v/>
      </c>
    </row>
    <row r="238">
      <c r="A238" s="5" t="inlineStr">
        <is>
          <t>CADRE</t>
        </is>
      </c>
      <c r="G238" s="5" t="n">
        <v>1</v>
      </c>
      <c r="H238" s="5">
        <f>ROUNDUP(($T$145-0.25)/0.15,0)</f>
        <v/>
      </c>
      <c r="I238" s="5" t="n">
        <v>6</v>
      </c>
      <c r="J238" s="5">
        <f>2*(E235+F235)+20.5*I238/1000</f>
        <v/>
      </c>
      <c r="K238" s="5">
        <f>IF(I238=6,G238*H238*J238,"")</f>
        <v/>
      </c>
      <c r="L238" s="5">
        <f>IF(I238=8,G238*H238*J238,"")</f>
        <v/>
      </c>
      <c r="M238" s="5">
        <f>IF(I238=10,G238*H238*J238,"")</f>
        <v/>
      </c>
      <c r="N238" s="5">
        <f>IF(I238=12,G238*H238*J238,"")</f>
        <v/>
      </c>
      <c r="O238" s="5">
        <f>IF(I238=14,G238*H238*J238,"")</f>
        <v/>
      </c>
      <c r="P238" s="5">
        <f>IF(I238=16,G238*H238*J238,"")</f>
        <v/>
      </c>
      <c r="Q238" s="5">
        <f>IF(I238=20,G238*H238*J238,"")</f>
        <v/>
      </c>
      <c r="R238" s="5">
        <f>IF(I238=25,G238*H238*J238,"")</f>
        <v/>
      </c>
      <c r="S238" s="5">
        <f>IF(I238=32,G238*H238*J238,"")</f>
        <v/>
      </c>
    </row>
    <row r="239">
      <c r="A239" s="5" t="inlineStr">
        <is>
          <t>EPINGLE</t>
        </is>
      </c>
      <c r="G239" s="5" t="n">
        <v>1</v>
      </c>
      <c r="H239" s="5">
        <f>ROUNDUP(($T$145-0.25)/0.15,0)</f>
        <v/>
      </c>
      <c r="I239" s="5" t="n">
        <v>6</v>
      </c>
      <c r="J239" s="5">
        <f>E235+22*I239/1000</f>
        <v/>
      </c>
      <c r="K239" s="5">
        <f>IF(I239=6,G239*H239*J239,"")</f>
        <v/>
      </c>
      <c r="L239" s="5">
        <f>IF(I239=8,G239*H239*J239,"")</f>
        <v/>
      </c>
      <c r="M239" s="5">
        <f>IF(I239=10,G239*H239*J239,"")</f>
        <v/>
      </c>
      <c r="N239" s="5">
        <f>IF(I239=12,G239*H239*J239,"")</f>
        <v/>
      </c>
      <c r="O239" s="5">
        <f>IF(I239=14,G239*H239*J239,"")</f>
        <v/>
      </c>
      <c r="P239" s="5">
        <f>IF(I239=16,G239*H239*J239,"")</f>
        <v/>
      </c>
      <c r="Q239" s="5">
        <f>IF(I239=20,G239*H239*J239,"")</f>
        <v/>
      </c>
      <c r="R239" s="5">
        <f>IF(I239=25,G239*H239*J239,"")</f>
        <v/>
      </c>
      <c r="S239" s="5">
        <f>IF(I239=32,G239*H239*J239,"")</f>
        <v/>
      </c>
    </row>
    <row r="240">
      <c r="B240" s="5" t="inlineStr">
        <is>
          <t>G</t>
        </is>
      </c>
      <c r="C240" s="5" t="inlineStr">
        <is>
          <t>5</t>
        </is>
      </c>
      <c r="D240" s="5" t="inlineStr">
        <is>
          <t>P3</t>
        </is>
      </c>
      <c r="E240" s="5" t="n">
        <v>0.3</v>
      </c>
      <c r="F240" s="5" t="n">
        <v>0.3</v>
      </c>
    </row>
    <row r="241">
      <c r="A241" s="5" t="inlineStr">
        <is>
          <t>Armature LONG</t>
        </is>
      </c>
      <c r="G241" s="5" t="n">
        <v>1</v>
      </c>
      <c r="H241" s="5" t="n">
        <v>4</v>
      </c>
      <c r="I241" s="5" t="n">
        <v>14</v>
      </c>
      <c r="J241" s="5">
        <f>$T$145+18*I241/1000</f>
        <v/>
      </c>
      <c r="K241" s="5">
        <f>IF(I241=6,G241*H241*J241,"")</f>
        <v/>
      </c>
      <c r="L241" s="5">
        <f>IF(I241=8,G241*H241*J241,"")</f>
        <v/>
      </c>
      <c r="M241" s="5">
        <f>IF(I241=10,G241*H241*J241,"")</f>
        <v/>
      </c>
      <c r="N241" s="5">
        <f>IF(I241=12,G241*H241*J241,"")</f>
        <v/>
      </c>
      <c r="O241" s="5">
        <f>IF(I241=14,G241*H241*J241,"")</f>
        <v/>
      </c>
      <c r="P241" s="5">
        <f>IF(I241=16,G241*H241*J241,"")</f>
        <v/>
      </c>
      <c r="Q241" s="5">
        <f>IF(I241=20,G241*H241*J241,"")</f>
        <v/>
      </c>
      <c r="R241" s="5">
        <f>IF(I241=25,G241*H241*J241,"")</f>
        <v/>
      </c>
      <c r="S241" s="5">
        <f>IF(I241=32,G241*H241*J241,"")</f>
        <v/>
      </c>
    </row>
    <row r="242">
      <c r="A242" s="5" t="inlineStr">
        <is>
          <t>Armature LONG</t>
        </is>
      </c>
      <c r="G242" s="5" t="n">
        <v>1</v>
      </c>
      <c r="H242" s="5" t="n">
        <v>2</v>
      </c>
      <c r="I242" s="5" t="n">
        <v>14</v>
      </c>
      <c r="J242" s="5">
        <f>$T$145+18*I242/1000</f>
        <v/>
      </c>
      <c r="K242" s="5">
        <f>IF(I242=6,G242*H242*J242,"")</f>
        <v/>
      </c>
      <c r="L242" s="5">
        <f>IF(I242=8,G242*H242*J242,"")</f>
        <v/>
      </c>
      <c r="M242" s="5">
        <f>IF(I242=10,G242*H242*J242,"")</f>
        <v/>
      </c>
      <c r="N242" s="5">
        <f>IF(I242=12,G242*H242*J242,"")</f>
        <v/>
      </c>
      <c r="O242" s="5">
        <f>IF(I242=14,G242*H242*J242,"")</f>
        <v/>
      </c>
      <c r="P242" s="5">
        <f>IF(I242=16,G242*H242*J242,"")</f>
        <v/>
      </c>
      <c r="Q242" s="5">
        <f>IF(I242=20,G242*H242*J242,"")</f>
        <v/>
      </c>
      <c r="R242" s="5">
        <f>IF(I242=25,G242*H242*J242,"")</f>
        <v/>
      </c>
      <c r="S242" s="5">
        <f>IF(I242=32,G242*H242*J242,"")</f>
        <v/>
      </c>
    </row>
    <row r="243">
      <c r="A243" s="5" t="inlineStr">
        <is>
          <t>CADRE</t>
        </is>
      </c>
      <c r="G243" s="5" t="n">
        <v>1</v>
      </c>
      <c r="H243" s="5">
        <f>ROUNDUP(($T$145-0.25)/0.15,0)</f>
        <v/>
      </c>
      <c r="I243" s="5" t="n">
        <v>6</v>
      </c>
      <c r="J243" s="5">
        <f>2*(E240+F240)+20.5*I243/1000</f>
        <v/>
      </c>
      <c r="K243" s="5">
        <f>IF(I243=6,G243*H243*J243,"")</f>
        <v/>
      </c>
      <c r="L243" s="5">
        <f>IF(I243=8,G243*H243*J243,"")</f>
        <v/>
      </c>
      <c r="M243" s="5">
        <f>IF(I243=10,G243*H243*J243,"")</f>
        <v/>
      </c>
      <c r="N243" s="5">
        <f>IF(I243=12,G243*H243*J243,"")</f>
        <v/>
      </c>
      <c r="O243" s="5">
        <f>IF(I243=14,G243*H243*J243,"")</f>
        <v/>
      </c>
      <c r="P243" s="5">
        <f>IF(I243=16,G243*H243*J243,"")</f>
        <v/>
      </c>
      <c r="Q243" s="5">
        <f>IF(I243=20,G243*H243*J243,"")</f>
        <v/>
      </c>
      <c r="R243" s="5">
        <f>IF(I243=25,G243*H243*J243,"")</f>
        <v/>
      </c>
      <c r="S243" s="5">
        <f>IF(I243=32,G243*H243*J243,"")</f>
        <v/>
      </c>
    </row>
    <row r="244">
      <c r="A244" s="5" t="inlineStr">
        <is>
          <t>EPINGLE</t>
        </is>
      </c>
      <c r="G244" s="5" t="n">
        <v>1</v>
      </c>
      <c r="H244" s="5">
        <f>ROUNDUP(($T$145-0.25)/0.15,0)</f>
        <v/>
      </c>
      <c r="I244" s="5" t="n">
        <v>6</v>
      </c>
      <c r="J244" s="5">
        <f>E240+22*I244/1000</f>
        <v/>
      </c>
      <c r="K244" s="5">
        <f>IF(I244=6,G244*H244*J244,"")</f>
        <v/>
      </c>
      <c r="L244" s="5">
        <f>IF(I244=8,G244*H244*J244,"")</f>
        <v/>
      </c>
      <c r="M244" s="5">
        <f>IF(I244=10,G244*H244*J244,"")</f>
        <v/>
      </c>
      <c r="N244" s="5">
        <f>IF(I244=12,G244*H244*J244,"")</f>
        <v/>
      </c>
      <c r="O244" s="5">
        <f>IF(I244=14,G244*H244*J244,"")</f>
        <v/>
      </c>
      <c r="P244" s="5">
        <f>IF(I244=16,G244*H244*J244,"")</f>
        <v/>
      </c>
      <c r="Q244" s="5">
        <f>IF(I244=20,G244*H244*J244,"")</f>
        <v/>
      </c>
      <c r="R244" s="5">
        <f>IF(I244=25,G244*H244*J244,"")</f>
        <v/>
      </c>
      <c r="S244" s="5">
        <f>IF(I244=32,G244*H244*J244,"")</f>
        <v/>
      </c>
    </row>
    <row r="245">
      <c r="B245" s="5" t="inlineStr">
        <is>
          <t>G</t>
        </is>
      </c>
      <c r="C245" s="5" t="inlineStr">
        <is>
          <t>6</t>
        </is>
      </c>
      <c r="D245" s="5" t="inlineStr">
        <is>
          <t>P1</t>
        </is>
      </c>
      <c r="E245" s="5" t="n">
        <v>0.25</v>
      </c>
      <c r="F245" s="5" t="n">
        <v>0.35</v>
      </c>
    </row>
    <row r="246">
      <c r="A246" s="5" t="inlineStr">
        <is>
          <t>Armature LONG</t>
        </is>
      </c>
      <c r="G246" s="5" t="n">
        <v>1</v>
      </c>
      <c r="H246" s="5" t="n">
        <v>4</v>
      </c>
      <c r="I246" s="5" t="n">
        <v>14</v>
      </c>
      <c r="J246" s="5">
        <f>$T$145+18*I246/1000</f>
        <v/>
      </c>
      <c r="K246" s="5">
        <f>IF(I246=6,G246*H246*J246,"")</f>
        <v/>
      </c>
      <c r="L246" s="5">
        <f>IF(I246=8,G246*H246*J246,"")</f>
        <v/>
      </c>
      <c r="M246" s="5">
        <f>IF(I246=10,G246*H246*J246,"")</f>
        <v/>
      </c>
      <c r="N246" s="5">
        <f>IF(I246=12,G246*H246*J246,"")</f>
        <v/>
      </c>
      <c r="O246" s="5">
        <f>IF(I246=14,G246*H246*J246,"")</f>
        <v/>
      </c>
      <c r="P246" s="5">
        <f>IF(I246=16,G246*H246*J246,"")</f>
        <v/>
      </c>
      <c r="Q246" s="5">
        <f>IF(I246=20,G246*H246*J246,"")</f>
        <v/>
      </c>
      <c r="R246" s="5">
        <f>IF(I246=25,G246*H246*J246,"")</f>
        <v/>
      </c>
      <c r="S246" s="5">
        <f>IF(I246=32,G246*H246*J246,"")</f>
        <v/>
      </c>
    </row>
    <row r="247">
      <c r="A247" s="5" t="inlineStr">
        <is>
          <t>Armature LONG</t>
        </is>
      </c>
      <c r="G247" s="5" t="n">
        <v>1</v>
      </c>
      <c r="H247" s="5" t="n">
        <v>2</v>
      </c>
      <c r="I247" s="5" t="n">
        <v>14</v>
      </c>
      <c r="J247" s="5">
        <f>$T$145+18*I247/1000</f>
        <v/>
      </c>
      <c r="K247" s="5">
        <f>IF(I247=6,G247*H247*J247,"")</f>
        <v/>
      </c>
      <c r="L247" s="5">
        <f>IF(I247=8,G247*H247*J247,"")</f>
        <v/>
      </c>
      <c r="M247" s="5">
        <f>IF(I247=10,G247*H247*J247,"")</f>
        <v/>
      </c>
      <c r="N247" s="5">
        <f>IF(I247=12,G247*H247*J247,"")</f>
        <v/>
      </c>
      <c r="O247" s="5">
        <f>IF(I247=14,G247*H247*J247,"")</f>
        <v/>
      </c>
      <c r="P247" s="5">
        <f>IF(I247=16,G247*H247*J247,"")</f>
        <v/>
      </c>
      <c r="Q247" s="5">
        <f>IF(I247=20,G247*H247*J247,"")</f>
        <v/>
      </c>
      <c r="R247" s="5">
        <f>IF(I247=25,G247*H247*J247,"")</f>
        <v/>
      </c>
      <c r="S247" s="5">
        <f>IF(I247=32,G247*H247*J247,"")</f>
        <v/>
      </c>
    </row>
    <row r="248">
      <c r="A248" s="5" t="inlineStr">
        <is>
          <t>CADRE</t>
        </is>
      </c>
      <c r="G248" s="5" t="n">
        <v>1</v>
      </c>
      <c r="H248" s="5">
        <f>ROUNDUP(($T$145-0.25)/0.15,0)</f>
        <v/>
      </c>
      <c r="I248" s="5" t="n">
        <v>6</v>
      </c>
      <c r="J248" s="5">
        <f>2*(E245+F245)+20.5*I248/1000</f>
        <v/>
      </c>
      <c r="K248" s="5">
        <f>IF(I248=6,G248*H248*J248,"")</f>
        <v/>
      </c>
      <c r="L248" s="5">
        <f>IF(I248=8,G248*H248*J248,"")</f>
        <v/>
      </c>
      <c r="M248" s="5">
        <f>IF(I248=10,G248*H248*J248,"")</f>
        <v/>
      </c>
      <c r="N248" s="5">
        <f>IF(I248=12,G248*H248*J248,"")</f>
        <v/>
      </c>
      <c r="O248" s="5">
        <f>IF(I248=14,G248*H248*J248,"")</f>
        <v/>
      </c>
      <c r="P248" s="5">
        <f>IF(I248=16,G248*H248*J248,"")</f>
        <v/>
      </c>
      <c r="Q248" s="5">
        <f>IF(I248=20,G248*H248*J248,"")</f>
        <v/>
      </c>
      <c r="R248" s="5">
        <f>IF(I248=25,G248*H248*J248,"")</f>
        <v/>
      </c>
      <c r="S248" s="5">
        <f>IF(I248=32,G248*H248*J248,"")</f>
        <v/>
      </c>
    </row>
    <row r="249">
      <c r="A249" s="5" t="inlineStr">
        <is>
          <t>EPINGLE</t>
        </is>
      </c>
      <c r="G249" s="5" t="n">
        <v>1</v>
      </c>
      <c r="H249" s="5">
        <f>ROUNDUP(($T$145-0.25)/0.15,0)</f>
        <v/>
      </c>
      <c r="I249" s="5" t="n">
        <v>6</v>
      </c>
      <c r="J249" s="5">
        <f>E245+22*I249/1000</f>
        <v/>
      </c>
      <c r="K249" s="5">
        <f>IF(I249=6,G249*H249*J249,"")</f>
        <v/>
      </c>
      <c r="L249" s="5">
        <f>IF(I249=8,G249*H249*J249,"")</f>
        <v/>
      </c>
      <c r="M249" s="5">
        <f>IF(I249=10,G249*H249*J249,"")</f>
        <v/>
      </c>
      <c r="N249" s="5">
        <f>IF(I249=12,G249*H249*J249,"")</f>
        <v/>
      </c>
      <c r="O249" s="5">
        <f>IF(I249=14,G249*H249*J249,"")</f>
        <v/>
      </c>
      <c r="P249" s="5">
        <f>IF(I249=16,G249*H249*J249,"")</f>
        <v/>
      </c>
      <c r="Q249" s="5">
        <f>IF(I249=20,G249*H249*J249,"")</f>
        <v/>
      </c>
      <c r="R249" s="5">
        <f>IF(I249=25,G249*H249*J249,"")</f>
        <v/>
      </c>
      <c r="S249" s="5">
        <f>IF(I249=32,G249*H249*J249,"")</f>
        <v/>
      </c>
    </row>
    <row r="250">
      <c r="B250" s="5" t="inlineStr">
        <is>
          <t>G</t>
        </is>
      </c>
      <c r="C250" s="5" t="inlineStr">
        <is>
          <t>7</t>
        </is>
      </c>
      <c r="D250" s="5" t="inlineStr">
        <is>
          <t>P1</t>
        </is>
      </c>
      <c r="E250" s="5" t="n">
        <v>0.25</v>
      </c>
      <c r="F250" s="5" t="n">
        <v>0.35</v>
      </c>
    </row>
    <row r="251">
      <c r="A251" s="5" t="inlineStr">
        <is>
          <t>Armature LONG</t>
        </is>
      </c>
      <c r="G251" s="5" t="n">
        <v>1</v>
      </c>
      <c r="H251" s="5" t="n">
        <v>4</v>
      </c>
      <c r="I251" s="5" t="n">
        <v>14</v>
      </c>
      <c r="J251" s="5">
        <f>$T$145+18*I251/1000</f>
        <v/>
      </c>
      <c r="K251" s="5">
        <f>IF(I251=6,G251*H251*J251,"")</f>
        <v/>
      </c>
      <c r="L251" s="5">
        <f>IF(I251=8,G251*H251*J251,"")</f>
        <v/>
      </c>
      <c r="M251" s="5">
        <f>IF(I251=10,G251*H251*J251,"")</f>
        <v/>
      </c>
      <c r="N251" s="5">
        <f>IF(I251=12,G251*H251*J251,"")</f>
        <v/>
      </c>
      <c r="O251" s="5">
        <f>IF(I251=14,G251*H251*J251,"")</f>
        <v/>
      </c>
      <c r="P251" s="5">
        <f>IF(I251=16,G251*H251*J251,"")</f>
        <v/>
      </c>
      <c r="Q251" s="5">
        <f>IF(I251=20,G251*H251*J251,"")</f>
        <v/>
      </c>
      <c r="R251" s="5">
        <f>IF(I251=25,G251*H251*J251,"")</f>
        <v/>
      </c>
      <c r="S251" s="5">
        <f>IF(I251=32,G251*H251*J251,"")</f>
        <v/>
      </c>
    </row>
    <row r="252">
      <c r="A252" s="5" t="inlineStr">
        <is>
          <t>Armature LONG</t>
        </is>
      </c>
      <c r="G252" s="5" t="n">
        <v>1</v>
      </c>
      <c r="H252" s="5" t="n">
        <v>2</v>
      </c>
      <c r="I252" s="5" t="n">
        <v>14</v>
      </c>
      <c r="J252" s="5">
        <f>$T$145+18*I252/1000</f>
        <v/>
      </c>
      <c r="K252" s="5">
        <f>IF(I252=6,G252*H252*J252,"")</f>
        <v/>
      </c>
      <c r="L252" s="5">
        <f>IF(I252=8,G252*H252*J252,"")</f>
        <v/>
      </c>
      <c r="M252" s="5">
        <f>IF(I252=10,G252*H252*J252,"")</f>
        <v/>
      </c>
      <c r="N252" s="5">
        <f>IF(I252=12,G252*H252*J252,"")</f>
        <v/>
      </c>
      <c r="O252" s="5">
        <f>IF(I252=14,G252*H252*J252,"")</f>
        <v/>
      </c>
      <c r="P252" s="5">
        <f>IF(I252=16,G252*H252*J252,"")</f>
        <v/>
      </c>
      <c r="Q252" s="5">
        <f>IF(I252=20,G252*H252*J252,"")</f>
        <v/>
      </c>
      <c r="R252" s="5">
        <f>IF(I252=25,G252*H252*J252,"")</f>
        <v/>
      </c>
      <c r="S252" s="5">
        <f>IF(I252=32,G252*H252*J252,"")</f>
        <v/>
      </c>
    </row>
    <row r="253">
      <c r="A253" s="5" t="inlineStr">
        <is>
          <t>CADRE</t>
        </is>
      </c>
      <c r="G253" s="5" t="n">
        <v>1</v>
      </c>
      <c r="H253" s="5">
        <f>ROUNDUP(($T$145-0.25)/0.15,0)</f>
        <v/>
      </c>
      <c r="I253" s="5" t="n">
        <v>6</v>
      </c>
      <c r="J253" s="5">
        <f>2*(E250+F250)+20.5*I253/1000</f>
        <v/>
      </c>
      <c r="K253" s="5">
        <f>IF(I253=6,G253*H253*J253,"")</f>
        <v/>
      </c>
      <c r="L253" s="5">
        <f>IF(I253=8,G253*H253*J253,"")</f>
        <v/>
      </c>
      <c r="M253" s="5">
        <f>IF(I253=10,G253*H253*J253,"")</f>
        <v/>
      </c>
      <c r="N253" s="5">
        <f>IF(I253=12,G253*H253*J253,"")</f>
        <v/>
      </c>
      <c r="O253" s="5">
        <f>IF(I253=14,G253*H253*J253,"")</f>
        <v/>
      </c>
      <c r="P253" s="5">
        <f>IF(I253=16,G253*H253*J253,"")</f>
        <v/>
      </c>
      <c r="Q253" s="5">
        <f>IF(I253=20,G253*H253*J253,"")</f>
        <v/>
      </c>
      <c r="R253" s="5">
        <f>IF(I253=25,G253*H253*J253,"")</f>
        <v/>
      </c>
      <c r="S253" s="5">
        <f>IF(I253=32,G253*H253*J253,"")</f>
        <v/>
      </c>
    </row>
    <row r="254">
      <c r="A254" s="5" t="inlineStr">
        <is>
          <t>EPINGLE</t>
        </is>
      </c>
      <c r="G254" s="5" t="n">
        <v>1</v>
      </c>
      <c r="H254" s="5">
        <f>ROUNDUP(($T$145-0.25)/0.15,0)</f>
        <v/>
      </c>
      <c r="I254" s="5" t="n">
        <v>6</v>
      </c>
      <c r="J254" s="5">
        <f>E250+22*I254/1000</f>
        <v/>
      </c>
      <c r="K254" s="5">
        <f>IF(I254=6,G254*H254*J254,"")</f>
        <v/>
      </c>
      <c r="L254" s="5">
        <f>IF(I254=8,G254*H254*J254,"")</f>
        <v/>
      </c>
      <c r="M254" s="5">
        <f>IF(I254=10,G254*H254*J254,"")</f>
        <v/>
      </c>
      <c r="N254" s="5">
        <f>IF(I254=12,G254*H254*J254,"")</f>
        <v/>
      </c>
      <c r="O254" s="5">
        <f>IF(I254=14,G254*H254*J254,"")</f>
        <v/>
      </c>
      <c r="P254" s="5">
        <f>IF(I254=16,G254*H254*J254,"")</f>
        <v/>
      </c>
      <c r="Q254" s="5">
        <f>IF(I254=20,G254*H254*J254,"")</f>
        <v/>
      </c>
      <c r="R254" s="5">
        <f>IF(I254=25,G254*H254*J254,"")</f>
        <v/>
      </c>
      <c r="S254" s="5">
        <f>IF(I254=32,G254*H254*J254,"")</f>
        <v/>
      </c>
    </row>
    <row r="255">
      <c r="B255" s="5" t="inlineStr">
        <is>
          <t>G</t>
        </is>
      </c>
      <c r="C255" s="5" t="inlineStr">
        <is>
          <t>8</t>
        </is>
      </c>
      <c r="D255" s="5" t="inlineStr">
        <is>
          <t>P1</t>
        </is>
      </c>
      <c r="E255" s="5" t="n">
        <v>0.25</v>
      </c>
      <c r="F255" s="5" t="n">
        <v>0.35</v>
      </c>
    </row>
    <row r="256">
      <c r="A256" s="5" t="inlineStr">
        <is>
          <t>Armature LONG</t>
        </is>
      </c>
      <c r="G256" s="5" t="n">
        <v>1</v>
      </c>
      <c r="H256" s="5" t="n">
        <v>4</v>
      </c>
      <c r="I256" s="5" t="n">
        <v>14</v>
      </c>
      <c r="J256" s="5">
        <f>$T$145+18*I256/1000</f>
        <v/>
      </c>
      <c r="K256" s="5">
        <f>IF(I256=6,G256*H256*J256,"")</f>
        <v/>
      </c>
      <c r="L256" s="5">
        <f>IF(I256=8,G256*H256*J256,"")</f>
        <v/>
      </c>
      <c r="M256" s="5">
        <f>IF(I256=10,G256*H256*J256,"")</f>
        <v/>
      </c>
      <c r="N256" s="5">
        <f>IF(I256=12,G256*H256*J256,"")</f>
        <v/>
      </c>
      <c r="O256" s="5">
        <f>IF(I256=14,G256*H256*J256,"")</f>
        <v/>
      </c>
      <c r="P256" s="5">
        <f>IF(I256=16,G256*H256*J256,"")</f>
        <v/>
      </c>
      <c r="Q256" s="5">
        <f>IF(I256=20,G256*H256*J256,"")</f>
        <v/>
      </c>
      <c r="R256" s="5">
        <f>IF(I256=25,G256*H256*J256,"")</f>
        <v/>
      </c>
      <c r="S256" s="5">
        <f>IF(I256=32,G256*H256*J256,"")</f>
        <v/>
      </c>
    </row>
    <row r="257">
      <c r="A257" s="5" t="inlineStr">
        <is>
          <t>Armature LONG</t>
        </is>
      </c>
      <c r="G257" s="5" t="n">
        <v>1</v>
      </c>
      <c r="H257" s="5" t="n">
        <v>2</v>
      </c>
      <c r="I257" s="5" t="n">
        <v>14</v>
      </c>
      <c r="J257" s="5">
        <f>$T$145+18*I257/1000</f>
        <v/>
      </c>
      <c r="K257" s="5">
        <f>IF(I257=6,G257*H257*J257,"")</f>
        <v/>
      </c>
      <c r="L257" s="5">
        <f>IF(I257=8,G257*H257*J257,"")</f>
        <v/>
      </c>
      <c r="M257" s="5">
        <f>IF(I257=10,G257*H257*J257,"")</f>
        <v/>
      </c>
      <c r="N257" s="5">
        <f>IF(I257=12,G257*H257*J257,"")</f>
        <v/>
      </c>
      <c r="O257" s="5">
        <f>IF(I257=14,G257*H257*J257,"")</f>
        <v/>
      </c>
      <c r="P257" s="5">
        <f>IF(I257=16,G257*H257*J257,"")</f>
        <v/>
      </c>
      <c r="Q257" s="5">
        <f>IF(I257=20,G257*H257*J257,"")</f>
        <v/>
      </c>
      <c r="R257" s="5">
        <f>IF(I257=25,G257*H257*J257,"")</f>
        <v/>
      </c>
      <c r="S257" s="5">
        <f>IF(I257=32,G257*H257*J257,"")</f>
        <v/>
      </c>
    </row>
    <row r="258">
      <c r="A258" s="5" t="inlineStr">
        <is>
          <t>CADRE</t>
        </is>
      </c>
      <c r="G258" s="5" t="n">
        <v>1</v>
      </c>
      <c r="H258" s="5">
        <f>ROUNDUP(($T$145-0.25)/0.15,0)</f>
        <v/>
      </c>
      <c r="I258" s="5" t="n">
        <v>6</v>
      </c>
      <c r="J258" s="5">
        <f>2*(E255+F255)+20.5*I258/1000</f>
        <v/>
      </c>
      <c r="K258" s="5">
        <f>IF(I258=6,G258*H258*J258,"")</f>
        <v/>
      </c>
      <c r="L258" s="5">
        <f>IF(I258=8,G258*H258*J258,"")</f>
        <v/>
      </c>
      <c r="M258" s="5">
        <f>IF(I258=10,G258*H258*J258,"")</f>
        <v/>
      </c>
      <c r="N258" s="5">
        <f>IF(I258=12,G258*H258*J258,"")</f>
        <v/>
      </c>
      <c r="O258" s="5">
        <f>IF(I258=14,G258*H258*J258,"")</f>
        <v/>
      </c>
      <c r="P258" s="5">
        <f>IF(I258=16,G258*H258*J258,"")</f>
        <v/>
      </c>
      <c r="Q258" s="5">
        <f>IF(I258=20,G258*H258*J258,"")</f>
        <v/>
      </c>
      <c r="R258" s="5">
        <f>IF(I258=25,G258*H258*J258,"")</f>
        <v/>
      </c>
      <c r="S258" s="5">
        <f>IF(I258=32,G258*H258*J258,"")</f>
        <v/>
      </c>
    </row>
    <row r="259">
      <c r="A259" s="5" t="inlineStr">
        <is>
          <t>EPINGLE</t>
        </is>
      </c>
      <c r="G259" s="5" t="n">
        <v>1</v>
      </c>
      <c r="H259" s="5">
        <f>ROUNDUP(($T$145-0.25)/0.15,0)</f>
        <v/>
      </c>
      <c r="I259" s="5" t="n">
        <v>6</v>
      </c>
      <c r="J259" s="5">
        <f>E255+22*I259/1000</f>
        <v/>
      </c>
      <c r="K259" s="5">
        <f>IF(I259=6,G259*H259*J259,"")</f>
        <v/>
      </c>
      <c r="L259" s="5">
        <f>IF(I259=8,G259*H259*J259,"")</f>
        <v/>
      </c>
      <c r="M259" s="5">
        <f>IF(I259=10,G259*H259*J259,"")</f>
        <v/>
      </c>
      <c r="N259" s="5">
        <f>IF(I259=12,G259*H259*J259,"")</f>
        <v/>
      </c>
      <c r="O259" s="5">
        <f>IF(I259=14,G259*H259*J259,"")</f>
        <v/>
      </c>
      <c r="P259" s="5">
        <f>IF(I259=16,G259*H259*J259,"")</f>
        <v/>
      </c>
      <c r="Q259" s="5">
        <f>IF(I259=20,G259*H259*J259,"")</f>
        <v/>
      </c>
      <c r="R259" s="5">
        <f>IF(I259=25,G259*H259*J259,"")</f>
        <v/>
      </c>
      <c r="S259" s="5">
        <f>IF(I259=32,G259*H259*J259,"")</f>
        <v/>
      </c>
    </row>
    <row r="260">
      <c r="A260" s="5" t="inlineStr">
        <is>
          <t>longrines</t>
        </is>
      </c>
    </row>
    <row r="261">
      <c r="A261" s="2" t="inlineStr">
        <is>
          <t>axe</t>
        </is>
      </c>
      <c r="B261" s="2" t="inlineStr">
        <is>
          <t>fill</t>
        </is>
      </c>
      <c r="C261" s="2" t="inlineStr">
        <is>
          <t>Nom</t>
        </is>
      </c>
      <c r="D261" s="2" t="inlineStr">
        <is>
          <t>Long</t>
        </is>
      </c>
      <c r="E261" s="2" t="inlineStr">
        <is>
          <t>b</t>
        </is>
      </c>
      <c r="F261" s="2" t="inlineStr">
        <is>
          <t>h</t>
        </is>
      </c>
    </row>
    <row r="262">
      <c r="B262" s="5" t="inlineStr">
        <is>
          <t>C</t>
        </is>
      </c>
      <c r="C262" s="5" t="inlineStr">
        <is>
          <t>5-6</t>
        </is>
      </c>
      <c r="D262" s="5" t="inlineStr">
        <is>
          <t>LG</t>
        </is>
      </c>
      <c r="E262" s="5">
        <f>'Detail quantitatif fondation'!I152</f>
        <v/>
      </c>
    </row>
    <row r="263">
      <c r="A263" s="5" t="inlineStr">
        <is>
          <t>NAPPE INF1</t>
        </is>
      </c>
      <c r="G263" s="5" t="n">
        <v>1</v>
      </c>
      <c r="H263" s="5" t="n">
        <v>3</v>
      </c>
      <c r="I263" s="5" t="n">
        <v>12</v>
      </c>
      <c r="J263" s="5">
        <f>E262+36*I263/1000</f>
        <v/>
      </c>
      <c r="K263" s="5">
        <f>IF(I263=6,G263*H263*J263,"")</f>
        <v/>
      </c>
      <c r="L263" s="5">
        <f>IF(I263=8,G263*H263*J263,"")</f>
        <v/>
      </c>
      <c r="M263" s="5">
        <f>IF(I263=10,G263*H263*J263,"")</f>
        <v/>
      </c>
      <c r="N263" s="5">
        <f>IF(I263=12,G263*H263*J263,"")</f>
        <v/>
      </c>
      <c r="O263" s="5">
        <f>IF(I263=14,G263*H263*J263,"")</f>
        <v/>
      </c>
      <c r="P263" s="5">
        <f>IF(I263=16,G263*H263*J263,"")</f>
        <v/>
      </c>
      <c r="Q263" s="5">
        <f>IF(I263=20,G263*H263*J263,"")</f>
        <v/>
      </c>
      <c r="R263" s="5">
        <f>IF(I263=25,G263*H263*J263,"")</f>
        <v/>
      </c>
      <c r="S263" s="5">
        <f>IF(I263=32,G263*H263*J263,"")</f>
        <v/>
      </c>
    </row>
    <row r="264">
      <c r="A264" s="5" t="inlineStr">
        <is>
          <t>NAPPE SUP</t>
        </is>
      </c>
      <c r="G264" s="5" t="n">
        <v>1</v>
      </c>
      <c r="H264" s="5" t="n">
        <v>3</v>
      </c>
      <c r="I264" s="5" t="n">
        <v>10</v>
      </c>
      <c r="J264" s="5">
        <f>E262+36*I264/1000</f>
        <v/>
      </c>
      <c r="K264" s="5">
        <f>IF(I264=6,G264*H264*J264,"")</f>
        <v/>
      </c>
      <c r="L264" s="5">
        <f>IF(I264=8,G264*H264*J264,"")</f>
        <v/>
      </c>
      <c r="M264" s="5">
        <f>IF(I264=10,G264*H264*J264,"")</f>
        <v/>
      </c>
      <c r="N264" s="5">
        <f>IF(I264=12,G264*H264*J264,"")</f>
        <v/>
      </c>
      <c r="O264" s="5">
        <f>IF(I264=14,G264*H264*J264,"")</f>
        <v/>
      </c>
      <c r="P264" s="5">
        <f>IF(I264=16,G264*H264*J264,"")</f>
        <v/>
      </c>
      <c r="Q264" s="5">
        <f>IF(I264=20,G264*H264*J264,"")</f>
        <v/>
      </c>
      <c r="R264" s="5">
        <f>IF(I264=25,G264*H264*J264,"")</f>
        <v/>
      </c>
      <c r="S264" s="5">
        <f>IF(I264=32,G264*H264*J264,"")</f>
        <v/>
      </c>
    </row>
    <row r="265">
      <c r="B265" s="5" t="inlineStr">
        <is>
          <t>C</t>
        </is>
      </c>
      <c r="C265" s="5" t="inlineStr">
        <is>
          <t>6-7</t>
        </is>
      </c>
      <c r="D265" s="5" t="inlineStr">
        <is>
          <t>LG</t>
        </is>
      </c>
      <c r="E265" s="5">
        <f>'Detail quantitatif fondation'!I153</f>
        <v/>
      </c>
    </row>
    <row r="266">
      <c r="A266" s="5" t="inlineStr">
        <is>
          <t>NAPPE INF1</t>
        </is>
      </c>
      <c r="G266" s="5" t="n">
        <v>1</v>
      </c>
      <c r="H266" s="5" t="n">
        <v>3</v>
      </c>
      <c r="I266" s="5" t="n">
        <v>12</v>
      </c>
      <c r="J266" s="5">
        <f>E265+36*I266/1000</f>
        <v/>
      </c>
      <c r="K266" s="5">
        <f>IF(I266=6,G266*H266*J266,"")</f>
        <v/>
      </c>
      <c r="L266" s="5">
        <f>IF(I266=8,G266*H266*J266,"")</f>
        <v/>
      </c>
      <c r="M266" s="5">
        <f>IF(I266=10,G266*H266*J266,"")</f>
        <v/>
      </c>
      <c r="N266" s="5">
        <f>IF(I266=12,G266*H266*J266,"")</f>
        <v/>
      </c>
      <c r="O266" s="5">
        <f>IF(I266=14,G266*H266*J266,"")</f>
        <v/>
      </c>
      <c r="P266" s="5">
        <f>IF(I266=16,G266*H266*J266,"")</f>
        <v/>
      </c>
      <c r="Q266" s="5">
        <f>IF(I266=20,G266*H266*J266,"")</f>
        <v/>
      </c>
      <c r="R266" s="5">
        <f>IF(I266=25,G266*H266*J266,"")</f>
        <v/>
      </c>
      <c r="S266" s="5">
        <f>IF(I266=32,G266*H266*J266,"")</f>
        <v/>
      </c>
    </row>
    <row r="267">
      <c r="A267" s="5" t="inlineStr">
        <is>
          <t>NAPPE SUP</t>
        </is>
      </c>
      <c r="G267" s="5" t="n">
        <v>1</v>
      </c>
      <c r="H267" s="5" t="n">
        <v>3</v>
      </c>
      <c r="I267" s="5" t="n">
        <v>10</v>
      </c>
      <c r="J267" s="5">
        <f>E265+36*I267/1000</f>
        <v/>
      </c>
      <c r="K267" s="5">
        <f>IF(I267=6,G267*H267*J267,"")</f>
        <v/>
      </c>
      <c r="L267" s="5">
        <f>IF(I267=8,G267*H267*J267,"")</f>
        <v/>
      </c>
      <c r="M267" s="5">
        <f>IF(I267=10,G267*H267*J267,"")</f>
        <v/>
      </c>
      <c r="N267" s="5">
        <f>IF(I267=12,G267*H267*J267,"")</f>
        <v/>
      </c>
      <c r="O267" s="5">
        <f>IF(I267=14,G267*H267*J267,"")</f>
        <v/>
      </c>
      <c r="P267" s="5">
        <f>IF(I267=16,G267*H267*J267,"")</f>
        <v/>
      </c>
      <c r="Q267" s="5">
        <f>IF(I267=20,G267*H267*J267,"")</f>
        <v/>
      </c>
      <c r="R267" s="5">
        <f>IF(I267=25,G267*H267*J267,"")</f>
        <v/>
      </c>
      <c r="S267" s="5">
        <f>IF(I267=32,G267*H267*J267,"")</f>
        <v/>
      </c>
    </row>
    <row r="268">
      <c r="B268" s="5" t="inlineStr">
        <is>
          <t>C</t>
        </is>
      </c>
      <c r="C268" s="5" t="inlineStr">
        <is>
          <t>7-8</t>
        </is>
      </c>
      <c r="D268" s="5" t="inlineStr">
        <is>
          <t>LG</t>
        </is>
      </c>
      <c r="E268" s="5">
        <f>'Detail quantitatif fondation'!I154</f>
        <v/>
      </c>
    </row>
    <row r="269">
      <c r="A269" s="5" t="inlineStr">
        <is>
          <t>NAPPE INF1</t>
        </is>
      </c>
      <c r="G269" s="5" t="n">
        <v>1</v>
      </c>
      <c r="H269" s="5" t="n">
        <v>3</v>
      </c>
      <c r="I269" s="5" t="n">
        <v>12</v>
      </c>
      <c r="J269" s="5">
        <f>E268+36*I269/1000</f>
        <v/>
      </c>
      <c r="K269" s="5">
        <f>IF(I269=6,G269*H269*J269,"")</f>
        <v/>
      </c>
      <c r="L269" s="5">
        <f>IF(I269=8,G269*H269*J269,"")</f>
        <v/>
      </c>
      <c r="M269" s="5">
        <f>IF(I269=10,G269*H269*J269,"")</f>
        <v/>
      </c>
      <c r="N269" s="5">
        <f>IF(I269=12,G269*H269*J269,"")</f>
        <v/>
      </c>
      <c r="O269" s="5">
        <f>IF(I269=14,G269*H269*J269,"")</f>
        <v/>
      </c>
      <c r="P269" s="5">
        <f>IF(I269=16,G269*H269*J269,"")</f>
        <v/>
      </c>
      <c r="Q269" s="5">
        <f>IF(I269=20,G269*H269*J269,"")</f>
        <v/>
      </c>
      <c r="R269" s="5">
        <f>IF(I269=25,G269*H269*J269,"")</f>
        <v/>
      </c>
      <c r="S269" s="5">
        <f>IF(I269=32,G269*H269*J269,"")</f>
        <v/>
      </c>
    </row>
    <row r="270">
      <c r="A270" s="5" t="inlineStr">
        <is>
          <t>NAPPE SUP</t>
        </is>
      </c>
      <c r="G270" s="5" t="n">
        <v>1</v>
      </c>
      <c r="H270" s="5" t="n">
        <v>3</v>
      </c>
      <c r="I270" s="5" t="n">
        <v>10</v>
      </c>
      <c r="J270" s="5">
        <f>E268+36*I270/1000</f>
        <v/>
      </c>
      <c r="K270" s="5">
        <f>IF(I270=6,G270*H270*J270,"")</f>
        <v/>
      </c>
      <c r="L270" s="5">
        <f>IF(I270=8,G270*H270*J270,"")</f>
        <v/>
      </c>
      <c r="M270" s="5">
        <f>IF(I270=10,G270*H270*J270,"")</f>
        <v/>
      </c>
      <c r="N270" s="5">
        <f>IF(I270=12,G270*H270*J270,"")</f>
        <v/>
      </c>
      <c r="O270" s="5">
        <f>IF(I270=14,G270*H270*J270,"")</f>
        <v/>
      </c>
      <c r="P270" s="5">
        <f>IF(I270=16,G270*H270*J270,"")</f>
        <v/>
      </c>
      <c r="Q270" s="5">
        <f>IF(I270=20,G270*H270*J270,"")</f>
        <v/>
      </c>
      <c r="R270" s="5">
        <f>IF(I270=25,G270*H270*J270,"")</f>
        <v/>
      </c>
      <c r="S270" s="5">
        <f>IF(I270=32,G270*H270*J270,"")</f>
        <v/>
      </c>
    </row>
    <row r="271">
      <c r="B271" s="5" t="inlineStr">
        <is>
          <t>D</t>
        </is>
      </c>
      <c r="C271" s="5" t="inlineStr">
        <is>
          <t>1-2</t>
        </is>
      </c>
      <c r="D271" s="5" t="inlineStr">
        <is>
          <t>LG2</t>
        </is>
      </c>
      <c r="E271" s="5">
        <f>'Detail quantitatif fondation'!I155</f>
        <v/>
      </c>
    </row>
    <row r="272">
      <c r="A272" s="5" t="inlineStr">
        <is>
          <t>NAPPE INF1</t>
        </is>
      </c>
      <c r="G272" s="5" t="n">
        <v>1</v>
      </c>
      <c r="H272" s="5" t="n">
        <v>3</v>
      </c>
      <c r="I272" s="5" t="n">
        <v>12</v>
      </c>
      <c r="J272" s="5">
        <f>E271+36*I272/1000</f>
        <v/>
      </c>
      <c r="K272" s="5">
        <f>IF(I272=6,G272*H272*J272,"")</f>
        <v/>
      </c>
      <c r="L272" s="5">
        <f>IF(I272=8,G272*H272*J272,"")</f>
        <v/>
      </c>
      <c r="M272" s="5">
        <f>IF(I272=10,G272*H272*J272,"")</f>
        <v/>
      </c>
      <c r="N272" s="5">
        <f>IF(I272=12,G272*H272*J272,"")</f>
        <v/>
      </c>
      <c r="O272" s="5">
        <f>IF(I272=14,G272*H272*J272,"")</f>
        <v/>
      </c>
      <c r="P272" s="5">
        <f>IF(I272=16,G272*H272*J272,"")</f>
        <v/>
      </c>
      <c r="Q272" s="5">
        <f>IF(I272=20,G272*H272*J272,"")</f>
        <v/>
      </c>
      <c r="R272" s="5">
        <f>IF(I272=25,G272*H272*J272,"")</f>
        <v/>
      </c>
      <c r="S272" s="5">
        <f>IF(I272=32,G272*H272*J272,"")</f>
        <v/>
      </c>
    </row>
    <row r="273">
      <c r="A273" s="5" t="inlineStr">
        <is>
          <t>NAPPE SUP</t>
        </is>
      </c>
      <c r="G273" s="5" t="n">
        <v>1</v>
      </c>
      <c r="H273" s="5" t="n">
        <v>3</v>
      </c>
      <c r="I273" s="5" t="n">
        <v>10</v>
      </c>
      <c r="J273" s="5">
        <f>E271+36*I273/1000</f>
        <v/>
      </c>
      <c r="K273" s="5">
        <f>IF(I273=6,G273*H273*J273,"")</f>
        <v/>
      </c>
      <c r="L273" s="5">
        <f>IF(I273=8,G273*H273*J273,"")</f>
        <v/>
      </c>
      <c r="M273" s="5">
        <f>IF(I273=10,G273*H273*J273,"")</f>
        <v/>
      </c>
      <c r="N273" s="5">
        <f>IF(I273=12,G273*H273*J273,"")</f>
        <v/>
      </c>
      <c r="O273" s="5">
        <f>IF(I273=14,G273*H273*J273,"")</f>
        <v/>
      </c>
      <c r="P273" s="5">
        <f>IF(I273=16,G273*H273*J273,"")</f>
        <v/>
      </c>
      <c r="Q273" s="5">
        <f>IF(I273=20,G273*H273*J273,"")</f>
        <v/>
      </c>
      <c r="R273" s="5">
        <f>IF(I273=25,G273*H273*J273,"")</f>
        <v/>
      </c>
      <c r="S273" s="5">
        <f>IF(I273=32,G273*H273*J273,"")</f>
        <v/>
      </c>
    </row>
    <row r="274">
      <c r="B274" s="5" t="inlineStr">
        <is>
          <t>D</t>
        </is>
      </c>
      <c r="C274" s="5" t="inlineStr">
        <is>
          <t>2-3</t>
        </is>
      </c>
      <c r="D274" s="5" t="inlineStr">
        <is>
          <t>LG2</t>
        </is>
      </c>
      <c r="E274" s="5">
        <f>'Detail quantitatif fondation'!I156</f>
        <v/>
      </c>
    </row>
    <row r="275">
      <c r="A275" s="5" t="inlineStr">
        <is>
          <t>NAPPE INF1</t>
        </is>
      </c>
      <c r="G275" s="5" t="n">
        <v>1</v>
      </c>
      <c r="H275" s="5" t="n">
        <v>3</v>
      </c>
      <c r="I275" s="5" t="n">
        <v>12</v>
      </c>
      <c r="J275" s="5">
        <f>E274+36*I275/1000</f>
        <v/>
      </c>
      <c r="K275" s="5">
        <f>IF(I275=6,G275*H275*J275,"")</f>
        <v/>
      </c>
      <c r="L275" s="5">
        <f>IF(I275=8,G275*H275*J275,"")</f>
        <v/>
      </c>
      <c r="M275" s="5">
        <f>IF(I275=10,G275*H275*J275,"")</f>
        <v/>
      </c>
      <c r="N275" s="5">
        <f>IF(I275=12,G275*H275*J275,"")</f>
        <v/>
      </c>
      <c r="O275" s="5">
        <f>IF(I275=14,G275*H275*J275,"")</f>
        <v/>
      </c>
      <c r="P275" s="5">
        <f>IF(I275=16,G275*H275*J275,"")</f>
        <v/>
      </c>
      <c r="Q275" s="5">
        <f>IF(I275=20,G275*H275*J275,"")</f>
        <v/>
      </c>
      <c r="R275" s="5">
        <f>IF(I275=25,G275*H275*J275,"")</f>
        <v/>
      </c>
      <c r="S275" s="5">
        <f>IF(I275=32,G275*H275*J275,"")</f>
        <v/>
      </c>
    </row>
    <row r="276">
      <c r="A276" s="5" t="inlineStr">
        <is>
          <t>NAPPE SUP</t>
        </is>
      </c>
      <c r="G276" s="5" t="n">
        <v>1</v>
      </c>
      <c r="H276" s="5" t="n">
        <v>3</v>
      </c>
      <c r="I276" s="5" t="n">
        <v>10</v>
      </c>
      <c r="J276" s="5">
        <f>E274+36*I276/1000</f>
        <v/>
      </c>
      <c r="K276" s="5">
        <f>IF(I276=6,G276*H276*J276,"")</f>
        <v/>
      </c>
      <c r="L276" s="5">
        <f>IF(I276=8,G276*H276*J276,"")</f>
        <v/>
      </c>
      <c r="M276" s="5">
        <f>IF(I276=10,G276*H276*J276,"")</f>
        <v/>
      </c>
      <c r="N276" s="5">
        <f>IF(I276=12,G276*H276*J276,"")</f>
        <v/>
      </c>
      <c r="O276" s="5">
        <f>IF(I276=14,G276*H276*J276,"")</f>
        <v/>
      </c>
      <c r="P276" s="5">
        <f>IF(I276=16,G276*H276*J276,"")</f>
        <v/>
      </c>
      <c r="Q276" s="5">
        <f>IF(I276=20,G276*H276*J276,"")</f>
        <v/>
      </c>
      <c r="R276" s="5">
        <f>IF(I276=25,G276*H276*J276,"")</f>
        <v/>
      </c>
      <c r="S276" s="5">
        <f>IF(I276=32,G276*H276*J276,"")</f>
        <v/>
      </c>
    </row>
    <row r="277">
      <c r="B277" s="5" t="inlineStr">
        <is>
          <t>D</t>
        </is>
      </c>
      <c r="C277" s="5" t="inlineStr">
        <is>
          <t>3-4</t>
        </is>
      </c>
      <c r="D277" s="5" t="inlineStr">
        <is>
          <t>LG2</t>
        </is>
      </c>
      <c r="E277" s="5">
        <f>'Detail quantitatif fondation'!I157</f>
        <v/>
      </c>
    </row>
    <row r="278">
      <c r="A278" s="5" t="inlineStr">
        <is>
          <t>NAPPE INF1</t>
        </is>
      </c>
      <c r="G278" s="5" t="n">
        <v>1</v>
      </c>
      <c r="H278" s="5" t="n">
        <v>3</v>
      </c>
      <c r="I278" s="5" t="n">
        <v>12</v>
      </c>
      <c r="J278" s="5">
        <f>E277+36*I278/1000</f>
        <v/>
      </c>
      <c r="K278" s="5">
        <f>IF(I278=6,G278*H278*J278,"")</f>
        <v/>
      </c>
      <c r="L278" s="5">
        <f>IF(I278=8,G278*H278*J278,"")</f>
        <v/>
      </c>
      <c r="M278" s="5">
        <f>IF(I278=10,G278*H278*J278,"")</f>
        <v/>
      </c>
      <c r="N278" s="5">
        <f>IF(I278=12,G278*H278*J278,"")</f>
        <v/>
      </c>
      <c r="O278" s="5">
        <f>IF(I278=14,G278*H278*J278,"")</f>
        <v/>
      </c>
      <c r="P278" s="5">
        <f>IF(I278=16,G278*H278*J278,"")</f>
        <v/>
      </c>
      <c r="Q278" s="5">
        <f>IF(I278=20,G278*H278*J278,"")</f>
        <v/>
      </c>
      <c r="R278" s="5">
        <f>IF(I278=25,G278*H278*J278,"")</f>
        <v/>
      </c>
      <c r="S278" s="5">
        <f>IF(I278=32,G278*H278*J278,"")</f>
        <v/>
      </c>
    </row>
    <row r="279">
      <c r="A279" s="5" t="inlineStr">
        <is>
          <t>NAPPE SUP</t>
        </is>
      </c>
      <c r="G279" s="5" t="n">
        <v>1</v>
      </c>
      <c r="H279" s="5" t="n">
        <v>3</v>
      </c>
      <c r="I279" s="5" t="n">
        <v>10</v>
      </c>
      <c r="J279" s="5">
        <f>E277+36*I279/1000</f>
        <v/>
      </c>
      <c r="K279" s="5">
        <f>IF(I279=6,G279*H279*J279,"")</f>
        <v/>
      </c>
      <c r="L279" s="5">
        <f>IF(I279=8,G279*H279*J279,"")</f>
        <v/>
      </c>
      <c r="M279" s="5">
        <f>IF(I279=10,G279*H279*J279,"")</f>
        <v/>
      </c>
      <c r="N279" s="5">
        <f>IF(I279=12,G279*H279*J279,"")</f>
        <v/>
      </c>
      <c r="O279" s="5">
        <f>IF(I279=14,G279*H279*J279,"")</f>
        <v/>
      </c>
      <c r="P279" s="5">
        <f>IF(I279=16,G279*H279*J279,"")</f>
        <v/>
      </c>
      <c r="Q279" s="5">
        <f>IF(I279=20,G279*H279*J279,"")</f>
        <v/>
      </c>
      <c r="R279" s="5">
        <f>IF(I279=25,G279*H279*J279,"")</f>
        <v/>
      </c>
      <c r="S279" s="5">
        <f>IF(I279=32,G279*H279*J279,"")</f>
        <v/>
      </c>
    </row>
    <row r="280">
      <c r="B280" s="5" t="inlineStr">
        <is>
          <t>D</t>
        </is>
      </c>
      <c r="C280" s="5" t="inlineStr">
        <is>
          <t>4-5</t>
        </is>
      </c>
      <c r="D280" s="5" t="inlineStr">
        <is>
          <t>LG2</t>
        </is>
      </c>
      <c r="E280" s="5">
        <f>'Detail quantitatif fondation'!I158</f>
        <v/>
      </c>
    </row>
    <row r="281">
      <c r="A281" s="5" t="inlineStr">
        <is>
          <t>NAPPE INF1</t>
        </is>
      </c>
      <c r="G281" s="5" t="n">
        <v>1</v>
      </c>
      <c r="H281" s="5" t="n">
        <v>3</v>
      </c>
      <c r="I281" s="5" t="n">
        <v>12</v>
      </c>
      <c r="J281" s="5">
        <f>E280+36*I281/1000</f>
        <v/>
      </c>
      <c r="K281" s="5">
        <f>IF(I281=6,G281*H281*J281,"")</f>
        <v/>
      </c>
      <c r="L281" s="5">
        <f>IF(I281=8,G281*H281*J281,"")</f>
        <v/>
      </c>
      <c r="M281" s="5">
        <f>IF(I281=10,G281*H281*J281,"")</f>
        <v/>
      </c>
      <c r="N281" s="5">
        <f>IF(I281=12,G281*H281*J281,"")</f>
        <v/>
      </c>
      <c r="O281" s="5">
        <f>IF(I281=14,G281*H281*J281,"")</f>
        <v/>
      </c>
      <c r="P281" s="5">
        <f>IF(I281=16,G281*H281*J281,"")</f>
        <v/>
      </c>
      <c r="Q281" s="5">
        <f>IF(I281=20,G281*H281*J281,"")</f>
        <v/>
      </c>
      <c r="R281" s="5">
        <f>IF(I281=25,G281*H281*J281,"")</f>
        <v/>
      </c>
      <c r="S281" s="5">
        <f>IF(I281=32,G281*H281*J281,"")</f>
        <v/>
      </c>
    </row>
    <row r="282">
      <c r="A282" s="5" t="inlineStr">
        <is>
          <t>NAPPE SUP</t>
        </is>
      </c>
      <c r="G282" s="5" t="n">
        <v>1</v>
      </c>
      <c r="H282" s="5" t="n">
        <v>3</v>
      </c>
      <c r="I282" s="5" t="n">
        <v>10</v>
      </c>
      <c r="J282" s="5">
        <f>E280+36*I282/1000</f>
        <v/>
      </c>
      <c r="K282" s="5">
        <f>IF(I282=6,G282*H282*J282,"")</f>
        <v/>
      </c>
      <c r="L282" s="5">
        <f>IF(I282=8,G282*H282*J282,"")</f>
        <v/>
      </c>
      <c r="M282" s="5">
        <f>IF(I282=10,G282*H282*J282,"")</f>
        <v/>
      </c>
      <c r="N282" s="5">
        <f>IF(I282=12,G282*H282*J282,"")</f>
        <v/>
      </c>
      <c r="O282" s="5">
        <f>IF(I282=14,G282*H282*J282,"")</f>
        <v/>
      </c>
      <c r="P282" s="5">
        <f>IF(I282=16,G282*H282*J282,"")</f>
        <v/>
      </c>
      <c r="Q282" s="5">
        <f>IF(I282=20,G282*H282*J282,"")</f>
        <v/>
      </c>
      <c r="R282" s="5">
        <f>IF(I282=25,G282*H282*J282,"")</f>
        <v/>
      </c>
      <c r="S282" s="5">
        <f>IF(I282=32,G282*H282*J282,"")</f>
        <v/>
      </c>
    </row>
    <row r="283">
      <c r="B283" s="5" t="inlineStr">
        <is>
          <t>E</t>
        </is>
      </c>
      <c r="C283" s="5" t="inlineStr">
        <is>
          <t>5-6</t>
        </is>
      </c>
      <c r="D283" s="5" t="inlineStr">
        <is>
          <t>LG</t>
        </is>
      </c>
      <c r="E283" s="5">
        <f>'Detail quantitatif fondation'!I159</f>
        <v/>
      </c>
    </row>
    <row r="284">
      <c r="A284" s="5" t="inlineStr">
        <is>
          <t>NAPPE INF1</t>
        </is>
      </c>
      <c r="G284" s="5" t="n">
        <v>1</v>
      </c>
      <c r="H284" s="5" t="n">
        <v>3</v>
      </c>
      <c r="I284" s="5" t="n">
        <v>12</v>
      </c>
      <c r="J284" s="5">
        <f>E283+36*I284/1000</f>
        <v/>
      </c>
      <c r="K284" s="5">
        <f>IF(I284=6,G284*H284*J284,"")</f>
        <v/>
      </c>
      <c r="L284" s="5">
        <f>IF(I284=8,G284*H284*J284,"")</f>
        <v/>
      </c>
      <c r="M284" s="5">
        <f>IF(I284=10,G284*H284*J284,"")</f>
        <v/>
      </c>
      <c r="N284" s="5">
        <f>IF(I284=12,G284*H284*J284,"")</f>
        <v/>
      </c>
      <c r="O284" s="5">
        <f>IF(I284=14,G284*H284*J284,"")</f>
        <v/>
      </c>
      <c r="P284" s="5">
        <f>IF(I284=16,G284*H284*J284,"")</f>
        <v/>
      </c>
      <c r="Q284" s="5">
        <f>IF(I284=20,G284*H284*J284,"")</f>
        <v/>
      </c>
      <c r="R284" s="5">
        <f>IF(I284=25,G284*H284*J284,"")</f>
        <v/>
      </c>
      <c r="S284" s="5">
        <f>IF(I284=32,G284*H284*J284,"")</f>
        <v/>
      </c>
    </row>
    <row r="285">
      <c r="A285" s="5" t="inlineStr">
        <is>
          <t>NAPPE SUP</t>
        </is>
      </c>
      <c r="G285" s="5" t="n">
        <v>1</v>
      </c>
      <c r="H285" s="5" t="n">
        <v>3</v>
      </c>
      <c r="I285" s="5" t="n">
        <v>10</v>
      </c>
      <c r="J285" s="5">
        <f>E283+36*I285/1000</f>
        <v/>
      </c>
      <c r="K285" s="5">
        <f>IF(I285=6,G285*H285*J285,"")</f>
        <v/>
      </c>
      <c r="L285" s="5">
        <f>IF(I285=8,G285*H285*J285,"")</f>
        <v/>
      </c>
      <c r="M285" s="5">
        <f>IF(I285=10,G285*H285*J285,"")</f>
        <v/>
      </c>
      <c r="N285" s="5">
        <f>IF(I285=12,G285*H285*J285,"")</f>
        <v/>
      </c>
      <c r="O285" s="5">
        <f>IF(I285=14,G285*H285*J285,"")</f>
        <v/>
      </c>
      <c r="P285" s="5">
        <f>IF(I285=16,G285*H285*J285,"")</f>
        <v/>
      </c>
      <c r="Q285" s="5">
        <f>IF(I285=20,G285*H285*J285,"")</f>
        <v/>
      </c>
      <c r="R285" s="5">
        <f>IF(I285=25,G285*H285*J285,"")</f>
        <v/>
      </c>
      <c r="S285" s="5">
        <f>IF(I285=32,G285*H285*J285,"")</f>
        <v/>
      </c>
    </row>
    <row r="286">
      <c r="B286" s="5" t="inlineStr">
        <is>
          <t>E</t>
        </is>
      </c>
      <c r="C286" s="5" t="inlineStr">
        <is>
          <t>6-7</t>
        </is>
      </c>
      <c r="D286" s="5" t="inlineStr">
        <is>
          <t>LG</t>
        </is>
      </c>
      <c r="E286" s="5">
        <f>'Detail quantitatif fondation'!I160</f>
        <v/>
      </c>
    </row>
    <row r="287">
      <c r="A287" s="5" t="inlineStr">
        <is>
          <t>NAPPE INF1</t>
        </is>
      </c>
      <c r="G287" s="5" t="n">
        <v>1</v>
      </c>
      <c r="H287" s="5" t="n">
        <v>3</v>
      </c>
      <c r="I287" s="5" t="n">
        <v>12</v>
      </c>
      <c r="J287" s="5">
        <f>E286+36*I287/1000</f>
        <v/>
      </c>
      <c r="K287" s="5">
        <f>IF(I287=6,G287*H287*J287,"")</f>
        <v/>
      </c>
      <c r="L287" s="5">
        <f>IF(I287=8,G287*H287*J287,"")</f>
        <v/>
      </c>
      <c r="M287" s="5">
        <f>IF(I287=10,G287*H287*J287,"")</f>
        <v/>
      </c>
      <c r="N287" s="5">
        <f>IF(I287=12,G287*H287*J287,"")</f>
        <v/>
      </c>
      <c r="O287" s="5">
        <f>IF(I287=14,G287*H287*J287,"")</f>
        <v/>
      </c>
      <c r="P287" s="5">
        <f>IF(I287=16,G287*H287*J287,"")</f>
        <v/>
      </c>
      <c r="Q287" s="5">
        <f>IF(I287=20,G287*H287*J287,"")</f>
        <v/>
      </c>
      <c r="R287" s="5">
        <f>IF(I287=25,G287*H287*J287,"")</f>
        <v/>
      </c>
      <c r="S287" s="5">
        <f>IF(I287=32,G287*H287*J287,"")</f>
        <v/>
      </c>
    </row>
    <row r="288">
      <c r="A288" s="5" t="inlineStr">
        <is>
          <t>NAPPE SUP</t>
        </is>
      </c>
      <c r="G288" s="5" t="n">
        <v>1</v>
      </c>
      <c r="H288" s="5" t="n">
        <v>3</v>
      </c>
      <c r="I288" s="5" t="n">
        <v>10</v>
      </c>
      <c r="J288" s="5">
        <f>E286+36*I288/1000</f>
        <v/>
      </c>
      <c r="K288" s="5">
        <f>IF(I288=6,G288*H288*J288,"")</f>
        <v/>
      </c>
      <c r="L288" s="5">
        <f>IF(I288=8,G288*H288*J288,"")</f>
        <v/>
      </c>
      <c r="M288" s="5">
        <f>IF(I288=10,G288*H288*J288,"")</f>
        <v/>
      </c>
      <c r="N288" s="5">
        <f>IF(I288=12,G288*H288*J288,"")</f>
        <v/>
      </c>
      <c r="O288" s="5">
        <f>IF(I288=14,G288*H288*J288,"")</f>
        <v/>
      </c>
      <c r="P288" s="5">
        <f>IF(I288=16,G288*H288*J288,"")</f>
        <v/>
      </c>
      <c r="Q288" s="5">
        <f>IF(I288=20,G288*H288*J288,"")</f>
        <v/>
      </c>
      <c r="R288" s="5">
        <f>IF(I288=25,G288*H288*J288,"")</f>
        <v/>
      </c>
      <c r="S288" s="5">
        <f>IF(I288=32,G288*H288*J288,"")</f>
        <v/>
      </c>
    </row>
    <row r="289">
      <c r="B289" s="5" t="inlineStr">
        <is>
          <t>2</t>
        </is>
      </c>
      <c r="C289" s="5" t="inlineStr">
        <is>
          <t>A-D</t>
        </is>
      </c>
      <c r="D289" s="5" t="inlineStr">
        <is>
          <t>LG2</t>
        </is>
      </c>
      <c r="E289" s="5">
        <f>'Detail quantitatif fondation'!I161</f>
        <v/>
      </c>
    </row>
    <row r="290">
      <c r="A290" s="5" t="inlineStr">
        <is>
          <t>NAPPE INF1</t>
        </is>
      </c>
      <c r="G290" s="5" t="n">
        <v>1</v>
      </c>
      <c r="H290" s="5" t="n">
        <v>3</v>
      </c>
      <c r="I290" s="5" t="n">
        <v>12</v>
      </c>
      <c r="J290" s="5">
        <f>E289+36*I290/1000</f>
        <v/>
      </c>
      <c r="K290" s="5">
        <f>IF(I290=6,G290*H290*J290,"")</f>
        <v/>
      </c>
      <c r="L290" s="5">
        <f>IF(I290=8,G290*H290*J290,"")</f>
        <v/>
      </c>
      <c r="M290" s="5">
        <f>IF(I290=10,G290*H290*J290,"")</f>
        <v/>
      </c>
      <c r="N290" s="5">
        <f>IF(I290=12,G290*H290*J290,"")</f>
        <v/>
      </c>
      <c r="O290" s="5">
        <f>IF(I290=14,G290*H290*J290,"")</f>
        <v/>
      </c>
      <c r="P290" s="5">
        <f>IF(I290=16,G290*H290*J290,"")</f>
        <v/>
      </c>
      <c r="Q290" s="5">
        <f>IF(I290=20,G290*H290*J290,"")</f>
        <v/>
      </c>
      <c r="R290" s="5">
        <f>IF(I290=25,G290*H290*J290,"")</f>
        <v/>
      </c>
      <c r="S290" s="5">
        <f>IF(I290=32,G290*H290*J290,"")</f>
        <v/>
      </c>
    </row>
    <row r="291">
      <c r="A291" s="5" t="inlineStr">
        <is>
          <t>NAPPE SUP</t>
        </is>
      </c>
      <c r="G291" s="5" t="n">
        <v>1</v>
      </c>
      <c r="H291" s="5" t="n">
        <v>3</v>
      </c>
      <c r="I291" s="5" t="n">
        <v>10</v>
      </c>
      <c r="J291" s="5">
        <f>E289+36*I291/1000</f>
        <v/>
      </c>
      <c r="K291" s="5">
        <f>IF(I291=6,G291*H291*J291,"")</f>
        <v/>
      </c>
      <c r="L291" s="5">
        <f>IF(I291=8,G291*H291*J291,"")</f>
        <v/>
      </c>
      <c r="M291" s="5">
        <f>IF(I291=10,G291*H291*J291,"")</f>
        <v/>
      </c>
      <c r="N291" s="5">
        <f>IF(I291=12,G291*H291*J291,"")</f>
        <v/>
      </c>
      <c r="O291" s="5">
        <f>IF(I291=14,G291*H291*J291,"")</f>
        <v/>
      </c>
      <c r="P291" s="5">
        <f>IF(I291=16,G291*H291*J291,"")</f>
        <v/>
      </c>
      <c r="Q291" s="5">
        <f>IF(I291=20,G291*H291*J291,"")</f>
        <v/>
      </c>
      <c r="R291" s="5">
        <f>IF(I291=25,G291*H291*J291,"")</f>
        <v/>
      </c>
      <c r="S291" s="5">
        <f>IF(I291=32,G291*H291*J291,"")</f>
        <v/>
      </c>
    </row>
    <row r="292">
      <c r="B292" s="5" t="inlineStr">
        <is>
          <t>2</t>
        </is>
      </c>
      <c r="C292" s="5" t="inlineStr">
        <is>
          <t>D-G</t>
        </is>
      </c>
      <c r="D292" s="5" t="inlineStr">
        <is>
          <t>LG2</t>
        </is>
      </c>
      <c r="E292" s="5">
        <f>'Detail quantitatif fondation'!I162</f>
        <v/>
      </c>
    </row>
    <row r="293">
      <c r="A293" s="5" t="inlineStr">
        <is>
          <t>NAPPE INF1</t>
        </is>
      </c>
      <c r="G293" s="5" t="n">
        <v>1</v>
      </c>
      <c r="H293" s="5" t="n">
        <v>3</v>
      </c>
      <c r="I293" s="5" t="n">
        <v>12</v>
      </c>
      <c r="J293" s="5">
        <f>E292+36*I293/1000</f>
        <v/>
      </c>
      <c r="K293" s="5">
        <f>IF(I293=6,G293*H293*J293,"")</f>
        <v/>
      </c>
      <c r="L293" s="5">
        <f>IF(I293=8,G293*H293*J293,"")</f>
        <v/>
      </c>
      <c r="M293" s="5">
        <f>IF(I293=10,G293*H293*J293,"")</f>
        <v/>
      </c>
      <c r="N293" s="5">
        <f>IF(I293=12,G293*H293*J293,"")</f>
        <v/>
      </c>
      <c r="O293" s="5">
        <f>IF(I293=14,G293*H293*J293,"")</f>
        <v/>
      </c>
      <c r="P293" s="5">
        <f>IF(I293=16,G293*H293*J293,"")</f>
        <v/>
      </c>
      <c r="Q293" s="5">
        <f>IF(I293=20,G293*H293*J293,"")</f>
        <v/>
      </c>
      <c r="R293" s="5">
        <f>IF(I293=25,G293*H293*J293,"")</f>
        <v/>
      </c>
      <c r="S293" s="5">
        <f>IF(I293=32,G293*H293*J293,"")</f>
        <v/>
      </c>
    </row>
    <row r="294">
      <c r="A294" s="5" t="inlineStr">
        <is>
          <t>NAPPE SUP</t>
        </is>
      </c>
      <c r="G294" s="5" t="n">
        <v>1</v>
      </c>
      <c r="H294" s="5" t="n">
        <v>3</v>
      </c>
      <c r="I294" s="5" t="n">
        <v>10</v>
      </c>
      <c r="J294" s="5">
        <f>E292+36*I294/1000</f>
        <v/>
      </c>
      <c r="K294" s="5">
        <f>IF(I294=6,G294*H294*J294,"")</f>
        <v/>
      </c>
      <c r="L294" s="5">
        <f>IF(I294=8,G294*H294*J294,"")</f>
        <v/>
      </c>
      <c r="M294" s="5">
        <f>IF(I294=10,G294*H294*J294,"")</f>
        <v/>
      </c>
      <c r="N294" s="5">
        <f>IF(I294=12,G294*H294*J294,"")</f>
        <v/>
      </c>
      <c r="O294" s="5">
        <f>IF(I294=14,G294*H294*J294,"")</f>
        <v/>
      </c>
      <c r="P294" s="5">
        <f>IF(I294=16,G294*H294*J294,"")</f>
        <v/>
      </c>
      <c r="Q294" s="5">
        <f>IF(I294=20,G294*H294*J294,"")</f>
        <v/>
      </c>
      <c r="R294" s="5">
        <f>IF(I294=25,G294*H294*J294,"")</f>
        <v/>
      </c>
      <c r="S294" s="5">
        <f>IF(I294=32,G294*H294*J294,"")</f>
        <v/>
      </c>
    </row>
    <row r="295">
      <c r="B295" s="5" t="inlineStr">
        <is>
          <t>3</t>
        </is>
      </c>
      <c r="C295" s="5" t="inlineStr">
        <is>
          <t>D-G</t>
        </is>
      </c>
      <c r="D295" s="5" t="inlineStr">
        <is>
          <t>LG2</t>
        </is>
      </c>
      <c r="E295" s="5">
        <f>'Detail quantitatif fondation'!I163</f>
        <v/>
      </c>
    </row>
    <row r="296">
      <c r="A296" s="5" t="inlineStr">
        <is>
          <t>NAPPE INF1</t>
        </is>
      </c>
      <c r="G296" s="5" t="n">
        <v>1</v>
      </c>
      <c r="H296" s="5" t="n">
        <v>3</v>
      </c>
      <c r="I296" s="5" t="n">
        <v>12</v>
      </c>
      <c r="J296" s="5">
        <f>E295+36*I296/1000</f>
        <v/>
      </c>
      <c r="K296" s="5">
        <f>IF(I296=6,G296*H296*J296,"")</f>
        <v/>
      </c>
      <c r="L296" s="5">
        <f>IF(I296=8,G296*H296*J296,"")</f>
        <v/>
      </c>
      <c r="M296" s="5">
        <f>IF(I296=10,G296*H296*J296,"")</f>
        <v/>
      </c>
      <c r="N296" s="5">
        <f>IF(I296=12,G296*H296*J296,"")</f>
        <v/>
      </c>
      <c r="O296" s="5">
        <f>IF(I296=14,G296*H296*J296,"")</f>
        <v/>
      </c>
      <c r="P296" s="5">
        <f>IF(I296=16,G296*H296*J296,"")</f>
        <v/>
      </c>
      <c r="Q296" s="5">
        <f>IF(I296=20,G296*H296*J296,"")</f>
        <v/>
      </c>
      <c r="R296" s="5">
        <f>IF(I296=25,G296*H296*J296,"")</f>
        <v/>
      </c>
      <c r="S296" s="5">
        <f>IF(I296=32,G296*H296*J296,"")</f>
        <v/>
      </c>
    </row>
    <row r="297">
      <c r="A297" s="5" t="inlineStr">
        <is>
          <t>NAPPE SUP</t>
        </is>
      </c>
      <c r="G297" s="5" t="n">
        <v>1</v>
      </c>
      <c r="H297" s="5" t="n">
        <v>3</v>
      </c>
      <c r="I297" s="5" t="n">
        <v>10</v>
      </c>
      <c r="J297" s="5">
        <f>E295+36*I297/1000</f>
        <v/>
      </c>
      <c r="K297" s="5">
        <f>IF(I297=6,G297*H297*J297,"")</f>
        <v/>
      </c>
      <c r="L297" s="5">
        <f>IF(I297=8,G297*H297*J297,"")</f>
        <v/>
      </c>
      <c r="M297" s="5">
        <f>IF(I297=10,G297*H297*J297,"")</f>
        <v/>
      </c>
      <c r="N297" s="5">
        <f>IF(I297=12,G297*H297*J297,"")</f>
        <v/>
      </c>
      <c r="O297" s="5">
        <f>IF(I297=14,G297*H297*J297,"")</f>
        <v/>
      </c>
      <c r="P297" s="5">
        <f>IF(I297=16,G297*H297*J297,"")</f>
        <v/>
      </c>
      <c r="Q297" s="5">
        <f>IF(I297=20,G297*H297*J297,"")</f>
        <v/>
      </c>
      <c r="R297" s="5">
        <f>IF(I297=25,G297*H297*J297,"")</f>
        <v/>
      </c>
      <c r="S297" s="5">
        <f>IF(I297=32,G297*H297*J297,"")</f>
        <v/>
      </c>
    </row>
    <row r="298">
      <c r="B298" s="5" t="inlineStr">
        <is>
          <t>4</t>
        </is>
      </c>
      <c r="C298" s="5" t="inlineStr">
        <is>
          <t>A-D</t>
        </is>
      </c>
      <c r="D298" s="5" t="inlineStr">
        <is>
          <t>LG2</t>
        </is>
      </c>
      <c r="E298" s="5">
        <f>'Detail quantitatif fondation'!I164</f>
        <v/>
      </c>
    </row>
    <row r="299">
      <c r="A299" s="5" t="inlineStr">
        <is>
          <t>NAPPE INF1</t>
        </is>
      </c>
      <c r="G299" s="5" t="n">
        <v>1</v>
      </c>
      <c r="H299" s="5" t="n">
        <v>3</v>
      </c>
      <c r="I299" s="5" t="n">
        <v>12</v>
      </c>
      <c r="J299" s="5">
        <f>E298+36*I299/1000</f>
        <v/>
      </c>
      <c r="K299" s="5">
        <f>IF(I299=6,G299*H299*J299,"")</f>
        <v/>
      </c>
      <c r="L299" s="5">
        <f>IF(I299=8,G299*H299*J299,"")</f>
        <v/>
      </c>
      <c r="M299" s="5">
        <f>IF(I299=10,G299*H299*J299,"")</f>
        <v/>
      </c>
      <c r="N299" s="5">
        <f>IF(I299=12,G299*H299*J299,"")</f>
        <v/>
      </c>
      <c r="O299" s="5">
        <f>IF(I299=14,G299*H299*J299,"")</f>
        <v/>
      </c>
      <c r="P299" s="5">
        <f>IF(I299=16,G299*H299*J299,"")</f>
        <v/>
      </c>
      <c r="Q299" s="5">
        <f>IF(I299=20,G299*H299*J299,"")</f>
        <v/>
      </c>
      <c r="R299" s="5">
        <f>IF(I299=25,G299*H299*J299,"")</f>
        <v/>
      </c>
      <c r="S299" s="5">
        <f>IF(I299=32,G299*H299*J299,"")</f>
        <v/>
      </c>
    </row>
    <row r="300">
      <c r="A300" s="5" t="inlineStr">
        <is>
          <t>NAPPE SUP</t>
        </is>
      </c>
      <c r="G300" s="5" t="n">
        <v>1</v>
      </c>
      <c r="H300" s="5" t="n">
        <v>3</v>
      </c>
      <c r="I300" s="5" t="n">
        <v>10</v>
      </c>
      <c r="J300" s="5">
        <f>E298+36*I300/1000</f>
        <v/>
      </c>
      <c r="K300" s="5">
        <f>IF(I300=6,G300*H300*J300,"")</f>
        <v/>
      </c>
      <c r="L300" s="5">
        <f>IF(I300=8,G300*H300*J300,"")</f>
        <v/>
      </c>
      <c r="M300" s="5">
        <f>IF(I300=10,G300*H300*J300,"")</f>
        <v/>
      </c>
      <c r="N300" s="5">
        <f>IF(I300=12,G300*H300*J300,"")</f>
        <v/>
      </c>
      <c r="O300" s="5">
        <f>IF(I300=14,G300*H300*J300,"")</f>
        <v/>
      </c>
      <c r="P300" s="5">
        <f>IF(I300=16,G300*H300*J300,"")</f>
        <v/>
      </c>
      <c r="Q300" s="5">
        <f>IF(I300=20,G300*H300*J300,"")</f>
        <v/>
      </c>
      <c r="R300" s="5">
        <f>IF(I300=25,G300*H300*J300,"")</f>
        <v/>
      </c>
      <c r="S300" s="5">
        <f>IF(I300=32,G300*H300*J300,"")</f>
        <v/>
      </c>
    </row>
    <row r="301">
      <c r="B301" s="5" t="inlineStr">
        <is>
          <t>5</t>
        </is>
      </c>
      <c r="C301" s="5" t="inlineStr">
        <is>
          <t>A-E</t>
        </is>
      </c>
      <c r="D301" s="5" t="inlineStr">
        <is>
          <t>LG</t>
        </is>
      </c>
      <c r="E301" s="5">
        <f>'Detail quantitatif fondation'!I165</f>
        <v/>
      </c>
    </row>
    <row r="302">
      <c r="A302" s="5" t="inlineStr">
        <is>
          <t>NAPPE INF1</t>
        </is>
      </c>
      <c r="G302" s="5" t="n">
        <v>1</v>
      </c>
      <c r="H302" s="5" t="n">
        <v>3</v>
      </c>
      <c r="I302" s="5" t="n">
        <v>12</v>
      </c>
      <c r="J302" s="5">
        <f>E301+36*I302/1000</f>
        <v/>
      </c>
      <c r="K302" s="5">
        <f>IF(I302=6,G302*H302*J302,"")</f>
        <v/>
      </c>
      <c r="L302" s="5">
        <f>IF(I302=8,G302*H302*J302,"")</f>
        <v/>
      </c>
      <c r="M302" s="5">
        <f>IF(I302=10,G302*H302*J302,"")</f>
        <v/>
      </c>
      <c r="N302" s="5">
        <f>IF(I302=12,G302*H302*J302,"")</f>
        <v/>
      </c>
      <c r="O302" s="5">
        <f>IF(I302=14,G302*H302*J302,"")</f>
        <v/>
      </c>
      <c r="P302" s="5">
        <f>IF(I302=16,G302*H302*J302,"")</f>
        <v/>
      </c>
      <c r="Q302" s="5">
        <f>IF(I302=20,G302*H302*J302,"")</f>
        <v/>
      </c>
      <c r="R302" s="5">
        <f>IF(I302=25,G302*H302*J302,"")</f>
        <v/>
      </c>
      <c r="S302" s="5">
        <f>IF(I302=32,G302*H302*J302,"")</f>
        <v/>
      </c>
    </row>
    <row r="303">
      <c r="A303" s="5" t="inlineStr">
        <is>
          <t>NAPPE SUP</t>
        </is>
      </c>
      <c r="G303" s="5" t="n">
        <v>1</v>
      </c>
      <c r="H303" s="5" t="n">
        <v>3</v>
      </c>
      <c r="I303" s="5" t="n">
        <v>10</v>
      </c>
      <c r="J303" s="5">
        <f>E301+36*I303/1000</f>
        <v/>
      </c>
      <c r="K303" s="5">
        <f>IF(I303=6,G303*H303*J303,"")</f>
        <v/>
      </c>
      <c r="L303" s="5">
        <f>IF(I303=8,G303*H303*J303,"")</f>
        <v/>
      </c>
      <c r="M303" s="5">
        <f>IF(I303=10,G303*H303*J303,"")</f>
        <v/>
      </c>
      <c r="N303" s="5">
        <f>IF(I303=12,G303*H303*J303,"")</f>
        <v/>
      </c>
      <c r="O303" s="5">
        <f>IF(I303=14,G303*H303*J303,"")</f>
        <v/>
      </c>
      <c r="P303" s="5">
        <f>IF(I303=16,G303*H303*J303,"")</f>
        <v/>
      </c>
      <c r="Q303" s="5">
        <f>IF(I303=20,G303*H303*J303,"")</f>
        <v/>
      </c>
      <c r="R303" s="5">
        <f>IF(I303=25,G303*H303*J303,"")</f>
        <v/>
      </c>
      <c r="S303" s="5">
        <f>IF(I303=32,G303*H303*J303,"")</f>
        <v/>
      </c>
    </row>
    <row r="304">
      <c r="B304" s="5" t="inlineStr">
        <is>
          <t>5</t>
        </is>
      </c>
      <c r="C304" s="5" t="inlineStr">
        <is>
          <t>E-G</t>
        </is>
      </c>
      <c r="D304" s="5" t="inlineStr">
        <is>
          <t>LG</t>
        </is>
      </c>
      <c r="E304" s="5">
        <f>'Detail quantitatif fondation'!I166</f>
        <v/>
      </c>
    </row>
    <row r="305">
      <c r="A305" s="5" t="inlineStr">
        <is>
          <t>NAPPE INF1</t>
        </is>
      </c>
      <c r="G305" s="5" t="n">
        <v>1</v>
      </c>
      <c r="H305" s="5" t="n">
        <v>3</v>
      </c>
      <c r="I305" s="5" t="n">
        <v>12</v>
      </c>
      <c r="J305" s="5">
        <f>E304+36*I305/1000</f>
        <v/>
      </c>
      <c r="K305" s="5">
        <f>IF(I305=6,G305*H305*J305,"")</f>
        <v/>
      </c>
      <c r="L305" s="5">
        <f>IF(I305=8,G305*H305*J305,"")</f>
        <v/>
      </c>
      <c r="M305" s="5">
        <f>IF(I305=10,G305*H305*J305,"")</f>
        <v/>
      </c>
      <c r="N305" s="5">
        <f>IF(I305=12,G305*H305*J305,"")</f>
        <v/>
      </c>
      <c r="O305" s="5">
        <f>IF(I305=14,G305*H305*J305,"")</f>
        <v/>
      </c>
      <c r="P305" s="5">
        <f>IF(I305=16,G305*H305*J305,"")</f>
        <v/>
      </c>
      <c r="Q305" s="5">
        <f>IF(I305=20,G305*H305*J305,"")</f>
        <v/>
      </c>
      <c r="R305" s="5">
        <f>IF(I305=25,G305*H305*J305,"")</f>
        <v/>
      </c>
      <c r="S305" s="5">
        <f>IF(I305=32,G305*H305*J305,"")</f>
        <v/>
      </c>
    </row>
    <row r="306">
      <c r="A306" s="5" t="inlineStr">
        <is>
          <t>NAPPE SUP</t>
        </is>
      </c>
      <c r="G306" s="5" t="n">
        <v>1</v>
      </c>
      <c r="H306" s="5" t="n">
        <v>3</v>
      </c>
      <c r="I306" s="5" t="n">
        <v>10</v>
      </c>
      <c r="J306" s="5">
        <f>E304+36*I306/1000</f>
        <v/>
      </c>
      <c r="K306" s="5">
        <f>IF(I306=6,G306*H306*J306,"")</f>
        <v/>
      </c>
      <c r="L306" s="5">
        <f>IF(I306=8,G306*H306*J306,"")</f>
        <v/>
      </c>
      <c r="M306" s="5">
        <f>IF(I306=10,G306*H306*J306,"")</f>
        <v/>
      </c>
      <c r="N306" s="5">
        <f>IF(I306=12,G306*H306*J306,"")</f>
        <v/>
      </c>
      <c r="O306" s="5">
        <f>IF(I306=14,G306*H306*J306,"")</f>
        <v/>
      </c>
      <c r="P306" s="5">
        <f>IF(I306=16,G306*H306*J306,"")</f>
        <v/>
      </c>
      <c r="Q306" s="5">
        <f>IF(I306=20,G306*H306*J306,"")</f>
        <v/>
      </c>
      <c r="R306" s="5">
        <f>IF(I306=25,G306*H306*J306,"")</f>
        <v/>
      </c>
      <c r="S306" s="5">
        <f>IF(I306=32,G306*H306*J306,"")</f>
        <v/>
      </c>
    </row>
    <row r="307">
      <c r="B307" s="5" t="inlineStr">
        <is>
          <t>6</t>
        </is>
      </c>
      <c r="C307" s="5" t="inlineStr">
        <is>
          <t>A-E</t>
        </is>
      </c>
      <c r="D307" s="5" t="inlineStr">
        <is>
          <t>LG</t>
        </is>
      </c>
      <c r="E307" s="5">
        <f>'Detail quantitatif fondation'!I167</f>
        <v/>
      </c>
    </row>
    <row r="308">
      <c r="A308" s="5" t="inlineStr">
        <is>
          <t>NAPPE INF1</t>
        </is>
      </c>
      <c r="G308" s="5" t="n">
        <v>1</v>
      </c>
      <c r="H308" s="5" t="n">
        <v>3</v>
      </c>
      <c r="I308" s="5" t="n">
        <v>12</v>
      </c>
      <c r="J308" s="5">
        <f>E307+36*I308/1000</f>
        <v/>
      </c>
      <c r="K308" s="5">
        <f>IF(I308=6,G308*H308*J308,"")</f>
        <v/>
      </c>
      <c r="L308" s="5">
        <f>IF(I308=8,G308*H308*J308,"")</f>
        <v/>
      </c>
      <c r="M308" s="5">
        <f>IF(I308=10,G308*H308*J308,"")</f>
        <v/>
      </c>
      <c r="N308" s="5">
        <f>IF(I308=12,G308*H308*J308,"")</f>
        <v/>
      </c>
      <c r="O308" s="5">
        <f>IF(I308=14,G308*H308*J308,"")</f>
        <v/>
      </c>
      <c r="P308" s="5">
        <f>IF(I308=16,G308*H308*J308,"")</f>
        <v/>
      </c>
      <c r="Q308" s="5">
        <f>IF(I308=20,G308*H308*J308,"")</f>
        <v/>
      </c>
      <c r="R308" s="5">
        <f>IF(I308=25,G308*H308*J308,"")</f>
        <v/>
      </c>
      <c r="S308" s="5">
        <f>IF(I308=32,G308*H308*J308,"")</f>
        <v/>
      </c>
    </row>
    <row r="309">
      <c r="A309" s="5" t="inlineStr">
        <is>
          <t>NAPPE SUP</t>
        </is>
      </c>
      <c r="G309" s="5" t="n">
        <v>1</v>
      </c>
      <c r="H309" s="5" t="n">
        <v>3</v>
      </c>
      <c r="I309" s="5" t="n">
        <v>10</v>
      </c>
      <c r="J309" s="5">
        <f>E307+36*I309/1000</f>
        <v/>
      </c>
      <c r="K309" s="5">
        <f>IF(I309=6,G309*H309*J309,"")</f>
        <v/>
      </c>
      <c r="L309" s="5">
        <f>IF(I309=8,G309*H309*J309,"")</f>
        <v/>
      </c>
      <c r="M309" s="5">
        <f>IF(I309=10,G309*H309*J309,"")</f>
        <v/>
      </c>
      <c r="N309" s="5">
        <f>IF(I309=12,G309*H309*J309,"")</f>
        <v/>
      </c>
      <c r="O309" s="5">
        <f>IF(I309=14,G309*H309*J309,"")</f>
        <v/>
      </c>
      <c r="P309" s="5">
        <f>IF(I309=16,G309*H309*J309,"")</f>
        <v/>
      </c>
      <c r="Q309" s="5">
        <f>IF(I309=20,G309*H309*J309,"")</f>
        <v/>
      </c>
      <c r="R309" s="5">
        <f>IF(I309=25,G309*H309*J309,"")</f>
        <v/>
      </c>
      <c r="S309" s="5">
        <f>IF(I309=32,G309*H309*J309,"")</f>
        <v/>
      </c>
    </row>
    <row r="310">
      <c r="B310" s="5" t="inlineStr">
        <is>
          <t>6</t>
        </is>
      </c>
      <c r="C310" s="5" t="inlineStr">
        <is>
          <t>E-G</t>
        </is>
      </c>
      <c r="D310" s="5" t="inlineStr">
        <is>
          <t>LG</t>
        </is>
      </c>
      <c r="E310" s="5">
        <f>'Detail quantitatif fondation'!I168</f>
        <v/>
      </c>
    </row>
    <row r="311">
      <c r="A311" s="5" t="inlineStr">
        <is>
          <t>NAPPE INF1</t>
        </is>
      </c>
      <c r="G311" s="5" t="n">
        <v>1</v>
      </c>
      <c r="H311" s="5" t="n">
        <v>3</v>
      </c>
      <c r="I311" s="5" t="n">
        <v>12</v>
      </c>
      <c r="J311" s="5">
        <f>E310+36*I311/1000</f>
        <v/>
      </c>
      <c r="K311" s="5">
        <f>IF(I311=6,G311*H311*J311,"")</f>
        <v/>
      </c>
      <c r="L311" s="5">
        <f>IF(I311=8,G311*H311*J311,"")</f>
        <v/>
      </c>
      <c r="M311" s="5">
        <f>IF(I311=10,G311*H311*J311,"")</f>
        <v/>
      </c>
      <c r="N311" s="5">
        <f>IF(I311=12,G311*H311*J311,"")</f>
        <v/>
      </c>
      <c r="O311" s="5">
        <f>IF(I311=14,G311*H311*J311,"")</f>
        <v/>
      </c>
      <c r="P311" s="5">
        <f>IF(I311=16,G311*H311*J311,"")</f>
        <v/>
      </c>
      <c r="Q311" s="5">
        <f>IF(I311=20,G311*H311*J311,"")</f>
        <v/>
      </c>
      <c r="R311" s="5">
        <f>IF(I311=25,G311*H311*J311,"")</f>
        <v/>
      </c>
      <c r="S311" s="5">
        <f>IF(I311=32,G311*H311*J311,"")</f>
        <v/>
      </c>
    </row>
    <row r="312">
      <c r="A312" s="5" t="inlineStr">
        <is>
          <t>NAPPE SUP</t>
        </is>
      </c>
      <c r="G312" s="5" t="n">
        <v>1</v>
      </c>
      <c r="H312" s="5" t="n">
        <v>3</v>
      </c>
      <c r="I312" s="5" t="n">
        <v>10</v>
      </c>
      <c r="J312" s="5">
        <f>E310+36*I312/1000</f>
        <v/>
      </c>
      <c r="K312" s="5">
        <f>IF(I312=6,G312*H312*J312,"")</f>
        <v/>
      </c>
      <c r="L312" s="5">
        <f>IF(I312=8,G312*H312*J312,"")</f>
        <v/>
      </c>
      <c r="M312" s="5">
        <f>IF(I312=10,G312*H312*J312,"")</f>
        <v/>
      </c>
      <c r="N312" s="5">
        <f>IF(I312=12,G312*H312*J312,"")</f>
        <v/>
      </c>
      <c r="O312" s="5">
        <f>IF(I312=14,G312*H312*J312,"")</f>
        <v/>
      </c>
      <c r="P312" s="5">
        <f>IF(I312=16,G312*H312*J312,"")</f>
        <v/>
      </c>
      <c r="Q312" s="5">
        <f>IF(I312=20,G312*H312*J312,"")</f>
        <v/>
      </c>
      <c r="R312" s="5">
        <f>IF(I312=25,G312*H312*J312,"")</f>
        <v/>
      </c>
      <c r="S312" s="5">
        <f>IF(I312=32,G312*H312*J312,"")</f>
        <v/>
      </c>
    </row>
    <row r="313">
      <c r="B313" s="5" t="inlineStr">
        <is>
          <t>7</t>
        </is>
      </c>
      <c r="C313" s="5" t="inlineStr">
        <is>
          <t>A-E</t>
        </is>
      </c>
      <c r="D313" s="5" t="inlineStr">
        <is>
          <t>LG</t>
        </is>
      </c>
      <c r="E313" s="5">
        <f>'Detail quantitatif fondation'!I169</f>
        <v/>
      </c>
    </row>
    <row r="314">
      <c r="A314" s="5" t="inlineStr">
        <is>
          <t>NAPPE INF1</t>
        </is>
      </c>
      <c r="G314" s="5" t="n">
        <v>1</v>
      </c>
      <c r="H314" s="5" t="n">
        <v>3</v>
      </c>
      <c r="I314" s="5" t="n">
        <v>12</v>
      </c>
      <c r="J314" s="5">
        <f>E313+36*I314/1000</f>
        <v/>
      </c>
      <c r="K314" s="5">
        <f>IF(I314=6,G314*H314*J314,"")</f>
        <v/>
      </c>
      <c r="L314" s="5">
        <f>IF(I314=8,G314*H314*J314,"")</f>
        <v/>
      </c>
      <c r="M314" s="5">
        <f>IF(I314=10,G314*H314*J314,"")</f>
        <v/>
      </c>
      <c r="N314" s="5">
        <f>IF(I314=12,G314*H314*J314,"")</f>
        <v/>
      </c>
      <c r="O314" s="5">
        <f>IF(I314=14,G314*H314*J314,"")</f>
        <v/>
      </c>
      <c r="P314" s="5">
        <f>IF(I314=16,G314*H314*J314,"")</f>
        <v/>
      </c>
      <c r="Q314" s="5">
        <f>IF(I314=20,G314*H314*J314,"")</f>
        <v/>
      </c>
      <c r="R314" s="5">
        <f>IF(I314=25,G314*H314*J314,"")</f>
        <v/>
      </c>
      <c r="S314" s="5">
        <f>IF(I314=32,G314*H314*J314,"")</f>
        <v/>
      </c>
    </row>
    <row r="315">
      <c r="A315" s="5" t="inlineStr">
        <is>
          <t>NAPPE SUP</t>
        </is>
      </c>
      <c r="G315" s="5" t="n">
        <v>1</v>
      </c>
      <c r="H315" s="5" t="n">
        <v>3</v>
      </c>
      <c r="I315" s="5" t="n">
        <v>10</v>
      </c>
      <c r="J315" s="5">
        <f>E313+36*I315/1000</f>
        <v/>
      </c>
      <c r="K315" s="5">
        <f>IF(I315=6,G315*H315*J315,"")</f>
        <v/>
      </c>
      <c r="L315" s="5">
        <f>IF(I315=8,G315*H315*J315,"")</f>
        <v/>
      </c>
      <c r="M315" s="5">
        <f>IF(I315=10,G315*H315*J315,"")</f>
        <v/>
      </c>
      <c r="N315" s="5">
        <f>IF(I315=12,G315*H315*J315,"")</f>
        <v/>
      </c>
      <c r="O315" s="5">
        <f>IF(I315=14,G315*H315*J315,"")</f>
        <v/>
      </c>
      <c r="P315" s="5">
        <f>IF(I315=16,G315*H315*J315,"")</f>
        <v/>
      </c>
      <c r="Q315" s="5">
        <f>IF(I315=20,G315*H315*J315,"")</f>
        <v/>
      </c>
      <c r="R315" s="5">
        <f>IF(I315=25,G315*H315*J315,"")</f>
        <v/>
      </c>
      <c r="S315" s="5">
        <f>IF(I315=32,G315*H315*J315,"")</f>
        <v/>
      </c>
    </row>
    <row r="316">
      <c r="B316" s="5" t="inlineStr">
        <is>
          <t>7</t>
        </is>
      </c>
      <c r="C316" s="5" t="inlineStr">
        <is>
          <t>E-G</t>
        </is>
      </c>
      <c r="D316" s="5" t="inlineStr">
        <is>
          <t>LG</t>
        </is>
      </c>
      <c r="E316" s="5">
        <f>'Detail quantitatif fondation'!I170</f>
        <v/>
      </c>
    </row>
    <row r="317">
      <c r="A317" s="5" t="inlineStr">
        <is>
          <t>NAPPE INF1</t>
        </is>
      </c>
      <c r="G317" s="5" t="n">
        <v>1</v>
      </c>
      <c r="H317" s="5" t="n">
        <v>3</v>
      </c>
      <c r="I317" s="5" t="n">
        <v>12</v>
      </c>
      <c r="J317" s="5">
        <f>E316+36*I317/1000</f>
        <v/>
      </c>
      <c r="K317" s="5">
        <f>IF(I317=6,G317*H317*J317,"")</f>
        <v/>
      </c>
      <c r="L317" s="5">
        <f>IF(I317=8,G317*H317*J317,"")</f>
        <v/>
      </c>
      <c r="M317" s="5">
        <f>IF(I317=10,G317*H317*J317,"")</f>
        <v/>
      </c>
      <c r="N317" s="5">
        <f>IF(I317=12,G317*H317*J317,"")</f>
        <v/>
      </c>
      <c r="O317" s="5">
        <f>IF(I317=14,G317*H317*J317,"")</f>
        <v/>
      </c>
      <c r="P317" s="5">
        <f>IF(I317=16,G317*H317*J317,"")</f>
        <v/>
      </c>
      <c r="Q317" s="5">
        <f>IF(I317=20,G317*H317*J317,"")</f>
        <v/>
      </c>
      <c r="R317" s="5">
        <f>IF(I317=25,G317*H317*J317,"")</f>
        <v/>
      </c>
      <c r="S317" s="5">
        <f>IF(I317=32,G317*H317*J317,"")</f>
        <v/>
      </c>
    </row>
    <row r="318">
      <c r="A318" s="5" t="inlineStr">
        <is>
          <t>NAPPE SUP</t>
        </is>
      </c>
      <c r="G318" s="5" t="n">
        <v>1</v>
      </c>
      <c r="H318" s="5" t="n">
        <v>3</v>
      </c>
      <c r="I318" s="5" t="n">
        <v>10</v>
      </c>
      <c r="J318" s="5">
        <f>E316+36*I318/1000</f>
        <v/>
      </c>
      <c r="K318" s="5">
        <f>IF(I318=6,G318*H318*J318,"")</f>
        <v/>
      </c>
      <c r="L318" s="5">
        <f>IF(I318=8,G318*H318*J318,"")</f>
        <v/>
      </c>
      <c r="M318" s="5">
        <f>IF(I318=10,G318*H318*J318,"")</f>
        <v/>
      </c>
      <c r="N318" s="5">
        <f>IF(I318=12,G318*H318*J318,"")</f>
        <v/>
      </c>
      <c r="O318" s="5">
        <f>IF(I318=14,G318*H318*J318,"")</f>
        <v/>
      </c>
      <c r="P318" s="5">
        <f>IF(I318=16,G318*H318*J318,"")</f>
        <v/>
      </c>
      <c r="Q318" s="5">
        <f>IF(I318=20,G318*H318*J318,"")</f>
        <v/>
      </c>
      <c r="R318" s="5">
        <f>IF(I318=25,G318*H318*J318,"")</f>
        <v/>
      </c>
      <c r="S318" s="5">
        <f>IF(I318=32,G318*H318*J318,"")</f>
        <v/>
      </c>
    </row>
    <row r="319">
      <c r="A319" s="5" t="inlineStr">
        <is>
          <t>chainage</t>
        </is>
      </c>
    </row>
    <row r="320">
      <c r="A320" s="2" t="inlineStr">
        <is>
          <t>axe</t>
        </is>
      </c>
      <c r="B320" s="2" t="inlineStr">
        <is>
          <t>fill</t>
        </is>
      </c>
      <c r="C320" s="2" t="inlineStr">
        <is>
          <t>Nom</t>
        </is>
      </c>
      <c r="D320" s="2" t="inlineStr">
        <is>
          <t>Long</t>
        </is>
      </c>
      <c r="E320" s="2" t="inlineStr">
        <is>
          <t>b</t>
        </is>
      </c>
      <c r="F320" s="2" t="inlineStr">
        <is>
          <t>h</t>
        </is>
      </c>
    </row>
    <row r="321">
      <c r="B321" s="5" t="inlineStr">
        <is>
          <t>A</t>
        </is>
      </c>
      <c r="C321" s="5" t="inlineStr">
        <is>
          <t>1-2</t>
        </is>
      </c>
      <c r="D321" s="5" t="inlineStr">
        <is>
          <t>CH</t>
        </is>
      </c>
      <c r="E321" s="5">
        <f>'Detail quantitatif fondation'!I174</f>
        <v/>
      </c>
      <c r="F321" s="5" t="n">
        <v>0.4</v>
      </c>
      <c r="G321" s="5" t="n">
        <v>0.2</v>
      </c>
    </row>
    <row r="322">
      <c r="A322" s="5" t="inlineStr">
        <is>
          <t>NAPPE INF1</t>
        </is>
      </c>
      <c r="G322" s="5" t="n">
        <v>1</v>
      </c>
      <c r="H322" s="5" t="n">
        <v>3</v>
      </c>
      <c r="I322" s="5" t="n">
        <v>10</v>
      </c>
      <c r="J322" s="5">
        <f>E321+36*I322/1000</f>
        <v/>
      </c>
      <c r="K322" s="5">
        <f>IF(I322=6,G322*H322*J322,"")</f>
        <v/>
      </c>
      <c r="L322" s="5">
        <f>IF(I322=8,G322*H322*J322,"")</f>
        <v/>
      </c>
      <c r="M322" s="5">
        <f>IF(I322=10,G322*H322*J322,"")</f>
        <v/>
      </c>
      <c r="N322" s="5">
        <f>IF(I322=12,G322*H322*J322,"")</f>
        <v/>
      </c>
      <c r="O322" s="5">
        <f>IF(I322=14,G322*H322*J322,"")</f>
        <v/>
      </c>
      <c r="P322" s="5">
        <f>IF(I322=16,G322*H322*J322,"")</f>
        <v/>
      </c>
      <c r="Q322" s="5">
        <f>IF(I322=20,G322*H322*J322,"")</f>
        <v/>
      </c>
      <c r="R322" s="5">
        <f>IF(I322=25,G322*H322*J322,"")</f>
        <v/>
      </c>
      <c r="S322" s="5">
        <f>IF(I322=32,G322*H322*J322,"")</f>
        <v/>
      </c>
    </row>
    <row r="323">
      <c r="A323" s="5" t="inlineStr">
        <is>
          <t>NAPPE SUP</t>
        </is>
      </c>
      <c r="G323" s="5" t="n">
        <v>1</v>
      </c>
      <c r="H323" s="5" t="n">
        <v>3</v>
      </c>
      <c r="I323" s="5" t="n">
        <v>10</v>
      </c>
      <c r="J323" s="5">
        <f>E321+36*I323/1000</f>
        <v/>
      </c>
      <c r="K323" s="5">
        <f>IF(I323=6,G323*H323*J323,"")</f>
        <v/>
      </c>
      <c r="L323" s="5">
        <f>IF(I323=8,G323*H323*J323,"")</f>
        <v/>
      </c>
      <c r="M323" s="5">
        <f>IF(I323=10,G323*H323*J323,"")</f>
        <v/>
      </c>
      <c r="N323" s="5">
        <f>IF(I323=12,G323*H323*J323,"")</f>
        <v/>
      </c>
      <c r="O323" s="5">
        <f>IF(I323=14,G323*H323*J323,"")</f>
        <v/>
      </c>
      <c r="P323" s="5">
        <f>IF(I323=16,G323*H323*J323,"")</f>
        <v/>
      </c>
      <c r="Q323" s="5">
        <f>IF(I323=20,G323*H323*J323,"")</f>
        <v/>
      </c>
      <c r="R323" s="5">
        <f>IF(I323=25,G323*H323*J323,"")</f>
        <v/>
      </c>
      <c r="S323" s="5">
        <f>IF(I323=32,G323*H323*J323,"")</f>
        <v/>
      </c>
    </row>
    <row r="324">
      <c r="A324" s="5" t="inlineStr">
        <is>
          <t>EPINGLE</t>
        </is>
      </c>
      <c r="G324" s="5" t="n">
        <v>1</v>
      </c>
      <c r="H324" s="5">
        <f>ROUNDUP((E321/0.2)+10,0)</f>
        <v/>
      </c>
      <c r="I324" s="5" t="n">
        <v>6</v>
      </c>
      <c r="J324" s="5">
        <f>(G321-0.025)+22*I324/1000</f>
        <v/>
      </c>
      <c r="K324" s="5">
        <f>IF(I324=6,G324*H324*J324,"")</f>
        <v/>
      </c>
      <c r="L324" s="5">
        <f>IF(I324=8,G324*H324*J324,"")</f>
        <v/>
      </c>
      <c r="M324" s="5">
        <f>IF(I324=10,G324*H324*J324,"")</f>
        <v/>
      </c>
      <c r="N324" s="5">
        <f>IF(I324=12,G324*H324*J324,"")</f>
        <v/>
      </c>
      <c r="O324" s="5">
        <f>IF(I324=14,G324*H324*J324,"")</f>
        <v/>
      </c>
      <c r="P324" s="5">
        <f>IF(I324=16,G324*H324*J324,"")</f>
        <v/>
      </c>
      <c r="Q324" s="5">
        <f>IF(I324=20,G324*H324*J324,"")</f>
        <v/>
      </c>
      <c r="R324" s="5">
        <f>IF(I324=25,G324*H324*J324,"")</f>
        <v/>
      </c>
      <c r="S324" s="5">
        <f>IF(I324=32,G324*H324*J324,"")</f>
        <v/>
      </c>
    </row>
    <row r="325">
      <c r="B325" s="5" t="inlineStr">
        <is>
          <t>A</t>
        </is>
      </c>
      <c r="C325" s="5" t="inlineStr">
        <is>
          <t>2-4</t>
        </is>
      </c>
      <c r="D325" s="5" t="inlineStr">
        <is>
          <t>CH</t>
        </is>
      </c>
      <c r="E325" s="5">
        <f>'Detail quantitatif fondation'!I175</f>
        <v/>
      </c>
      <c r="F325" s="5" t="n">
        <v>0.4</v>
      </c>
      <c r="G325" s="5" t="n">
        <v>0.2</v>
      </c>
    </row>
    <row r="326">
      <c r="A326" s="5" t="inlineStr">
        <is>
          <t>NAPPE INF1</t>
        </is>
      </c>
      <c r="G326" s="5" t="n">
        <v>1</v>
      </c>
      <c r="H326" s="5" t="n">
        <v>3</v>
      </c>
      <c r="I326" s="5" t="n">
        <v>10</v>
      </c>
      <c r="J326" s="5">
        <f>E325+36*I326/1000</f>
        <v/>
      </c>
      <c r="K326" s="5">
        <f>IF(I326=6,G326*H326*J326,"")</f>
        <v/>
      </c>
      <c r="L326" s="5">
        <f>IF(I326=8,G326*H326*J326,"")</f>
        <v/>
      </c>
      <c r="M326" s="5">
        <f>IF(I326=10,G326*H326*J326,"")</f>
        <v/>
      </c>
      <c r="N326" s="5">
        <f>IF(I326=12,G326*H326*J326,"")</f>
        <v/>
      </c>
      <c r="O326" s="5">
        <f>IF(I326=14,G326*H326*J326,"")</f>
        <v/>
      </c>
      <c r="P326" s="5">
        <f>IF(I326=16,G326*H326*J326,"")</f>
        <v/>
      </c>
      <c r="Q326" s="5">
        <f>IF(I326=20,G326*H326*J326,"")</f>
        <v/>
      </c>
      <c r="R326" s="5">
        <f>IF(I326=25,G326*H326*J326,"")</f>
        <v/>
      </c>
      <c r="S326" s="5">
        <f>IF(I326=32,G326*H326*J326,"")</f>
        <v/>
      </c>
    </row>
    <row r="327">
      <c r="A327" s="5" t="inlineStr">
        <is>
          <t>NAPPE SUP</t>
        </is>
      </c>
      <c r="G327" s="5" t="n">
        <v>1</v>
      </c>
      <c r="H327" s="5" t="n">
        <v>3</v>
      </c>
      <c r="I327" s="5" t="n">
        <v>10</v>
      </c>
      <c r="J327" s="5">
        <f>E325+36*I327/1000</f>
        <v/>
      </c>
      <c r="K327" s="5">
        <f>IF(I327=6,G327*H327*J327,"")</f>
        <v/>
      </c>
      <c r="L327" s="5">
        <f>IF(I327=8,G327*H327*J327,"")</f>
        <v/>
      </c>
      <c r="M327" s="5">
        <f>IF(I327=10,G327*H327*J327,"")</f>
        <v/>
      </c>
      <c r="N327" s="5">
        <f>IF(I327=12,G327*H327*J327,"")</f>
        <v/>
      </c>
      <c r="O327" s="5">
        <f>IF(I327=14,G327*H327*J327,"")</f>
        <v/>
      </c>
      <c r="P327" s="5">
        <f>IF(I327=16,G327*H327*J327,"")</f>
        <v/>
      </c>
      <c r="Q327" s="5">
        <f>IF(I327=20,G327*H327*J327,"")</f>
        <v/>
      </c>
      <c r="R327" s="5">
        <f>IF(I327=25,G327*H327*J327,"")</f>
        <v/>
      </c>
      <c r="S327" s="5">
        <f>IF(I327=32,G327*H327*J327,"")</f>
        <v/>
      </c>
    </row>
    <row r="328">
      <c r="A328" s="5" t="inlineStr">
        <is>
          <t>EPINGLE</t>
        </is>
      </c>
      <c r="G328" s="5" t="n">
        <v>1</v>
      </c>
      <c r="H328" s="5">
        <f>ROUNDUP((E325/0.2)+10,0)</f>
        <v/>
      </c>
      <c r="I328" s="5" t="n">
        <v>6</v>
      </c>
      <c r="J328" s="5">
        <f>(G325-0.025)+22*I328/1000</f>
        <v/>
      </c>
      <c r="K328" s="5">
        <f>IF(I328=6,G328*H328*J328,"")</f>
        <v/>
      </c>
      <c r="L328" s="5">
        <f>IF(I328=8,G328*H328*J328,"")</f>
        <v/>
      </c>
      <c r="M328" s="5">
        <f>IF(I328=10,G328*H328*J328,"")</f>
        <v/>
      </c>
      <c r="N328" s="5">
        <f>IF(I328=12,G328*H328*J328,"")</f>
        <v/>
      </c>
      <c r="O328" s="5">
        <f>IF(I328=14,G328*H328*J328,"")</f>
        <v/>
      </c>
      <c r="P328" s="5">
        <f>IF(I328=16,G328*H328*J328,"")</f>
        <v/>
      </c>
      <c r="Q328" s="5">
        <f>IF(I328=20,G328*H328*J328,"")</f>
        <v/>
      </c>
      <c r="R328" s="5">
        <f>IF(I328=25,G328*H328*J328,"")</f>
        <v/>
      </c>
      <c r="S328" s="5">
        <f>IF(I328=32,G328*H328*J328,"")</f>
        <v/>
      </c>
    </row>
    <row r="329">
      <c r="B329" s="5" t="inlineStr">
        <is>
          <t>A</t>
        </is>
      </c>
      <c r="C329" s="5" t="inlineStr">
        <is>
          <t>4-5</t>
        </is>
      </c>
      <c r="D329" s="5" t="inlineStr">
        <is>
          <t>CH</t>
        </is>
      </c>
      <c r="E329" s="5">
        <f>'Detail quantitatif fondation'!I176</f>
        <v/>
      </c>
      <c r="F329" s="5" t="n">
        <v>0.4</v>
      </c>
      <c r="G329" s="5" t="n">
        <v>0.2</v>
      </c>
    </row>
    <row r="330">
      <c r="A330" s="5" t="inlineStr">
        <is>
          <t>NAPPE INF1</t>
        </is>
      </c>
      <c r="G330" s="5" t="n">
        <v>1</v>
      </c>
      <c r="H330" s="5" t="n">
        <v>3</v>
      </c>
      <c r="I330" s="5" t="n">
        <v>10</v>
      </c>
      <c r="J330" s="5">
        <f>E329+36*I330/1000</f>
        <v/>
      </c>
      <c r="K330" s="5">
        <f>IF(I330=6,G330*H330*J330,"")</f>
        <v/>
      </c>
      <c r="L330" s="5">
        <f>IF(I330=8,G330*H330*J330,"")</f>
        <v/>
      </c>
      <c r="M330" s="5">
        <f>IF(I330=10,G330*H330*J330,"")</f>
        <v/>
      </c>
      <c r="N330" s="5">
        <f>IF(I330=12,G330*H330*J330,"")</f>
        <v/>
      </c>
      <c r="O330" s="5">
        <f>IF(I330=14,G330*H330*J330,"")</f>
        <v/>
      </c>
      <c r="P330" s="5">
        <f>IF(I330=16,G330*H330*J330,"")</f>
        <v/>
      </c>
      <c r="Q330" s="5">
        <f>IF(I330=20,G330*H330*J330,"")</f>
        <v/>
      </c>
      <c r="R330" s="5">
        <f>IF(I330=25,G330*H330*J330,"")</f>
        <v/>
      </c>
      <c r="S330" s="5">
        <f>IF(I330=32,G330*H330*J330,"")</f>
        <v/>
      </c>
    </row>
    <row r="331">
      <c r="A331" s="5" t="inlineStr">
        <is>
          <t>NAPPE SUP</t>
        </is>
      </c>
      <c r="G331" s="5" t="n">
        <v>1</v>
      </c>
      <c r="H331" s="5" t="n">
        <v>3</v>
      </c>
      <c r="I331" s="5" t="n">
        <v>10</v>
      </c>
      <c r="J331" s="5">
        <f>E329+36*I331/1000</f>
        <v/>
      </c>
      <c r="K331" s="5">
        <f>IF(I331=6,G331*H331*J331,"")</f>
        <v/>
      </c>
      <c r="L331" s="5">
        <f>IF(I331=8,G331*H331*J331,"")</f>
        <v/>
      </c>
      <c r="M331" s="5">
        <f>IF(I331=10,G331*H331*J331,"")</f>
        <v/>
      </c>
      <c r="N331" s="5">
        <f>IF(I331=12,G331*H331*J331,"")</f>
        <v/>
      </c>
      <c r="O331" s="5">
        <f>IF(I331=14,G331*H331*J331,"")</f>
        <v/>
      </c>
      <c r="P331" s="5">
        <f>IF(I331=16,G331*H331*J331,"")</f>
        <v/>
      </c>
      <c r="Q331" s="5">
        <f>IF(I331=20,G331*H331*J331,"")</f>
        <v/>
      </c>
      <c r="R331" s="5">
        <f>IF(I331=25,G331*H331*J331,"")</f>
        <v/>
      </c>
      <c r="S331" s="5">
        <f>IF(I331=32,G331*H331*J331,"")</f>
        <v/>
      </c>
    </row>
    <row r="332">
      <c r="A332" s="5" t="inlineStr">
        <is>
          <t>EPINGLE</t>
        </is>
      </c>
      <c r="G332" s="5" t="n">
        <v>1</v>
      </c>
      <c r="H332" s="5">
        <f>ROUNDUP((E329/0.2)+10,0)</f>
        <v/>
      </c>
      <c r="I332" s="5" t="n">
        <v>6</v>
      </c>
      <c r="J332" s="5">
        <f>(G329-0.025)+22*I332/1000</f>
        <v/>
      </c>
      <c r="K332" s="5">
        <f>IF(I332=6,G332*H332*J332,"")</f>
        <v/>
      </c>
      <c r="L332" s="5">
        <f>IF(I332=8,G332*H332*J332,"")</f>
        <v/>
      </c>
      <c r="M332" s="5">
        <f>IF(I332=10,G332*H332*J332,"")</f>
        <v/>
      </c>
      <c r="N332" s="5">
        <f>IF(I332=12,G332*H332*J332,"")</f>
        <v/>
      </c>
      <c r="O332" s="5">
        <f>IF(I332=14,G332*H332*J332,"")</f>
        <v/>
      </c>
      <c r="P332" s="5">
        <f>IF(I332=16,G332*H332*J332,"")</f>
        <v/>
      </c>
      <c r="Q332" s="5">
        <f>IF(I332=20,G332*H332*J332,"")</f>
        <v/>
      </c>
      <c r="R332" s="5">
        <f>IF(I332=25,G332*H332*J332,"")</f>
        <v/>
      </c>
      <c r="S332" s="5">
        <f>IF(I332=32,G332*H332*J332,"")</f>
        <v/>
      </c>
    </row>
    <row r="333">
      <c r="B333" s="5" t="inlineStr">
        <is>
          <t>A</t>
        </is>
      </c>
      <c r="C333" s="5" t="inlineStr">
        <is>
          <t>5-6</t>
        </is>
      </c>
      <c r="D333" s="5" t="inlineStr">
        <is>
          <t>CH</t>
        </is>
      </c>
      <c r="E333" s="5">
        <f>'Detail quantitatif fondation'!I177</f>
        <v/>
      </c>
      <c r="F333" s="5" t="n">
        <v>0.4</v>
      </c>
      <c r="G333" s="5" t="n">
        <v>0.2</v>
      </c>
    </row>
    <row r="334">
      <c r="A334" s="5" t="inlineStr">
        <is>
          <t>NAPPE INF1</t>
        </is>
      </c>
      <c r="G334" s="5" t="n">
        <v>1</v>
      </c>
      <c r="H334" s="5" t="n">
        <v>3</v>
      </c>
      <c r="I334" s="5" t="n">
        <v>10</v>
      </c>
      <c r="J334" s="5">
        <f>E333+36*I334/1000</f>
        <v/>
      </c>
      <c r="K334" s="5">
        <f>IF(I334=6,G334*H334*J334,"")</f>
        <v/>
      </c>
      <c r="L334" s="5">
        <f>IF(I334=8,G334*H334*J334,"")</f>
        <v/>
      </c>
      <c r="M334" s="5">
        <f>IF(I334=10,G334*H334*J334,"")</f>
        <v/>
      </c>
      <c r="N334" s="5">
        <f>IF(I334=12,G334*H334*J334,"")</f>
        <v/>
      </c>
      <c r="O334" s="5">
        <f>IF(I334=14,G334*H334*J334,"")</f>
        <v/>
      </c>
      <c r="P334" s="5">
        <f>IF(I334=16,G334*H334*J334,"")</f>
        <v/>
      </c>
      <c r="Q334" s="5">
        <f>IF(I334=20,G334*H334*J334,"")</f>
        <v/>
      </c>
      <c r="R334" s="5">
        <f>IF(I334=25,G334*H334*J334,"")</f>
        <v/>
      </c>
      <c r="S334" s="5">
        <f>IF(I334=32,G334*H334*J334,"")</f>
        <v/>
      </c>
    </row>
    <row r="335">
      <c r="A335" s="5" t="inlineStr">
        <is>
          <t>NAPPE SUP</t>
        </is>
      </c>
      <c r="G335" s="5" t="n">
        <v>1</v>
      </c>
      <c r="H335" s="5" t="n">
        <v>3</v>
      </c>
      <c r="I335" s="5" t="n">
        <v>10</v>
      </c>
      <c r="J335" s="5">
        <f>E333+36*I335/1000</f>
        <v/>
      </c>
      <c r="K335" s="5">
        <f>IF(I335=6,G335*H335*J335,"")</f>
        <v/>
      </c>
      <c r="L335" s="5">
        <f>IF(I335=8,G335*H335*J335,"")</f>
        <v/>
      </c>
      <c r="M335" s="5">
        <f>IF(I335=10,G335*H335*J335,"")</f>
        <v/>
      </c>
      <c r="N335" s="5">
        <f>IF(I335=12,G335*H335*J335,"")</f>
        <v/>
      </c>
      <c r="O335" s="5">
        <f>IF(I335=14,G335*H335*J335,"")</f>
        <v/>
      </c>
      <c r="P335" s="5">
        <f>IF(I335=16,G335*H335*J335,"")</f>
        <v/>
      </c>
      <c r="Q335" s="5">
        <f>IF(I335=20,G335*H335*J335,"")</f>
        <v/>
      </c>
      <c r="R335" s="5">
        <f>IF(I335=25,G335*H335*J335,"")</f>
        <v/>
      </c>
      <c r="S335" s="5">
        <f>IF(I335=32,G335*H335*J335,"")</f>
        <v/>
      </c>
    </row>
    <row r="336">
      <c r="A336" s="5" t="inlineStr">
        <is>
          <t>EPINGLE</t>
        </is>
      </c>
      <c r="G336" s="5" t="n">
        <v>1</v>
      </c>
      <c r="H336" s="5">
        <f>ROUNDUP((E333/0.2)+10,0)</f>
        <v/>
      </c>
      <c r="I336" s="5" t="n">
        <v>6</v>
      </c>
      <c r="J336" s="5">
        <f>(G333-0.025)+22*I336/1000</f>
        <v/>
      </c>
      <c r="K336" s="5">
        <f>IF(I336=6,G336*H336*J336,"")</f>
        <v/>
      </c>
      <c r="L336" s="5">
        <f>IF(I336=8,G336*H336*J336,"")</f>
        <v/>
      </c>
      <c r="M336" s="5">
        <f>IF(I336=10,G336*H336*J336,"")</f>
        <v/>
      </c>
      <c r="N336" s="5">
        <f>IF(I336=12,G336*H336*J336,"")</f>
        <v/>
      </c>
      <c r="O336" s="5">
        <f>IF(I336=14,G336*H336*J336,"")</f>
        <v/>
      </c>
      <c r="P336" s="5">
        <f>IF(I336=16,G336*H336*J336,"")</f>
        <v/>
      </c>
      <c r="Q336" s="5">
        <f>IF(I336=20,G336*H336*J336,"")</f>
        <v/>
      </c>
      <c r="R336" s="5">
        <f>IF(I336=25,G336*H336*J336,"")</f>
        <v/>
      </c>
      <c r="S336" s="5">
        <f>IF(I336=32,G336*H336*J336,"")</f>
        <v/>
      </c>
    </row>
    <row r="337">
      <c r="B337" s="5" t="inlineStr">
        <is>
          <t>A</t>
        </is>
      </c>
      <c r="C337" s="5" t="inlineStr">
        <is>
          <t>6-7</t>
        </is>
      </c>
      <c r="D337" s="5" t="inlineStr">
        <is>
          <t>CH</t>
        </is>
      </c>
      <c r="E337" s="5">
        <f>'Detail quantitatif fondation'!I178</f>
        <v/>
      </c>
      <c r="F337" s="5" t="n">
        <v>0.4</v>
      </c>
      <c r="G337" s="5" t="n">
        <v>0.2</v>
      </c>
    </row>
    <row r="338">
      <c r="A338" s="5" t="inlineStr">
        <is>
          <t>NAPPE INF1</t>
        </is>
      </c>
      <c r="G338" s="5" t="n">
        <v>1</v>
      </c>
      <c r="H338" s="5" t="n">
        <v>3</v>
      </c>
      <c r="I338" s="5" t="n">
        <v>10</v>
      </c>
      <c r="J338" s="5">
        <f>E337+36*I338/1000</f>
        <v/>
      </c>
      <c r="K338" s="5">
        <f>IF(I338=6,G338*H338*J338,"")</f>
        <v/>
      </c>
      <c r="L338" s="5">
        <f>IF(I338=8,G338*H338*J338,"")</f>
        <v/>
      </c>
      <c r="M338" s="5">
        <f>IF(I338=10,G338*H338*J338,"")</f>
        <v/>
      </c>
      <c r="N338" s="5">
        <f>IF(I338=12,G338*H338*J338,"")</f>
        <v/>
      </c>
      <c r="O338" s="5">
        <f>IF(I338=14,G338*H338*J338,"")</f>
        <v/>
      </c>
      <c r="P338" s="5">
        <f>IF(I338=16,G338*H338*J338,"")</f>
        <v/>
      </c>
      <c r="Q338" s="5">
        <f>IF(I338=20,G338*H338*J338,"")</f>
        <v/>
      </c>
      <c r="R338" s="5">
        <f>IF(I338=25,G338*H338*J338,"")</f>
        <v/>
      </c>
      <c r="S338" s="5">
        <f>IF(I338=32,G338*H338*J338,"")</f>
        <v/>
      </c>
    </row>
    <row r="339">
      <c r="A339" s="5" t="inlineStr">
        <is>
          <t>NAPPE SUP</t>
        </is>
      </c>
      <c r="G339" s="5" t="n">
        <v>1</v>
      </c>
      <c r="H339" s="5" t="n">
        <v>3</v>
      </c>
      <c r="I339" s="5" t="n">
        <v>10</v>
      </c>
      <c r="J339" s="5">
        <f>E337+36*I339/1000</f>
        <v/>
      </c>
      <c r="K339" s="5">
        <f>IF(I339=6,G339*H339*J339,"")</f>
        <v/>
      </c>
      <c r="L339" s="5">
        <f>IF(I339=8,G339*H339*J339,"")</f>
        <v/>
      </c>
      <c r="M339" s="5">
        <f>IF(I339=10,G339*H339*J339,"")</f>
        <v/>
      </c>
      <c r="N339" s="5">
        <f>IF(I339=12,G339*H339*J339,"")</f>
        <v/>
      </c>
      <c r="O339" s="5">
        <f>IF(I339=14,G339*H339*J339,"")</f>
        <v/>
      </c>
      <c r="P339" s="5">
        <f>IF(I339=16,G339*H339*J339,"")</f>
        <v/>
      </c>
      <c r="Q339" s="5">
        <f>IF(I339=20,G339*H339*J339,"")</f>
        <v/>
      </c>
      <c r="R339" s="5">
        <f>IF(I339=25,G339*H339*J339,"")</f>
        <v/>
      </c>
      <c r="S339" s="5">
        <f>IF(I339=32,G339*H339*J339,"")</f>
        <v/>
      </c>
    </row>
    <row r="340">
      <c r="A340" s="5" t="inlineStr">
        <is>
          <t>EPINGLE</t>
        </is>
      </c>
      <c r="G340" s="5" t="n">
        <v>1</v>
      </c>
      <c r="H340" s="5">
        <f>ROUNDUP((E337/0.2)+10,0)</f>
        <v/>
      </c>
      <c r="I340" s="5" t="n">
        <v>6</v>
      </c>
      <c r="J340" s="5">
        <f>(G337-0.025)+22*I340/1000</f>
        <v/>
      </c>
      <c r="K340" s="5">
        <f>IF(I340=6,G340*H340*J340,"")</f>
        <v/>
      </c>
      <c r="L340" s="5">
        <f>IF(I340=8,G340*H340*J340,"")</f>
        <v/>
      </c>
      <c r="M340" s="5">
        <f>IF(I340=10,G340*H340*J340,"")</f>
        <v/>
      </c>
      <c r="N340" s="5">
        <f>IF(I340=12,G340*H340*J340,"")</f>
        <v/>
      </c>
      <c r="O340" s="5">
        <f>IF(I340=14,G340*H340*J340,"")</f>
        <v/>
      </c>
      <c r="P340" s="5">
        <f>IF(I340=16,G340*H340*J340,"")</f>
        <v/>
      </c>
      <c r="Q340" s="5">
        <f>IF(I340=20,G340*H340*J340,"")</f>
        <v/>
      </c>
      <c r="R340" s="5">
        <f>IF(I340=25,G340*H340*J340,"")</f>
        <v/>
      </c>
      <c r="S340" s="5">
        <f>IF(I340=32,G340*H340*J340,"")</f>
        <v/>
      </c>
    </row>
    <row r="341">
      <c r="B341" s="5" t="inlineStr">
        <is>
          <t>A</t>
        </is>
      </c>
      <c r="C341" s="5" t="inlineStr">
        <is>
          <t>7-8</t>
        </is>
      </c>
      <c r="D341" s="5" t="inlineStr">
        <is>
          <t>CH</t>
        </is>
      </c>
      <c r="E341" s="5">
        <f>'Detail quantitatif fondation'!I179</f>
        <v/>
      </c>
      <c r="F341" s="5" t="n">
        <v>0.4</v>
      </c>
      <c r="G341" s="5" t="n">
        <v>0.2</v>
      </c>
    </row>
    <row r="342">
      <c r="A342" s="5" t="inlineStr">
        <is>
          <t>NAPPE INF1</t>
        </is>
      </c>
      <c r="G342" s="5" t="n">
        <v>1</v>
      </c>
      <c r="H342" s="5" t="n">
        <v>3</v>
      </c>
      <c r="I342" s="5" t="n">
        <v>10</v>
      </c>
      <c r="J342" s="5">
        <f>E341+36*I342/1000</f>
        <v/>
      </c>
      <c r="K342" s="5">
        <f>IF(I342=6,G342*H342*J342,"")</f>
        <v/>
      </c>
      <c r="L342" s="5">
        <f>IF(I342=8,G342*H342*J342,"")</f>
        <v/>
      </c>
      <c r="M342" s="5">
        <f>IF(I342=10,G342*H342*J342,"")</f>
        <v/>
      </c>
      <c r="N342" s="5">
        <f>IF(I342=12,G342*H342*J342,"")</f>
        <v/>
      </c>
      <c r="O342" s="5">
        <f>IF(I342=14,G342*H342*J342,"")</f>
        <v/>
      </c>
      <c r="P342" s="5">
        <f>IF(I342=16,G342*H342*J342,"")</f>
        <v/>
      </c>
      <c r="Q342" s="5">
        <f>IF(I342=20,G342*H342*J342,"")</f>
        <v/>
      </c>
      <c r="R342" s="5">
        <f>IF(I342=25,G342*H342*J342,"")</f>
        <v/>
      </c>
      <c r="S342" s="5">
        <f>IF(I342=32,G342*H342*J342,"")</f>
        <v/>
      </c>
    </row>
    <row r="343">
      <c r="A343" s="5" t="inlineStr">
        <is>
          <t>NAPPE SUP</t>
        </is>
      </c>
      <c r="G343" s="5" t="n">
        <v>1</v>
      </c>
      <c r="H343" s="5" t="n">
        <v>3</v>
      </c>
      <c r="I343" s="5" t="n">
        <v>10</v>
      </c>
      <c r="J343" s="5">
        <f>E341+36*I343/1000</f>
        <v/>
      </c>
      <c r="K343" s="5">
        <f>IF(I343=6,G343*H343*J343,"")</f>
        <v/>
      </c>
      <c r="L343" s="5">
        <f>IF(I343=8,G343*H343*J343,"")</f>
        <v/>
      </c>
      <c r="M343" s="5">
        <f>IF(I343=10,G343*H343*J343,"")</f>
        <v/>
      </c>
      <c r="N343" s="5">
        <f>IF(I343=12,G343*H343*J343,"")</f>
        <v/>
      </c>
      <c r="O343" s="5">
        <f>IF(I343=14,G343*H343*J343,"")</f>
        <v/>
      </c>
      <c r="P343" s="5">
        <f>IF(I343=16,G343*H343*J343,"")</f>
        <v/>
      </c>
      <c r="Q343" s="5">
        <f>IF(I343=20,G343*H343*J343,"")</f>
        <v/>
      </c>
      <c r="R343" s="5">
        <f>IF(I343=25,G343*H343*J343,"")</f>
        <v/>
      </c>
      <c r="S343" s="5">
        <f>IF(I343=32,G343*H343*J343,"")</f>
        <v/>
      </c>
    </row>
    <row r="344">
      <c r="A344" s="5" t="inlineStr">
        <is>
          <t>EPINGLE</t>
        </is>
      </c>
      <c r="G344" s="5" t="n">
        <v>1</v>
      </c>
      <c r="H344" s="5">
        <f>ROUNDUP((E341/0.2)+10,0)</f>
        <v/>
      </c>
      <c r="I344" s="5" t="n">
        <v>6</v>
      </c>
      <c r="J344" s="5">
        <f>(G341-0.025)+22*I344/1000</f>
        <v/>
      </c>
      <c r="K344" s="5">
        <f>IF(I344=6,G344*H344*J344,"")</f>
        <v/>
      </c>
      <c r="L344" s="5">
        <f>IF(I344=8,G344*H344*J344,"")</f>
        <v/>
      </c>
      <c r="M344" s="5">
        <f>IF(I344=10,G344*H344*J344,"")</f>
        <v/>
      </c>
      <c r="N344" s="5">
        <f>IF(I344=12,G344*H344*J344,"")</f>
        <v/>
      </c>
      <c r="O344" s="5">
        <f>IF(I344=14,G344*H344*J344,"")</f>
        <v/>
      </c>
      <c r="P344" s="5">
        <f>IF(I344=16,G344*H344*J344,"")</f>
        <v/>
      </c>
      <c r="Q344" s="5">
        <f>IF(I344=20,G344*H344*J344,"")</f>
        <v/>
      </c>
      <c r="R344" s="5">
        <f>IF(I344=25,G344*H344*J344,"")</f>
        <v/>
      </c>
      <c r="S344" s="5">
        <f>IF(I344=32,G344*H344*J344,"")</f>
        <v/>
      </c>
    </row>
    <row r="345">
      <c r="B345" s="5" t="inlineStr">
        <is>
          <t>G</t>
        </is>
      </c>
      <c r="C345" s="5" t="inlineStr">
        <is>
          <t>1-2</t>
        </is>
      </c>
      <c r="D345" s="5" t="inlineStr">
        <is>
          <t>CH</t>
        </is>
      </c>
      <c r="E345" s="5">
        <f>'Detail quantitatif fondation'!I180</f>
        <v/>
      </c>
      <c r="F345" s="5" t="n">
        <v>0.4</v>
      </c>
      <c r="G345" s="5" t="n">
        <v>0.2</v>
      </c>
    </row>
    <row r="346">
      <c r="A346" s="5" t="inlineStr">
        <is>
          <t>NAPPE INF1</t>
        </is>
      </c>
      <c r="G346" s="5" t="n">
        <v>1</v>
      </c>
      <c r="H346" s="5" t="n">
        <v>3</v>
      </c>
      <c r="I346" s="5" t="n">
        <v>10</v>
      </c>
      <c r="J346" s="5">
        <f>E345+36*I346/1000</f>
        <v/>
      </c>
      <c r="K346" s="5">
        <f>IF(I346=6,G346*H346*J346,"")</f>
        <v/>
      </c>
      <c r="L346" s="5">
        <f>IF(I346=8,G346*H346*J346,"")</f>
        <v/>
      </c>
      <c r="M346" s="5">
        <f>IF(I346=10,G346*H346*J346,"")</f>
        <v/>
      </c>
      <c r="N346" s="5">
        <f>IF(I346=12,G346*H346*J346,"")</f>
        <v/>
      </c>
      <c r="O346" s="5">
        <f>IF(I346=14,G346*H346*J346,"")</f>
        <v/>
      </c>
      <c r="P346" s="5">
        <f>IF(I346=16,G346*H346*J346,"")</f>
        <v/>
      </c>
      <c r="Q346" s="5">
        <f>IF(I346=20,G346*H346*J346,"")</f>
        <v/>
      </c>
      <c r="R346" s="5">
        <f>IF(I346=25,G346*H346*J346,"")</f>
        <v/>
      </c>
      <c r="S346" s="5">
        <f>IF(I346=32,G346*H346*J346,"")</f>
        <v/>
      </c>
    </row>
    <row r="347">
      <c r="A347" s="5" t="inlineStr">
        <is>
          <t>NAPPE SUP</t>
        </is>
      </c>
      <c r="G347" s="5" t="n">
        <v>1</v>
      </c>
      <c r="H347" s="5" t="n">
        <v>3</v>
      </c>
      <c r="I347" s="5" t="n">
        <v>10</v>
      </c>
      <c r="J347" s="5">
        <f>E345+36*I347/1000</f>
        <v/>
      </c>
      <c r="K347" s="5">
        <f>IF(I347=6,G347*H347*J347,"")</f>
        <v/>
      </c>
      <c r="L347" s="5">
        <f>IF(I347=8,G347*H347*J347,"")</f>
        <v/>
      </c>
      <c r="M347" s="5">
        <f>IF(I347=10,G347*H347*J347,"")</f>
        <v/>
      </c>
      <c r="N347" s="5">
        <f>IF(I347=12,G347*H347*J347,"")</f>
        <v/>
      </c>
      <c r="O347" s="5">
        <f>IF(I347=14,G347*H347*J347,"")</f>
        <v/>
      </c>
      <c r="P347" s="5">
        <f>IF(I347=16,G347*H347*J347,"")</f>
        <v/>
      </c>
      <c r="Q347" s="5">
        <f>IF(I347=20,G347*H347*J347,"")</f>
        <v/>
      </c>
      <c r="R347" s="5">
        <f>IF(I347=25,G347*H347*J347,"")</f>
        <v/>
      </c>
      <c r="S347" s="5">
        <f>IF(I347=32,G347*H347*J347,"")</f>
        <v/>
      </c>
    </row>
    <row r="348">
      <c r="A348" s="5" t="inlineStr">
        <is>
          <t>EPINGLE</t>
        </is>
      </c>
      <c r="G348" s="5" t="n">
        <v>1</v>
      </c>
      <c r="H348" s="5">
        <f>ROUNDUP((E345/0.2)+10,0)</f>
        <v/>
      </c>
      <c r="I348" s="5" t="n">
        <v>6</v>
      </c>
      <c r="J348" s="5">
        <f>(G345-0.025)+22*I348/1000</f>
        <v/>
      </c>
      <c r="K348" s="5">
        <f>IF(I348=6,G348*H348*J348,"")</f>
        <v/>
      </c>
      <c r="L348" s="5">
        <f>IF(I348=8,G348*H348*J348,"")</f>
        <v/>
      </c>
      <c r="M348" s="5">
        <f>IF(I348=10,G348*H348*J348,"")</f>
        <v/>
      </c>
      <c r="N348" s="5">
        <f>IF(I348=12,G348*H348*J348,"")</f>
        <v/>
      </c>
      <c r="O348" s="5">
        <f>IF(I348=14,G348*H348*J348,"")</f>
        <v/>
      </c>
      <c r="P348" s="5">
        <f>IF(I348=16,G348*H348*J348,"")</f>
        <v/>
      </c>
      <c r="Q348" s="5">
        <f>IF(I348=20,G348*H348*J348,"")</f>
        <v/>
      </c>
      <c r="R348" s="5">
        <f>IF(I348=25,G348*H348*J348,"")</f>
        <v/>
      </c>
      <c r="S348" s="5">
        <f>IF(I348=32,G348*H348*J348,"")</f>
        <v/>
      </c>
    </row>
    <row r="349">
      <c r="B349" s="5" t="inlineStr">
        <is>
          <t>G</t>
        </is>
      </c>
      <c r="C349" s="5" t="inlineStr">
        <is>
          <t>2-4</t>
        </is>
      </c>
      <c r="D349" s="5" t="inlineStr">
        <is>
          <t>CH</t>
        </is>
      </c>
      <c r="E349" s="5">
        <f>'Detail quantitatif fondation'!I181</f>
        <v/>
      </c>
      <c r="F349" s="5" t="n">
        <v>0.4</v>
      </c>
      <c r="G349" s="5" t="n">
        <v>0.2</v>
      </c>
    </row>
    <row r="350">
      <c r="A350" s="5" t="inlineStr">
        <is>
          <t>NAPPE INF1</t>
        </is>
      </c>
      <c r="G350" s="5" t="n">
        <v>1</v>
      </c>
      <c r="H350" s="5" t="n">
        <v>3</v>
      </c>
      <c r="I350" s="5" t="n">
        <v>10</v>
      </c>
      <c r="J350" s="5">
        <f>E349+36*I350/1000</f>
        <v/>
      </c>
      <c r="K350" s="5">
        <f>IF(I350=6,G350*H350*J350,"")</f>
        <v/>
      </c>
      <c r="L350" s="5">
        <f>IF(I350=8,G350*H350*J350,"")</f>
        <v/>
      </c>
      <c r="M350" s="5">
        <f>IF(I350=10,G350*H350*J350,"")</f>
        <v/>
      </c>
      <c r="N350" s="5">
        <f>IF(I350=12,G350*H350*J350,"")</f>
        <v/>
      </c>
      <c r="O350" s="5">
        <f>IF(I350=14,G350*H350*J350,"")</f>
        <v/>
      </c>
      <c r="P350" s="5">
        <f>IF(I350=16,G350*H350*J350,"")</f>
        <v/>
      </c>
      <c r="Q350" s="5">
        <f>IF(I350=20,G350*H350*J350,"")</f>
        <v/>
      </c>
      <c r="R350" s="5">
        <f>IF(I350=25,G350*H350*J350,"")</f>
        <v/>
      </c>
      <c r="S350" s="5">
        <f>IF(I350=32,G350*H350*J350,"")</f>
        <v/>
      </c>
    </row>
    <row r="351">
      <c r="A351" s="5" t="inlineStr">
        <is>
          <t>NAPPE SUP</t>
        </is>
      </c>
      <c r="G351" s="5" t="n">
        <v>1</v>
      </c>
      <c r="H351" s="5" t="n">
        <v>3</v>
      </c>
      <c r="I351" s="5" t="n">
        <v>10</v>
      </c>
      <c r="J351" s="5">
        <f>E349+36*I351/1000</f>
        <v/>
      </c>
      <c r="K351" s="5">
        <f>IF(I351=6,G351*H351*J351,"")</f>
        <v/>
      </c>
      <c r="L351" s="5">
        <f>IF(I351=8,G351*H351*J351,"")</f>
        <v/>
      </c>
      <c r="M351" s="5">
        <f>IF(I351=10,G351*H351*J351,"")</f>
        <v/>
      </c>
      <c r="N351" s="5">
        <f>IF(I351=12,G351*H351*J351,"")</f>
        <v/>
      </c>
      <c r="O351" s="5">
        <f>IF(I351=14,G351*H351*J351,"")</f>
        <v/>
      </c>
      <c r="P351" s="5">
        <f>IF(I351=16,G351*H351*J351,"")</f>
        <v/>
      </c>
      <c r="Q351" s="5">
        <f>IF(I351=20,G351*H351*J351,"")</f>
        <v/>
      </c>
      <c r="R351" s="5">
        <f>IF(I351=25,G351*H351*J351,"")</f>
        <v/>
      </c>
      <c r="S351" s="5">
        <f>IF(I351=32,G351*H351*J351,"")</f>
        <v/>
      </c>
    </row>
    <row r="352">
      <c r="A352" s="5" t="inlineStr">
        <is>
          <t>EPINGLE</t>
        </is>
      </c>
      <c r="G352" s="5" t="n">
        <v>1</v>
      </c>
      <c r="H352" s="5">
        <f>ROUNDUP((E349/0.2)+10,0)</f>
        <v/>
      </c>
      <c r="I352" s="5" t="n">
        <v>6</v>
      </c>
      <c r="J352" s="5">
        <f>(G349-0.025)+22*I352/1000</f>
        <v/>
      </c>
      <c r="K352" s="5">
        <f>IF(I352=6,G352*H352*J352,"")</f>
        <v/>
      </c>
      <c r="L352" s="5">
        <f>IF(I352=8,G352*H352*J352,"")</f>
        <v/>
      </c>
      <c r="M352" s="5">
        <f>IF(I352=10,G352*H352*J352,"")</f>
        <v/>
      </c>
      <c r="N352" s="5">
        <f>IF(I352=12,G352*H352*J352,"")</f>
        <v/>
      </c>
      <c r="O352" s="5">
        <f>IF(I352=14,G352*H352*J352,"")</f>
        <v/>
      </c>
      <c r="P352" s="5">
        <f>IF(I352=16,G352*H352*J352,"")</f>
        <v/>
      </c>
      <c r="Q352" s="5">
        <f>IF(I352=20,G352*H352*J352,"")</f>
        <v/>
      </c>
      <c r="R352" s="5">
        <f>IF(I352=25,G352*H352*J352,"")</f>
        <v/>
      </c>
      <c r="S352" s="5">
        <f>IF(I352=32,G352*H352*J352,"")</f>
        <v/>
      </c>
    </row>
    <row r="353">
      <c r="B353" s="5" t="inlineStr">
        <is>
          <t>G</t>
        </is>
      </c>
      <c r="C353" s="5" t="inlineStr">
        <is>
          <t>4-5</t>
        </is>
      </c>
      <c r="D353" s="5" t="inlineStr">
        <is>
          <t>CH</t>
        </is>
      </c>
      <c r="E353" s="5">
        <f>'Detail quantitatif fondation'!I182</f>
        <v/>
      </c>
      <c r="F353" s="5" t="n">
        <v>0.4</v>
      </c>
      <c r="G353" s="5" t="n">
        <v>0.2</v>
      </c>
    </row>
    <row r="354">
      <c r="A354" s="5" t="inlineStr">
        <is>
          <t>NAPPE INF1</t>
        </is>
      </c>
      <c r="G354" s="5" t="n">
        <v>1</v>
      </c>
      <c r="H354" s="5" t="n">
        <v>3</v>
      </c>
      <c r="I354" s="5" t="n">
        <v>10</v>
      </c>
      <c r="J354" s="5">
        <f>E353+36*I354/1000</f>
        <v/>
      </c>
      <c r="K354" s="5">
        <f>IF(I354=6,G354*H354*J354,"")</f>
        <v/>
      </c>
      <c r="L354" s="5">
        <f>IF(I354=8,G354*H354*J354,"")</f>
        <v/>
      </c>
      <c r="M354" s="5">
        <f>IF(I354=10,G354*H354*J354,"")</f>
        <v/>
      </c>
      <c r="N354" s="5">
        <f>IF(I354=12,G354*H354*J354,"")</f>
        <v/>
      </c>
      <c r="O354" s="5">
        <f>IF(I354=14,G354*H354*J354,"")</f>
        <v/>
      </c>
      <c r="P354" s="5">
        <f>IF(I354=16,G354*H354*J354,"")</f>
        <v/>
      </c>
      <c r="Q354" s="5">
        <f>IF(I354=20,G354*H354*J354,"")</f>
        <v/>
      </c>
      <c r="R354" s="5">
        <f>IF(I354=25,G354*H354*J354,"")</f>
        <v/>
      </c>
      <c r="S354" s="5">
        <f>IF(I354=32,G354*H354*J354,"")</f>
        <v/>
      </c>
    </row>
    <row r="355">
      <c r="A355" s="5" t="inlineStr">
        <is>
          <t>NAPPE SUP</t>
        </is>
      </c>
      <c r="G355" s="5" t="n">
        <v>1</v>
      </c>
      <c r="H355" s="5" t="n">
        <v>3</v>
      </c>
      <c r="I355" s="5" t="n">
        <v>10</v>
      </c>
      <c r="J355" s="5">
        <f>E353+36*I355/1000</f>
        <v/>
      </c>
      <c r="K355" s="5">
        <f>IF(I355=6,G355*H355*J355,"")</f>
        <v/>
      </c>
      <c r="L355" s="5">
        <f>IF(I355=8,G355*H355*J355,"")</f>
        <v/>
      </c>
      <c r="M355" s="5">
        <f>IF(I355=10,G355*H355*J355,"")</f>
        <v/>
      </c>
      <c r="N355" s="5">
        <f>IF(I355=12,G355*H355*J355,"")</f>
        <v/>
      </c>
      <c r="O355" s="5">
        <f>IF(I355=14,G355*H355*J355,"")</f>
        <v/>
      </c>
      <c r="P355" s="5">
        <f>IF(I355=16,G355*H355*J355,"")</f>
        <v/>
      </c>
      <c r="Q355" s="5">
        <f>IF(I355=20,G355*H355*J355,"")</f>
        <v/>
      </c>
      <c r="R355" s="5">
        <f>IF(I355=25,G355*H355*J355,"")</f>
        <v/>
      </c>
      <c r="S355" s="5">
        <f>IF(I355=32,G355*H355*J355,"")</f>
        <v/>
      </c>
    </row>
    <row r="356">
      <c r="A356" s="5" t="inlineStr">
        <is>
          <t>EPINGLE</t>
        </is>
      </c>
      <c r="G356" s="5" t="n">
        <v>1</v>
      </c>
      <c r="H356" s="5">
        <f>ROUNDUP((E353/0.2)+10,0)</f>
        <v/>
      </c>
      <c r="I356" s="5" t="n">
        <v>6</v>
      </c>
      <c r="J356" s="5">
        <f>(G353-0.025)+22*I356/1000</f>
        <v/>
      </c>
      <c r="K356" s="5">
        <f>IF(I356=6,G356*H356*J356,"")</f>
        <v/>
      </c>
      <c r="L356" s="5">
        <f>IF(I356=8,G356*H356*J356,"")</f>
        <v/>
      </c>
      <c r="M356" s="5">
        <f>IF(I356=10,G356*H356*J356,"")</f>
        <v/>
      </c>
      <c r="N356" s="5">
        <f>IF(I356=12,G356*H356*J356,"")</f>
        <v/>
      </c>
      <c r="O356" s="5">
        <f>IF(I356=14,G356*H356*J356,"")</f>
        <v/>
      </c>
      <c r="P356" s="5">
        <f>IF(I356=16,G356*H356*J356,"")</f>
        <v/>
      </c>
      <c r="Q356" s="5">
        <f>IF(I356=20,G356*H356*J356,"")</f>
        <v/>
      </c>
      <c r="R356" s="5">
        <f>IF(I356=25,G356*H356*J356,"")</f>
        <v/>
      </c>
      <c r="S356" s="5">
        <f>IF(I356=32,G356*H356*J356,"")</f>
        <v/>
      </c>
    </row>
    <row r="357">
      <c r="B357" s="5" t="inlineStr">
        <is>
          <t>G</t>
        </is>
      </c>
      <c r="C357" s="5" t="inlineStr">
        <is>
          <t>5-6</t>
        </is>
      </c>
      <c r="D357" s="5" t="inlineStr">
        <is>
          <t>CH</t>
        </is>
      </c>
      <c r="E357" s="5">
        <f>'Detail quantitatif fondation'!I183</f>
        <v/>
      </c>
      <c r="F357" s="5" t="n">
        <v>0.4</v>
      </c>
      <c r="G357" s="5" t="n">
        <v>0.2</v>
      </c>
    </row>
    <row r="358">
      <c r="A358" s="5" t="inlineStr">
        <is>
          <t>NAPPE INF1</t>
        </is>
      </c>
      <c r="G358" s="5" t="n">
        <v>1</v>
      </c>
      <c r="H358" s="5" t="n">
        <v>3</v>
      </c>
      <c r="I358" s="5" t="n">
        <v>10</v>
      </c>
      <c r="J358" s="5">
        <f>E357+36*I358/1000</f>
        <v/>
      </c>
      <c r="K358" s="5">
        <f>IF(I358=6,G358*H358*J358,"")</f>
        <v/>
      </c>
      <c r="L358" s="5">
        <f>IF(I358=8,G358*H358*J358,"")</f>
        <v/>
      </c>
      <c r="M358" s="5">
        <f>IF(I358=10,G358*H358*J358,"")</f>
        <v/>
      </c>
      <c r="N358" s="5">
        <f>IF(I358=12,G358*H358*J358,"")</f>
        <v/>
      </c>
      <c r="O358" s="5">
        <f>IF(I358=14,G358*H358*J358,"")</f>
        <v/>
      </c>
      <c r="P358" s="5">
        <f>IF(I358=16,G358*H358*J358,"")</f>
        <v/>
      </c>
      <c r="Q358" s="5">
        <f>IF(I358=20,G358*H358*J358,"")</f>
        <v/>
      </c>
      <c r="R358" s="5">
        <f>IF(I358=25,G358*H358*J358,"")</f>
        <v/>
      </c>
      <c r="S358" s="5">
        <f>IF(I358=32,G358*H358*J358,"")</f>
        <v/>
      </c>
    </row>
    <row r="359">
      <c r="A359" s="5" t="inlineStr">
        <is>
          <t>NAPPE SUP</t>
        </is>
      </c>
      <c r="G359" s="5" t="n">
        <v>1</v>
      </c>
      <c r="H359" s="5" t="n">
        <v>3</v>
      </c>
      <c r="I359" s="5" t="n">
        <v>10</v>
      </c>
      <c r="J359" s="5">
        <f>E357+36*I359/1000</f>
        <v/>
      </c>
      <c r="K359" s="5">
        <f>IF(I359=6,G359*H359*J359,"")</f>
        <v/>
      </c>
      <c r="L359" s="5">
        <f>IF(I359=8,G359*H359*J359,"")</f>
        <v/>
      </c>
      <c r="M359" s="5">
        <f>IF(I359=10,G359*H359*J359,"")</f>
        <v/>
      </c>
      <c r="N359" s="5">
        <f>IF(I359=12,G359*H359*J359,"")</f>
        <v/>
      </c>
      <c r="O359" s="5">
        <f>IF(I359=14,G359*H359*J359,"")</f>
        <v/>
      </c>
      <c r="P359" s="5">
        <f>IF(I359=16,G359*H359*J359,"")</f>
        <v/>
      </c>
      <c r="Q359" s="5">
        <f>IF(I359=20,G359*H359*J359,"")</f>
        <v/>
      </c>
      <c r="R359" s="5">
        <f>IF(I359=25,G359*H359*J359,"")</f>
        <v/>
      </c>
      <c r="S359" s="5">
        <f>IF(I359=32,G359*H359*J359,"")</f>
        <v/>
      </c>
    </row>
    <row r="360">
      <c r="A360" s="5" t="inlineStr">
        <is>
          <t>EPINGLE</t>
        </is>
      </c>
      <c r="G360" s="5" t="n">
        <v>1</v>
      </c>
      <c r="H360" s="5">
        <f>ROUNDUP((E357/0.2)+10,0)</f>
        <v/>
      </c>
      <c r="I360" s="5" t="n">
        <v>6</v>
      </c>
      <c r="J360" s="5">
        <f>(G357-0.025)+22*I360/1000</f>
        <v/>
      </c>
      <c r="K360" s="5">
        <f>IF(I360=6,G360*H360*J360,"")</f>
        <v/>
      </c>
      <c r="L360" s="5">
        <f>IF(I360=8,G360*H360*J360,"")</f>
        <v/>
      </c>
      <c r="M360" s="5">
        <f>IF(I360=10,G360*H360*J360,"")</f>
        <v/>
      </c>
      <c r="N360" s="5">
        <f>IF(I360=12,G360*H360*J360,"")</f>
        <v/>
      </c>
      <c r="O360" s="5">
        <f>IF(I360=14,G360*H360*J360,"")</f>
        <v/>
      </c>
      <c r="P360" s="5">
        <f>IF(I360=16,G360*H360*J360,"")</f>
        <v/>
      </c>
      <c r="Q360" s="5">
        <f>IF(I360=20,G360*H360*J360,"")</f>
        <v/>
      </c>
      <c r="R360" s="5">
        <f>IF(I360=25,G360*H360*J360,"")</f>
        <v/>
      </c>
      <c r="S360" s="5">
        <f>IF(I360=32,G360*H360*J360,"")</f>
        <v/>
      </c>
    </row>
    <row r="361">
      <c r="B361" s="5" t="inlineStr">
        <is>
          <t>G</t>
        </is>
      </c>
      <c r="C361" s="5" t="inlineStr">
        <is>
          <t>6-7</t>
        </is>
      </c>
      <c r="D361" s="5" t="inlineStr">
        <is>
          <t>CH</t>
        </is>
      </c>
      <c r="E361" s="5">
        <f>'Detail quantitatif fondation'!I184</f>
        <v/>
      </c>
      <c r="F361" s="5" t="n">
        <v>0.4</v>
      </c>
      <c r="G361" s="5" t="n">
        <v>0.2</v>
      </c>
    </row>
    <row r="362">
      <c r="A362" s="5" t="inlineStr">
        <is>
          <t>NAPPE INF1</t>
        </is>
      </c>
      <c r="G362" s="5" t="n">
        <v>1</v>
      </c>
      <c r="H362" s="5" t="n">
        <v>3</v>
      </c>
      <c r="I362" s="5" t="n">
        <v>10</v>
      </c>
      <c r="J362" s="5">
        <f>E361+36*I362/1000</f>
        <v/>
      </c>
      <c r="K362" s="5">
        <f>IF(I362=6,G362*H362*J362,"")</f>
        <v/>
      </c>
      <c r="L362" s="5">
        <f>IF(I362=8,G362*H362*J362,"")</f>
        <v/>
      </c>
      <c r="M362" s="5">
        <f>IF(I362=10,G362*H362*J362,"")</f>
        <v/>
      </c>
      <c r="N362" s="5">
        <f>IF(I362=12,G362*H362*J362,"")</f>
        <v/>
      </c>
      <c r="O362" s="5">
        <f>IF(I362=14,G362*H362*J362,"")</f>
        <v/>
      </c>
      <c r="P362" s="5">
        <f>IF(I362=16,G362*H362*J362,"")</f>
        <v/>
      </c>
      <c r="Q362" s="5">
        <f>IF(I362=20,G362*H362*J362,"")</f>
        <v/>
      </c>
      <c r="R362" s="5">
        <f>IF(I362=25,G362*H362*J362,"")</f>
        <v/>
      </c>
      <c r="S362" s="5">
        <f>IF(I362=32,G362*H362*J362,"")</f>
        <v/>
      </c>
    </row>
    <row r="363">
      <c r="A363" s="5" t="inlineStr">
        <is>
          <t>NAPPE SUP</t>
        </is>
      </c>
      <c r="G363" s="5" t="n">
        <v>1</v>
      </c>
      <c r="H363" s="5" t="n">
        <v>3</v>
      </c>
      <c r="I363" s="5" t="n">
        <v>10</v>
      </c>
      <c r="J363" s="5">
        <f>E361+36*I363/1000</f>
        <v/>
      </c>
      <c r="K363" s="5">
        <f>IF(I363=6,G363*H363*J363,"")</f>
        <v/>
      </c>
      <c r="L363" s="5">
        <f>IF(I363=8,G363*H363*J363,"")</f>
        <v/>
      </c>
      <c r="M363" s="5">
        <f>IF(I363=10,G363*H363*J363,"")</f>
        <v/>
      </c>
      <c r="N363" s="5">
        <f>IF(I363=12,G363*H363*J363,"")</f>
        <v/>
      </c>
      <c r="O363" s="5">
        <f>IF(I363=14,G363*H363*J363,"")</f>
        <v/>
      </c>
      <c r="P363" s="5">
        <f>IF(I363=16,G363*H363*J363,"")</f>
        <v/>
      </c>
      <c r="Q363" s="5">
        <f>IF(I363=20,G363*H363*J363,"")</f>
        <v/>
      </c>
      <c r="R363" s="5">
        <f>IF(I363=25,G363*H363*J363,"")</f>
        <v/>
      </c>
      <c r="S363" s="5">
        <f>IF(I363=32,G363*H363*J363,"")</f>
        <v/>
      </c>
    </row>
    <row r="364">
      <c r="A364" s="5" t="inlineStr">
        <is>
          <t>EPINGLE</t>
        </is>
      </c>
      <c r="G364" s="5" t="n">
        <v>1</v>
      </c>
      <c r="H364" s="5">
        <f>ROUNDUP((E361/0.2)+10,0)</f>
        <v/>
      </c>
      <c r="I364" s="5" t="n">
        <v>6</v>
      </c>
      <c r="J364" s="5">
        <f>(G361-0.025)+22*I364/1000</f>
        <v/>
      </c>
      <c r="K364" s="5">
        <f>IF(I364=6,G364*H364*J364,"")</f>
        <v/>
      </c>
      <c r="L364" s="5">
        <f>IF(I364=8,G364*H364*J364,"")</f>
        <v/>
      </c>
      <c r="M364" s="5">
        <f>IF(I364=10,G364*H364*J364,"")</f>
        <v/>
      </c>
      <c r="N364" s="5">
        <f>IF(I364=12,G364*H364*J364,"")</f>
        <v/>
      </c>
      <c r="O364" s="5">
        <f>IF(I364=14,G364*H364*J364,"")</f>
        <v/>
      </c>
      <c r="P364" s="5">
        <f>IF(I364=16,G364*H364*J364,"")</f>
        <v/>
      </c>
      <c r="Q364" s="5">
        <f>IF(I364=20,G364*H364*J364,"")</f>
        <v/>
      </c>
      <c r="R364" s="5">
        <f>IF(I364=25,G364*H364*J364,"")</f>
        <v/>
      </c>
      <c r="S364" s="5">
        <f>IF(I364=32,G364*H364*J364,"")</f>
        <v/>
      </c>
    </row>
    <row r="365">
      <c r="B365" s="5" t="inlineStr">
        <is>
          <t>G</t>
        </is>
      </c>
      <c r="C365" s="5" t="inlineStr">
        <is>
          <t>7-8</t>
        </is>
      </c>
      <c r="D365" s="5" t="inlineStr">
        <is>
          <t>CH</t>
        </is>
      </c>
      <c r="E365" s="5">
        <f>'Detail quantitatif fondation'!I185</f>
        <v/>
      </c>
      <c r="F365" s="5" t="n">
        <v>0.4</v>
      </c>
      <c r="G365" s="5" t="n">
        <v>0.2</v>
      </c>
    </row>
    <row r="366">
      <c r="A366" s="5" t="inlineStr">
        <is>
          <t>NAPPE INF1</t>
        </is>
      </c>
      <c r="G366" s="5" t="n">
        <v>1</v>
      </c>
      <c r="H366" s="5" t="n">
        <v>3</v>
      </c>
      <c r="I366" s="5" t="n">
        <v>10</v>
      </c>
      <c r="J366" s="5">
        <f>E365+36*I366/1000</f>
        <v/>
      </c>
      <c r="K366" s="5">
        <f>IF(I366=6,G366*H366*J366,"")</f>
        <v/>
      </c>
      <c r="L366" s="5">
        <f>IF(I366=8,G366*H366*J366,"")</f>
        <v/>
      </c>
      <c r="M366" s="5">
        <f>IF(I366=10,G366*H366*J366,"")</f>
        <v/>
      </c>
      <c r="N366" s="5">
        <f>IF(I366=12,G366*H366*J366,"")</f>
        <v/>
      </c>
      <c r="O366" s="5">
        <f>IF(I366=14,G366*H366*J366,"")</f>
        <v/>
      </c>
      <c r="P366" s="5">
        <f>IF(I366=16,G366*H366*J366,"")</f>
        <v/>
      </c>
      <c r="Q366" s="5">
        <f>IF(I366=20,G366*H366*J366,"")</f>
        <v/>
      </c>
      <c r="R366" s="5">
        <f>IF(I366=25,G366*H366*J366,"")</f>
        <v/>
      </c>
      <c r="S366" s="5">
        <f>IF(I366=32,G366*H366*J366,"")</f>
        <v/>
      </c>
    </row>
    <row r="367">
      <c r="A367" s="5" t="inlineStr">
        <is>
          <t>NAPPE SUP</t>
        </is>
      </c>
      <c r="G367" s="5" t="n">
        <v>1</v>
      </c>
      <c r="H367" s="5" t="n">
        <v>3</v>
      </c>
      <c r="I367" s="5" t="n">
        <v>10</v>
      </c>
      <c r="J367" s="5">
        <f>E365+36*I367/1000</f>
        <v/>
      </c>
      <c r="K367" s="5">
        <f>IF(I367=6,G367*H367*J367,"")</f>
        <v/>
      </c>
      <c r="L367" s="5">
        <f>IF(I367=8,G367*H367*J367,"")</f>
        <v/>
      </c>
      <c r="M367" s="5">
        <f>IF(I367=10,G367*H367*J367,"")</f>
        <v/>
      </c>
      <c r="N367" s="5">
        <f>IF(I367=12,G367*H367*J367,"")</f>
        <v/>
      </c>
      <c r="O367" s="5">
        <f>IF(I367=14,G367*H367*J367,"")</f>
        <v/>
      </c>
      <c r="P367" s="5">
        <f>IF(I367=16,G367*H367*J367,"")</f>
        <v/>
      </c>
      <c r="Q367" s="5">
        <f>IF(I367=20,G367*H367*J367,"")</f>
        <v/>
      </c>
      <c r="R367" s="5">
        <f>IF(I367=25,G367*H367*J367,"")</f>
        <v/>
      </c>
      <c r="S367" s="5">
        <f>IF(I367=32,G367*H367*J367,"")</f>
        <v/>
      </c>
    </row>
    <row r="368">
      <c r="A368" s="5" t="inlineStr">
        <is>
          <t>EPINGLE</t>
        </is>
      </c>
      <c r="G368" s="5" t="n">
        <v>1</v>
      </c>
      <c r="H368" s="5">
        <f>ROUNDUP((E365/0.2)+10,0)</f>
        <v/>
      </c>
      <c r="I368" s="5" t="n">
        <v>6</v>
      </c>
      <c r="J368" s="5">
        <f>(G365-0.025)+22*I368/1000</f>
        <v/>
      </c>
      <c r="K368" s="5">
        <f>IF(I368=6,G368*H368*J368,"")</f>
        <v/>
      </c>
      <c r="L368" s="5">
        <f>IF(I368=8,G368*H368*J368,"")</f>
        <v/>
      </c>
      <c r="M368" s="5">
        <f>IF(I368=10,G368*H368*J368,"")</f>
        <v/>
      </c>
      <c r="N368" s="5">
        <f>IF(I368=12,G368*H368*J368,"")</f>
        <v/>
      </c>
      <c r="O368" s="5">
        <f>IF(I368=14,G368*H368*J368,"")</f>
        <v/>
      </c>
      <c r="P368" s="5">
        <f>IF(I368=16,G368*H368*J368,"")</f>
        <v/>
      </c>
      <c r="Q368" s="5">
        <f>IF(I368=20,G368*H368*J368,"")</f>
        <v/>
      </c>
      <c r="R368" s="5">
        <f>IF(I368=25,G368*H368*J368,"")</f>
        <v/>
      </c>
      <c r="S368" s="5">
        <f>IF(I368=32,G368*H368*J368,"")</f>
        <v/>
      </c>
    </row>
    <row r="369">
      <c r="B369" s="5" t="inlineStr">
        <is>
          <t>1</t>
        </is>
      </c>
      <c r="C369" s="5" t="inlineStr">
        <is>
          <t>A-D</t>
        </is>
      </c>
      <c r="D369" s="5" t="inlineStr">
        <is>
          <t>CH</t>
        </is>
      </c>
      <c r="E369" s="5">
        <f>'Detail quantitatif fondation'!I186</f>
        <v/>
      </c>
      <c r="F369" s="5" t="n">
        <v>0.4</v>
      </c>
      <c r="G369" s="5" t="n">
        <v>0.2</v>
      </c>
    </row>
    <row r="370">
      <c r="A370" s="5" t="inlineStr">
        <is>
          <t>NAPPE INF1</t>
        </is>
      </c>
      <c r="G370" s="5" t="n">
        <v>1</v>
      </c>
      <c r="H370" s="5" t="n">
        <v>3</v>
      </c>
      <c r="I370" s="5" t="n">
        <v>10</v>
      </c>
      <c r="J370" s="5">
        <f>E369+36*I370/1000</f>
        <v/>
      </c>
      <c r="K370" s="5">
        <f>IF(I370=6,G370*H370*J370,"")</f>
        <v/>
      </c>
      <c r="L370" s="5">
        <f>IF(I370=8,G370*H370*J370,"")</f>
        <v/>
      </c>
      <c r="M370" s="5">
        <f>IF(I370=10,G370*H370*J370,"")</f>
        <v/>
      </c>
      <c r="N370" s="5">
        <f>IF(I370=12,G370*H370*J370,"")</f>
        <v/>
      </c>
      <c r="O370" s="5">
        <f>IF(I370=14,G370*H370*J370,"")</f>
        <v/>
      </c>
      <c r="P370" s="5">
        <f>IF(I370=16,G370*H370*J370,"")</f>
        <v/>
      </c>
      <c r="Q370" s="5">
        <f>IF(I370=20,G370*H370*J370,"")</f>
        <v/>
      </c>
      <c r="R370" s="5">
        <f>IF(I370=25,G370*H370*J370,"")</f>
        <v/>
      </c>
      <c r="S370" s="5">
        <f>IF(I370=32,G370*H370*J370,"")</f>
        <v/>
      </c>
    </row>
    <row r="371">
      <c r="A371" s="5" t="inlineStr">
        <is>
          <t>NAPPE SUP</t>
        </is>
      </c>
      <c r="G371" s="5" t="n">
        <v>1</v>
      </c>
      <c r="H371" s="5" t="n">
        <v>3</v>
      </c>
      <c r="I371" s="5" t="n">
        <v>10</v>
      </c>
      <c r="J371" s="5">
        <f>E369+36*I371/1000</f>
        <v/>
      </c>
      <c r="K371" s="5">
        <f>IF(I371=6,G371*H371*J371,"")</f>
        <v/>
      </c>
      <c r="L371" s="5">
        <f>IF(I371=8,G371*H371*J371,"")</f>
        <v/>
      </c>
      <c r="M371" s="5">
        <f>IF(I371=10,G371*H371*J371,"")</f>
        <v/>
      </c>
      <c r="N371" s="5">
        <f>IF(I371=12,G371*H371*J371,"")</f>
        <v/>
      </c>
      <c r="O371" s="5">
        <f>IF(I371=14,G371*H371*J371,"")</f>
        <v/>
      </c>
      <c r="P371" s="5">
        <f>IF(I371=16,G371*H371*J371,"")</f>
        <v/>
      </c>
      <c r="Q371" s="5">
        <f>IF(I371=20,G371*H371*J371,"")</f>
        <v/>
      </c>
      <c r="R371" s="5">
        <f>IF(I371=25,G371*H371*J371,"")</f>
        <v/>
      </c>
      <c r="S371" s="5">
        <f>IF(I371=32,G371*H371*J371,"")</f>
        <v/>
      </c>
    </row>
    <row r="372">
      <c r="A372" s="5" t="inlineStr">
        <is>
          <t>EPINGLE</t>
        </is>
      </c>
      <c r="G372" s="5" t="n">
        <v>1</v>
      </c>
      <c r="H372" s="5">
        <f>ROUNDUP((E369/0.2)+10,0)</f>
        <v/>
      </c>
      <c r="I372" s="5" t="n">
        <v>6</v>
      </c>
      <c r="J372" s="5">
        <f>(G369-0.025)+22*I372/1000</f>
        <v/>
      </c>
      <c r="K372" s="5">
        <f>IF(I372=6,G372*H372*J372,"")</f>
        <v/>
      </c>
      <c r="L372" s="5">
        <f>IF(I372=8,G372*H372*J372,"")</f>
        <v/>
      </c>
      <c r="M372" s="5">
        <f>IF(I372=10,G372*H372*J372,"")</f>
        <v/>
      </c>
      <c r="N372" s="5">
        <f>IF(I372=12,G372*H372*J372,"")</f>
        <v/>
      </c>
      <c r="O372" s="5">
        <f>IF(I372=14,G372*H372*J372,"")</f>
        <v/>
      </c>
      <c r="P372" s="5">
        <f>IF(I372=16,G372*H372*J372,"")</f>
        <v/>
      </c>
      <c r="Q372" s="5">
        <f>IF(I372=20,G372*H372*J372,"")</f>
        <v/>
      </c>
      <c r="R372" s="5">
        <f>IF(I372=25,G372*H372*J372,"")</f>
        <v/>
      </c>
      <c r="S372" s="5">
        <f>IF(I372=32,G372*H372*J372,"")</f>
        <v/>
      </c>
    </row>
    <row r="373">
      <c r="B373" s="5" t="inlineStr">
        <is>
          <t>1</t>
        </is>
      </c>
      <c r="C373" s="5" t="inlineStr">
        <is>
          <t>D-G</t>
        </is>
      </c>
      <c r="D373" s="5" t="inlineStr">
        <is>
          <t>CH</t>
        </is>
      </c>
      <c r="E373" s="5">
        <f>'Detail quantitatif fondation'!I187</f>
        <v/>
      </c>
      <c r="F373" s="5" t="n">
        <v>0.4</v>
      </c>
      <c r="G373" s="5" t="n">
        <v>0.2</v>
      </c>
    </row>
    <row r="374">
      <c r="A374" s="5" t="inlineStr">
        <is>
          <t>NAPPE INF1</t>
        </is>
      </c>
      <c r="G374" s="5" t="n">
        <v>1</v>
      </c>
      <c r="H374" s="5" t="n">
        <v>3</v>
      </c>
      <c r="I374" s="5" t="n">
        <v>10</v>
      </c>
      <c r="J374" s="5">
        <f>E373+36*I374/1000</f>
        <v/>
      </c>
      <c r="K374" s="5">
        <f>IF(I374=6,G374*H374*J374,"")</f>
        <v/>
      </c>
      <c r="L374" s="5">
        <f>IF(I374=8,G374*H374*J374,"")</f>
        <v/>
      </c>
      <c r="M374" s="5">
        <f>IF(I374=10,G374*H374*J374,"")</f>
        <v/>
      </c>
      <c r="N374" s="5">
        <f>IF(I374=12,G374*H374*J374,"")</f>
        <v/>
      </c>
      <c r="O374" s="5">
        <f>IF(I374=14,G374*H374*J374,"")</f>
        <v/>
      </c>
      <c r="P374" s="5">
        <f>IF(I374=16,G374*H374*J374,"")</f>
        <v/>
      </c>
      <c r="Q374" s="5">
        <f>IF(I374=20,G374*H374*J374,"")</f>
        <v/>
      </c>
      <c r="R374" s="5">
        <f>IF(I374=25,G374*H374*J374,"")</f>
        <v/>
      </c>
      <c r="S374" s="5">
        <f>IF(I374=32,G374*H374*J374,"")</f>
        <v/>
      </c>
    </row>
    <row r="375">
      <c r="A375" s="5" t="inlineStr">
        <is>
          <t>NAPPE SUP</t>
        </is>
      </c>
      <c r="G375" s="5" t="n">
        <v>1</v>
      </c>
      <c r="H375" s="5" t="n">
        <v>3</v>
      </c>
      <c r="I375" s="5" t="n">
        <v>10</v>
      </c>
      <c r="J375" s="5">
        <f>E373+36*I375/1000</f>
        <v/>
      </c>
      <c r="K375" s="5">
        <f>IF(I375=6,G375*H375*J375,"")</f>
        <v/>
      </c>
      <c r="L375" s="5">
        <f>IF(I375=8,G375*H375*J375,"")</f>
        <v/>
      </c>
      <c r="M375" s="5">
        <f>IF(I375=10,G375*H375*J375,"")</f>
        <v/>
      </c>
      <c r="N375" s="5">
        <f>IF(I375=12,G375*H375*J375,"")</f>
        <v/>
      </c>
      <c r="O375" s="5">
        <f>IF(I375=14,G375*H375*J375,"")</f>
        <v/>
      </c>
      <c r="P375" s="5">
        <f>IF(I375=16,G375*H375*J375,"")</f>
        <v/>
      </c>
      <c r="Q375" s="5">
        <f>IF(I375=20,G375*H375*J375,"")</f>
        <v/>
      </c>
      <c r="R375" s="5">
        <f>IF(I375=25,G375*H375*J375,"")</f>
        <v/>
      </c>
      <c r="S375" s="5">
        <f>IF(I375=32,G375*H375*J375,"")</f>
        <v/>
      </c>
    </row>
    <row r="376">
      <c r="A376" s="5" t="inlineStr">
        <is>
          <t>EPINGLE</t>
        </is>
      </c>
      <c r="G376" s="5" t="n">
        <v>1</v>
      </c>
      <c r="H376" s="5">
        <f>ROUNDUP((E373/0.2)+10,0)</f>
        <v/>
      </c>
      <c r="I376" s="5" t="n">
        <v>6</v>
      </c>
      <c r="J376" s="5">
        <f>(G373-0.025)+22*I376/1000</f>
        <v/>
      </c>
      <c r="K376" s="5">
        <f>IF(I376=6,G376*H376*J376,"")</f>
        <v/>
      </c>
      <c r="L376" s="5">
        <f>IF(I376=8,G376*H376*J376,"")</f>
        <v/>
      </c>
      <c r="M376" s="5">
        <f>IF(I376=10,G376*H376*J376,"")</f>
        <v/>
      </c>
      <c r="N376" s="5">
        <f>IF(I376=12,G376*H376*J376,"")</f>
        <v/>
      </c>
      <c r="O376" s="5">
        <f>IF(I376=14,G376*H376*J376,"")</f>
        <v/>
      </c>
      <c r="P376" s="5">
        <f>IF(I376=16,G376*H376*J376,"")</f>
        <v/>
      </c>
      <c r="Q376" s="5">
        <f>IF(I376=20,G376*H376*J376,"")</f>
        <v/>
      </c>
      <c r="R376" s="5">
        <f>IF(I376=25,G376*H376*J376,"")</f>
        <v/>
      </c>
      <c r="S376" s="5">
        <f>IF(I376=32,G376*H376*J376,"")</f>
        <v/>
      </c>
    </row>
    <row r="377">
      <c r="B377" s="5" t="inlineStr">
        <is>
          <t>8</t>
        </is>
      </c>
      <c r="C377" s="5" t="inlineStr">
        <is>
          <t>A-C</t>
        </is>
      </c>
      <c r="D377" s="5" t="inlineStr">
        <is>
          <t>CH</t>
        </is>
      </c>
      <c r="E377" s="5">
        <f>'Detail quantitatif fondation'!I188</f>
        <v/>
      </c>
      <c r="F377" s="5" t="n">
        <v>0.4</v>
      </c>
      <c r="G377" s="5" t="n">
        <v>0.2</v>
      </c>
    </row>
    <row r="378">
      <c r="A378" s="5" t="inlineStr">
        <is>
          <t>NAPPE INF1</t>
        </is>
      </c>
      <c r="G378" s="5" t="n">
        <v>1</v>
      </c>
      <c r="H378" s="5" t="n">
        <v>3</v>
      </c>
      <c r="I378" s="5" t="n">
        <v>10</v>
      </c>
      <c r="J378" s="5">
        <f>E377+36*I378/1000</f>
        <v/>
      </c>
      <c r="K378" s="5">
        <f>IF(I378=6,G378*H378*J378,"")</f>
        <v/>
      </c>
      <c r="L378" s="5">
        <f>IF(I378=8,G378*H378*J378,"")</f>
        <v/>
      </c>
      <c r="M378" s="5">
        <f>IF(I378=10,G378*H378*J378,"")</f>
        <v/>
      </c>
      <c r="N378" s="5">
        <f>IF(I378=12,G378*H378*J378,"")</f>
        <v/>
      </c>
      <c r="O378" s="5">
        <f>IF(I378=14,G378*H378*J378,"")</f>
        <v/>
      </c>
      <c r="P378" s="5">
        <f>IF(I378=16,G378*H378*J378,"")</f>
        <v/>
      </c>
      <c r="Q378" s="5">
        <f>IF(I378=20,G378*H378*J378,"")</f>
        <v/>
      </c>
      <c r="R378" s="5">
        <f>IF(I378=25,G378*H378*J378,"")</f>
        <v/>
      </c>
      <c r="S378" s="5">
        <f>IF(I378=32,G378*H378*J378,"")</f>
        <v/>
      </c>
    </row>
    <row r="379">
      <c r="A379" s="5" t="inlineStr">
        <is>
          <t>NAPPE SUP</t>
        </is>
      </c>
      <c r="G379" s="5" t="n">
        <v>1</v>
      </c>
      <c r="H379" s="5" t="n">
        <v>3</v>
      </c>
      <c r="I379" s="5" t="n">
        <v>10</v>
      </c>
      <c r="J379" s="5">
        <f>E377+36*I379/1000</f>
        <v/>
      </c>
      <c r="K379" s="5">
        <f>IF(I379=6,G379*H379*J379,"")</f>
        <v/>
      </c>
      <c r="L379" s="5">
        <f>IF(I379=8,G379*H379*J379,"")</f>
        <v/>
      </c>
      <c r="M379" s="5">
        <f>IF(I379=10,G379*H379*J379,"")</f>
        <v/>
      </c>
      <c r="N379" s="5">
        <f>IF(I379=12,G379*H379*J379,"")</f>
        <v/>
      </c>
      <c r="O379" s="5">
        <f>IF(I379=14,G379*H379*J379,"")</f>
        <v/>
      </c>
      <c r="P379" s="5">
        <f>IF(I379=16,G379*H379*J379,"")</f>
        <v/>
      </c>
      <c r="Q379" s="5">
        <f>IF(I379=20,G379*H379*J379,"")</f>
        <v/>
      </c>
      <c r="R379" s="5">
        <f>IF(I379=25,G379*H379*J379,"")</f>
        <v/>
      </c>
      <c r="S379" s="5">
        <f>IF(I379=32,G379*H379*J379,"")</f>
        <v/>
      </c>
    </row>
    <row r="380">
      <c r="A380" s="5" t="inlineStr">
        <is>
          <t>EPINGLE</t>
        </is>
      </c>
      <c r="G380" s="5" t="n">
        <v>1</v>
      </c>
      <c r="H380" s="5">
        <f>ROUNDUP((E377/0.2)+10,0)</f>
        <v/>
      </c>
      <c r="I380" s="5" t="n">
        <v>6</v>
      </c>
      <c r="J380" s="5">
        <f>(G377-0.025)+22*I380/1000</f>
        <v/>
      </c>
      <c r="K380" s="5">
        <f>IF(I380=6,G380*H380*J380,"")</f>
        <v/>
      </c>
      <c r="L380" s="5">
        <f>IF(I380=8,G380*H380*J380,"")</f>
        <v/>
      </c>
      <c r="M380" s="5">
        <f>IF(I380=10,G380*H380*J380,"")</f>
        <v/>
      </c>
      <c r="N380" s="5">
        <f>IF(I380=12,G380*H380*J380,"")</f>
        <v/>
      </c>
      <c r="O380" s="5">
        <f>IF(I380=14,G380*H380*J380,"")</f>
        <v/>
      </c>
      <c r="P380" s="5">
        <f>IF(I380=16,G380*H380*J380,"")</f>
        <v/>
      </c>
      <c r="Q380" s="5">
        <f>IF(I380=20,G380*H380*J380,"")</f>
        <v/>
      </c>
      <c r="R380" s="5">
        <f>IF(I380=25,G380*H380*J380,"")</f>
        <v/>
      </c>
      <c r="S380" s="5">
        <f>IF(I380=32,G380*H380*J380,"")</f>
        <v/>
      </c>
    </row>
    <row r="381">
      <c r="B381" s="5" t="inlineStr">
        <is>
          <t>8</t>
        </is>
      </c>
      <c r="C381" s="5" t="inlineStr">
        <is>
          <t>C-E</t>
        </is>
      </c>
      <c r="D381" s="5" t="inlineStr">
        <is>
          <t>CH</t>
        </is>
      </c>
      <c r="E381" s="5">
        <f>'Detail quantitatif fondation'!I189</f>
        <v/>
      </c>
      <c r="F381" s="5" t="n">
        <v>0.4</v>
      </c>
      <c r="G381" s="5" t="n">
        <v>0.2</v>
      </c>
    </row>
    <row r="382">
      <c r="A382" s="5" t="inlineStr">
        <is>
          <t>NAPPE INF1</t>
        </is>
      </c>
      <c r="G382" s="5" t="n">
        <v>1</v>
      </c>
      <c r="H382" s="5" t="n">
        <v>3</v>
      </c>
      <c r="I382" s="5" t="n">
        <v>10</v>
      </c>
      <c r="J382" s="5">
        <f>E381+36*I382/1000</f>
        <v/>
      </c>
      <c r="K382" s="5">
        <f>IF(I382=6,G382*H382*J382,"")</f>
        <v/>
      </c>
      <c r="L382" s="5">
        <f>IF(I382=8,G382*H382*J382,"")</f>
        <v/>
      </c>
      <c r="M382" s="5">
        <f>IF(I382=10,G382*H382*J382,"")</f>
        <v/>
      </c>
      <c r="N382" s="5">
        <f>IF(I382=12,G382*H382*J382,"")</f>
        <v/>
      </c>
      <c r="O382" s="5">
        <f>IF(I382=14,G382*H382*J382,"")</f>
        <v/>
      </c>
      <c r="P382" s="5">
        <f>IF(I382=16,G382*H382*J382,"")</f>
        <v/>
      </c>
      <c r="Q382" s="5">
        <f>IF(I382=20,G382*H382*J382,"")</f>
        <v/>
      </c>
      <c r="R382" s="5">
        <f>IF(I382=25,G382*H382*J382,"")</f>
        <v/>
      </c>
      <c r="S382" s="5">
        <f>IF(I382=32,G382*H382*J382,"")</f>
        <v/>
      </c>
    </row>
    <row r="383">
      <c r="A383" s="5" t="inlineStr">
        <is>
          <t>NAPPE SUP</t>
        </is>
      </c>
      <c r="G383" s="5" t="n">
        <v>1</v>
      </c>
      <c r="H383" s="5" t="n">
        <v>3</v>
      </c>
      <c r="I383" s="5" t="n">
        <v>10</v>
      </c>
      <c r="J383" s="5">
        <f>E381+36*I383/1000</f>
        <v/>
      </c>
      <c r="K383" s="5">
        <f>IF(I383=6,G383*H383*J383,"")</f>
        <v/>
      </c>
      <c r="L383" s="5">
        <f>IF(I383=8,G383*H383*J383,"")</f>
        <v/>
      </c>
      <c r="M383" s="5">
        <f>IF(I383=10,G383*H383*J383,"")</f>
        <v/>
      </c>
      <c r="N383" s="5">
        <f>IF(I383=12,G383*H383*J383,"")</f>
        <v/>
      </c>
      <c r="O383" s="5">
        <f>IF(I383=14,G383*H383*J383,"")</f>
        <v/>
      </c>
      <c r="P383" s="5">
        <f>IF(I383=16,G383*H383*J383,"")</f>
        <v/>
      </c>
      <c r="Q383" s="5">
        <f>IF(I383=20,G383*H383*J383,"")</f>
        <v/>
      </c>
      <c r="R383" s="5">
        <f>IF(I383=25,G383*H383*J383,"")</f>
        <v/>
      </c>
      <c r="S383" s="5">
        <f>IF(I383=32,G383*H383*J383,"")</f>
        <v/>
      </c>
    </row>
    <row r="384">
      <c r="A384" s="5" t="inlineStr">
        <is>
          <t>EPINGLE</t>
        </is>
      </c>
      <c r="G384" s="5" t="n">
        <v>1</v>
      </c>
      <c r="H384" s="5">
        <f>ROUNDUP((E381/0.2)+10,0)</f>
        <v/>
      </c>
      <c r="I384" s="5" t="n">
        <v>6</v>
      </c>
      <c r="J384" s="5">
        <f>(G381-0.025)+22*I384/1000</f>
        <v/>
      </c>
      <c r="K384" s="5">
        <f>IF(I384=6,G384*H384*J384,"")</f>
        <v/>
      </c>
      <c r="L384" s="5">
        <f>IF(I384=8,G384*H384*J384,"")</f>
        <v/>
      </c>
      <c r="M384" s="5">
        <f>IF(I384=10,G384*H384*J384,"")</f>
        <v/>
      </c>
      <c r="N384" s="5">
        <f>IF(I384=12,G384*H384*J384,"")</f>
        <v/>
      </c>
      <c r="O384" s="5">
        <f>IF(I384=14,G384*H384*J384,"")</f>
        <v/>
      </c>
      <c r="P384" s="5">
        <f>IF(I384=16,G384*H384*J384,"")</f>
        <v/>
      </c>
      <c r="Q384" s="5">
        <f>IF(I384=20,G384*H384*J384,"")</f>
        <v/>
      </c>
      <c r="R384" s="5">
        <f>IF(I384=25,G384*H384*J384,"")</f>
        <v/>
      </c>
      <c r="S384" s="5">
        <f>IF(I384=32,G384*H384*J384,"")</f>
        <v/>
      </c>
    </row>
    <row r="385">
      <c r="B385" s="5" t="inlineStr">
        <is>
          <t>8</t>
        </is>
      </c>
      <c r="C385" s="5" t="inlineStr">
        <is>
          <t>E-G</t>
        </is>
      </c>
      <c r="D385" s="5" t="inlineStr">
        <is>
          <t>CH</t>
        </is>
      </c>
      <c r="E385" s="5">
        <f>'Detail quantitatif fondation'!I190</f>
        <v/>
      </c>
      <c r="F385" s="5" t="n">
        <v>0.4</v>
      </c>
      <c r="G385" s="5" t="n">
        <v>0.2</v>
      </c>
    </row>
    <row r="386">
      <c r="A386" s="5" t="inlineStr">
        <is>
          <t>NAPPE INF1</t>
        </is>
      </c>
      <c r="G386" s="5" t="n">
        <v>1</v>
      </c>
      <c r="H386" s="5" t="n">
        <v>3</v>
      </c>
      <c r="I386" s="5" t="n">
        <v>10</v>
      </c>
      <c r="J386" s="5">
        <f>E385+36*I386/1000</f>
        <v/>
      </c>
      <c r="K386" s="5">
        <f>IF(I386=6,G386*H386*J386,"")</f>
        <v/>
      </c>
      <c r="L386" s="5">
        <f>IF(I386=8,G386*H386*J386,"")</f>
        <v/>
      </c>
      <c r="M386" s="5">
        <f>IF(I386=10,G386*H386*J386,"")</f>
        <v/>
      </c>
      <c r="N386" s="5">
        <f>IF(I386=12,G386*H386*J386,"")</f>
        <v/>
      </c>
      <c r="O386" s="5">
        <f>IF(I386=14,G386*H386*J386,"")</f>
        <v/>
      </c>
      <c r="P386" s="5">
        <f>IF(I386=16,G386*H386*J386,"")</f>
        <v/>
      </c>
      <c r="Q386" s="5">
        <f>IF(I386=20,G386*H386*J386,"")</f>
        <v/>
      </c>
      <c r="R386" s="5">
        <f>IF(I386=25,G386*H386*J386,"")</f>
        <v/>
      </c>
      <c r="S386" s="5">
        <f>IF(I386=32,G386*H386*J386,"")</f>
        <v/>
      </c>
    </row>
    <row r="387">
      <c r="A387" s="5" t="inlineStr">
        <is>
          <t>NAPPE SUP</t>
        </is>
      </c>
      <c r="G387" s="5" t="n">
        <v>1</v>
      </c>
      <c r="H387" s="5" t="n">
        <v>3</v>
      </c>
      <c r="I387" s="5" t="n">
        <v>10</v>
      </c>
      <c r="J387" s="5">
        <f>E385+36*I387/1000</f>
        <v/>
      </c>
      <c r="K387" s="5">
        <f>IF(I387=6,G387*H387*J387,"")</f>
        <v/>
      </c>
      <c r="L387" s="5">
        <f>IF(I387=8,G387*H387*J387,"")</f>
        <v/>
      </c>
      <c r="M387" s="5">
        <f>IF(I387=10,G387*H387*J387,"")</f>
        <v/>
      </c>
      <c r="N387" s="5">
        <f>IF(I387=12,G387*H387*J387,"")</f>
        <v/>
      </c>
      <c r="O387" s="5">
        <f>IF(I387=14,G387*H387*J387,"")</f>
        <v/>
      </c>
      <c r="P387" s="5">
        <f>IF(I387=16,G387*H387*J387,"")</f>
        <v/>
      </c>
      <c r="Q387" s="5">
        <f>IF(I387=20,G387*H387*J387,"")</f>
        <v/>
      </c>
      <c r="R387" s="5">
        <f>IF(I387=25,G387*H387*J387,"")</f>
        <v/>
      </c>
      <c r="S387" s="5">
        <f>IF(I387=32,G387*H387*J387,"")</f>
        <v/>
      </c>
    </row>
    <row r="388">
      <c r="A388" s="5" t="inlineStr">
        <is>
          <t>EPINGLE</t>
        </is>
      </c>
      <c r="G388" s="5" t="n">
        <v>1</v>
      </c>
      <c r="H388" s="5">
        <f>ROUNDUP((E385/0.2)+10,0)</f>
        <v/>
      </c>
      <c r="I388" s="5" t="n">
        <v>6</v>
      </c>
      <c r="J388" s="5">
        <f>(G385-0.025)+22*I388/1000</f>
        <v/>
      </c>
      <c r="K388" s="5">
        <f>IF(I388=6,G388*H388*J388,"")</f>
        <v/>
      </c>
      <c r="L388" s="5">
        <f>IF(I388=8,G388*H388*J388,"")</f>
        <v/>
      </c>
      <c r="M388" s="5">
        <f>IF(I388=10,G388*H388*J388,"")</f>
        <v/>
      </c>
      <c r="N388" s="5">
        <f>IF(I388=12,G388*H388*J388,"")</f>
        <v/>
      </c>
      <c r="O388" s="5">
        <f>IF(I388=14,G388*H388*J388,"")</f>
        <v/>
      </c>
      <c r="P388" s="5">
        <f>IF(I388=16,G388*H388*J388,"")</f>
        <v/>
      </c>
      <c r="Q388" s="5">
        <f>IF(I388=20,G388*H388*J388,"")</f>
        <v/>
      </c>
      <c r="R388" s="5">
        <f>IF(I388=25,G388*H388*J388,"")</f>
        <v/>
      </c>
      <c r="S388" s="5">
        <f>IF(I388=32,G388*H388*J388,"")</f>
        <v/>
      </c>
    </row>
  </sheetData>
  <mergeCells count="9">
    <mergeCell ref="H6:H7"/>
    <mergeCell ref="G6:G7"/>
    <mergeCell ref="I6:I7"/>
    <mergeCell ref="J6:J7"/>
    <mergeCell ref="K6:K7"/>
    <mergeCell ref="L6:L7"/>
    <mergeCell ref="M6:M7"/>
    <mergeCell ref="B6:F7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60" customWidth="1" min="8" max="8"/>
  </cols>
  <sheetData>
    <row r="1">
      <c r="A1" s="1" t="inlineStr">
        <is>
          <t>Comparaison générée vs métré de référence</t>
        </is>
      </c>
    </row>
    <row r="2">
      <c r="A2" s="1" t="inlineStr">
        <is>
          <t>Poste</t>
        </is>
      </c>
      <c r="B2" s="1" t="inlineStr">
        <is>
          <t>Section</t>
        </is>
      </c>
      <c r="C2" s="1" t="inlineStr">
        <is>
          <t>Élément</t>
        </is>
      </c>
      <c r="D2" s="1" t="inlineStr">
        <is>
          <t>Champ</t>
        </is>
      </c>
      <c r="E2" s="1" t="inlineStr">
        <is>
          <t>Référence</t>
        </is>
      </c>
      <c r="F2" s="1" t="inlineStr">
        <is>
          <t>Généré</t>
        </is>
      </c>
      <c r="G2" s="1" t="inlineStr">
        <is>
          <t>Écart</t>
        </is>
      </c>
      <c r="H2" s="1" t="inlineStr">
        <is>
          <t>Commentaire</t>
        </is>
      </c>
    </row>
    <row r="4">
      <c r="A4" t="inlineStr">
        <is>
          <t>15</t>
        </is>
      </c>
      <c r="B4" t="inlineStr">
        <is>
          <t>longrines_prop</t>
        </is>
      </c>
      <c r="C4" t="inlineStr">
        <is>
          <t>C /5-6 LG</t>
        </is>
      </c>
      <c r="D4" t="inlineStr">
        <is>
          <t>Longueur</t>
        </is>
      </c>
      <c r="E4" t="n">
        <v>4.8</v>
      </c>
      <c r="F4" t="n">
        <v>4.78</v>
      </c>
      <c r="G4" t="n">
        <v>-0.02</v>
      </c>
      <c r="H4" t="inlineStr"/>
    </row>
    <row r="5">
      <c r="A5" t="inlineStr">
        <is>
          <t>15</t>
        </is>
      </c>
      <c r="B5" t="inlineStr">
        <is>
          <t>longrines_prop</t>
        </is>
      </c>
      <c r="C5" t="inlineStr">
        <is>
          <t>C /5-6 LG</t>
        </is>
      </c>
      <c r="D5" t="inlineStr">
        <is>
          <t>Qté</t>
        </is>
      </c>
      <c r="E5" t="n">
        <v>0.192</v>
      </c>
      <c r="F5" t="n">
        <v>0.191</v>
      </c>
      <c r="G5" t="n">
        <v>-0.001</v>
      </c>
      <c r="H5" t="inlineStr"/>
    </row>
    <row r="6">
      <c r="A6" t="inlineStr">
        <is>
          <t>15</t>
        </is>
      </c>
      <c r="B6" t="inlineStr">
        <is>
          <t>longrines_prop</t>
        </is>
      </c>
      <c r="C6" t="inlineStr">
        <is>
          <t>2 /D-G LG2</t>
        </is>
      </c>
      <c r="D6" t="inlineStr">
        <is>
          <t>Longueur</t>
        </is>
      </c>
      <c r="E6" t="n">
        <v>5.77</v>
      </c>
      <c r="F6" t="n">
        <v>5.05</v>
      </c>
      <c r="G6" t="n">
        <v>-0.72</v>
      </c>
      <c r="H6" t="inlineStr"/>
    </row>
    <row r="7">
      <c r="A7" t="inlineStr">
        <is>
          <t>15</t>
        </is>
      </c>
      <c r="B7" t="inlineStr">
        <is>
          <t>longrines_prop</t>
        </is>
      </c>
      <c r="C7" t="inlineStr">
        <is>
          <t>2 /D-G LG2</t>
        </is>
      </c>
      <c r="D7" t="inlineStr">
        <is>
          <t>Qté</t>
        </is>
      </c>
      <c r="E7" t="n">
        <v>0.231</v>
      </c>
      <c r="F7" t="n">
        <v>0.202</v>
      </c>
      <c r="G7" t="n">
        <v>-0.029</v>
      </c>
      <c r="H7" t="inlineStr"/>
    </row>
    <row r="8">
      <c r="A8" t="inlineStr">
        <is>
          <t>15</t>
        </is>
      </c>
      <c r="B8" t="inlineStr">
        <is>
          <t>longrines_prop</t>
        </is>
      </c>
      <c r="C8" t="inlineStr">
        <is>
          <t>3 /D-G LG2</t>
        </is>
      </c>
      <c r="D8" t="inlineStr">
        <is>
          <t>Longueur</t>
        </is>
      </c>
      <c r="E8" t="n">
        <v>5.77</v>
      </c>
      <c r="F8" t="n">
        <v>5.05</v>
      </c>
      <c r="G8" t="n">
        <v>-0.72</v>
      </c>
      <c r="H8" t="inlineStr"/>
    </row>
    <row r="9">
      <c r="A9" t="inlineStr">
        <is>
          <t>15</t>
        </is>
      </c>
      <c r="B9" t="inlineStr">
        <is>
          <t>longrines_prop</t>
        </is>
      </c>
      <c r="C9" t="inlineStr">
        <is>
          <t>3 /D-G LG2</t>
        </is>
      </c>
      <c r="D9" t="inlineStr">
        <is>
          <t>Qté</t>
        </is>
      </c>
      <c r="E9" t="n">
        <v>0.231</v>
      </c>
      <c r="F9" t="n">
        <v>0.202</v>
      </c>
      <c r="G9" t="n">
        <v>-0.029</v>
      </c>
      <c r="H9" t="inlineStr"/>
    </row>
    <row r="10">
      <c r="A10" t="inlineStr">
        <is>
          <t>16</t>
        </is>
      </c>
      <c r="B10" t="inlineStr">
        <is>
          <t>gros_beton</t>
        </is>
      </c>
      <c r="C10" t="inlineStr">
        <is>
          <t>S5 F /5</t>
        </is>
      </c>
      <c r="D10" t="inlineStr">
        <is>
          <t>LIGNE</t>
        </is>
      </c>
      <c r="E10" t="inlineStr">
        <is>
          <t>absente (réf.)</t>
        </is>
      </c>
      <c r="F10" t="inlineStr">
        <is>
          <t>ajoutée (générée)</t>
        </is>
      </c>
      <c r="G10" t="inlineStr"/>
      <c r="H10" t="inlineStr">
        <is>
          <t>présente sur le plan / absente du métré de référence</t>
        </is>
      </c>
    </row>
    <row r="11">
      <c r="A11" t="inlineStr">
        <is>
          <t>16</t>
        </is>
      </c>
      <c r="B11" t="inlineStr">
        <is>
          <t>gros_beton</t>
        </is>
      </c>
      <c r="C11" t="inlineStr">
        <is>
          <t>S5 E /5</t>
        </is>
      </c>
      <c r="D11" t="inlineStr">
        <is>
          <t>LIGNE</t>
        </is>
      </c>
      <c r="E11" t="inlineStr">
        <is>
          <t>présente (réf.)</t>
        </is>
      </c>
      <c r="F11" t="inlineStr">
        <is>
          <t>non reproduite</t>
        </is>
      </c>
      <c r="G11" t="inlineStr"/>
      <c r="H11" t="inlineStr">
        <is>
          <t>du métré de référence — voir rapport</t>
        </is>
      </c>
    </row>
    <row r="12">
      <c r="A12" t="inlineStr">
        <is>
          <t>20</t>
        </is>
      </c>
      <c r="B12" t="inlineStr">
        <is>
          <t>semelles_ba</t>
        </is>
      </c>
      <c r="C12" t="inlineStr">
        <is>
          <t>S5 F /5</t>
        </is>
      </c>
      <c r="D12" t="inlineStr">
        <is>
          <t>largeur</t>
        </is>
      </c>
      <c r="E12" t="n">
        <v>1.3</v>
      </c>
      <c r="F12" t="n">
        <v>1.5</v>
      </c>
      <c r="G12" t="n">
        <v>0.2</v>
      </c>
      <c r="H12" t="inlineStr"/>
    </row>
    <row r="13">
      <c r="A13" t="inlineStr">
        <is>
          <t>20</t>
        </is>
      </c>
      <c r="B13" t="inlineStr">
        <is>
          <t>semelles_ba</t>
        </is>
      </c>
      <c r="C13" t="inlineStr">
        <is>
          <t>S5 F /5</t>
        </is>
      </c>
      <c r="D13" t="inlineStr">
        <is>
          <t>Qté</t>
        </is>
      </c>
      <c r="E13" t="n">
        <v>0.78</v>
      </c>
      <c r="F13" t="n">
        <v>0.9</v>
      </c>
      <c r="G13" t="n">
        <v>0.12</v>
      </c>
      <c r="H13" t="inlineStr"/>
    </row>
    <row r="14">
      <c r="A14" t="inlineStr">
        <is>
          <t>20</t>
        </is>
      </c>
      <c r="B14" t="inlineStr">
        <is>
          <t>semelles_ba</t>
        </is>
      </c>
      <c r="C14" t="inlineStr">
        <is>
          <t>S4 G /2</t>
        </is>
      </c>
      <c r="D14" t="inlineStr">
        <is>
          <t>Hauteur</t>
        </is>
      </c>
      <c r="E14" t="n">
        <v>0.25</v>
      </c>
      <c r="F14" t="n">
        <v>0.4</v>
      </c>
      <c r="G14" t="n">
        <v>0.15</v>
      </c>
      <c r="H14" t="inlineStr"/>
    </row>
    <row r="15">
      <c r="A15" t="inlineStr">
        <is>
          <t>20</t>
        </is>
      </c>
      <c r="B15" t="inlineStr">
        <is>
          <t>semelles_ba</t>
        </is>
      </c>
      <c r="C15" t="inlineStr">
        <is>
          <t>S4 G /2</t>
        </is>
      </c>
      <c r="D15" t="inlineStr">
        <is>
          <t>Qté</t>
        </is>
      </c>
      <c r="E15" t="n">
        <v>0.5620000000000001</v>
      </c>
      <c r="F15" t="n">
        <v>0.9</v>
      </c>
      <c r="G15" t="n">
        <v>0.338</v>
      </c>
      <c r="H15" t="inlineStr"/>
    </row>
    <row r="16">
      <c r="A16" t="inlineStr">
        <is>
          <t>20</t>
        </is>
      </c>
      <c r="B16" t="inlineStr">
        <is>
          <t>longrines_ba</t>
        </is>
      </c>
      <c r="C16" t="inlineStr">
        <is>
          <t>2 /D-G LG2</t>
        </is>
      </c>
      <c r="D16" t="inlineStr">
        <is>
          <t>Longueur</t>
        </is>
      </c>
      <c r="E16" t="n">
        <v>5.77</v>
      </c>
      <c r="F16" t="n">
        <v>5.05</v>
      </c>
      <c r="G16" t="n">
        <v>-0.72</v>
      </c>
      <c r="H16" t="inlineStr"/>
    </row>
    <row r="17">
      <c r="A17" t="inlineStr">
        <is>
          <t>20</t>
        </is>
      </c>
      <c r="B17" t="inlineStr">
        <is>
          <t>longrines_ba</t>
        </is>
      </c>
      <c r="C17" t="inlineStr">
        <is>
          <t>2 /D-G LG2</t>
        </is>
      </c>
      <c r="D17" t="inlineStr">
        <is>
          <t>Qté</t>
        </is>
      </c>
      <c r="E17" t="n">
        <v>0.462</v>
      </c>
      <c r="F17" t="n">
        <v>0.404</v>
      </c>
      <c r="G17" t="n">
        <v>-0.058</v>
      </c>
      <c r="H17" t="inlineStr"/>
    </row>
    <row r="18">
      <c r="A18" t="inlineStr">
        <is>
          <t>20</t>
        </is>
      </c>
      <c r="B18" t="inlineStr">
        <is>
          <t>longrines_ba</t>
        </is>
      </c>
      <c r="C18" t="inlineStr">
        <is>
          <t>3 /D-G LG2</t>
        </is>
      </c>
      <c r="D18" t="inlineStr">
        <is>
          <t>Longueur</t>
        </is>
      </c>
      <c r="E18" t="n">
        <v>5.77</v>
      </c>
      <c r="F18" t="n">
        <v>5.05</v>
      </c>
      <c r="G18" t="n">
        <v>-0.72</v>
      </c>
      <c r="H18" t="inlineStr"/>
    </row>
    <row r="19">
      <c r="A19" t="inlineStr">
        <is>
          <t>20</t>
        </is>
      </c>
      <c r="B19" t="inlineStr">
        <is>
          <t>longrines_ba</t>
        </is>
      </c>
      <c r="C19" t="inlineStr">
        <is>
          <t>3 /D-G LG2</t>
        </is>
      </c>
      <c r="D19" t="inlineStr">
        <is>
          <t>Qté</t>
        </is>
      </c>
      <c r="E19" t="n">
        <v>0.462</v>
      </c>
      <c r="F19" t="n">
        <v>0.404</v>
      </c>
      <c r="G19" t="n">
        <v>-0.058</v>
      </c>
      <c r="H19" t="inlineStr"/>
    </row>
    <row r="20">
      <c r="A20" t="inlineStr">
        <is>
          <t>20</t>
        </is>
      </c>
      <c r="B20" t="inlineStr">
        <is>
          <t>poutres_mezz</t>
        </is>
      </c>
      <c r="C20" t="inlineStr">
        <is>
          <t>N4 5 /F-G N4</t>
        </is>
      </c>
      <c r="D20" t="inlineStr">
        <is>
          <t>LIGNE</t>
        </is>
      </c>
      <c r="E20" t="inlineStr">
        <is>
          <t>absente (réf.)</t>
        </is>
      </c>
      <c r="F20" t="inlineStr">
        <is>
          <t>ajoutée (générée)</t>
        </is>
      </c>
      <c r="G20" t="inlineStr"/>
      <c r="H20" t="inlineStr">
        <is>
          <t>présent sur le plan, absent du métré de référence</t>
        </is>
      </c>
    </row>
    <row r="21">
      <c r="A21" t="inlineStr">
        <is>
          <t>20</t>
        </is>
      </c>
      <c r="B21" t="inlineStr">
        <is>
          <t>poutres_mezz</t>
        </is>
      </c>
      <c r="C21" t="inlineStr">
        <is>
          <t>N3 6 /A-C N3</t>
        </is>
      </c>
      <c r="D21" t="inlineStr">
        <is>
          <t>Hauteur</t>
        </is>
      </c>
      <c r="E21" t="n">
        <v>0.45</v>
      </c>
      <c r="F21" t="n">
        <v>0.4</v>
      </c>
      <c r="G21" t="n">
        <v>-0.05</v>
      </c>
      <c r="H21" t="inlineStr"/>
    </row>
    <row r="22">
      <c r="A22" t="inlineStr">
        <is>
          <t>20</t>
        </is>
      </c>
      <c r="B22" t="inlineStr">
        <is>
          <t>poutres_mezz</t>
        </is>
      </c>
      <c r="C22" t="inlineStr">
        <is>
          <t>N3 6 /A-C N3</t>
        </is>
      </c>
      <c r="D22" t="inlineStr">
        <is>
          <t>Qté</t>
        </is>
      </c>
      <c r="E22" t="n">
        <v>0.38</v>
      </c>
      <c r="F22" t="n">
        <v>0.338</v>
      </c>
      <c r="G22" t="n">
        <v>-0.042</v>
      </c>
      <c r="H22" t="inlineStr"/>
    </row>
    <row r="23">
      <c r="A23" t="inlineStr">
        <is>
          <t>20</t>
        </is>
      </c>
      <c r="B23" t="inlineStr">
        <is>
          <t>poutres_mezz</t>
        </is>
      </c>
      <c r="C23" t="inlineStr">
        <is>
          <t>N3 7 /A-C N3</t>
        </is>
      </c>
      <c r="D23" t="inlineStr">
        <is>
          <t>Hauteur</t>
        </is>
      </c>
      <c r="E23" t="n">
        <v>0.45</v>
      </c>
      <c r="F23" t="n">
        <v>0.4</v>
      </c>
      <c r="G23" t="n">
        <v>-0.05</v>
      </c>
      <c r="H23" t="inlineStr"/>
    </row>
    <row r="24">
      <c r="A24" t="inlineStr">
        <is>
          <t>20</t>
        </is>
      </c>
      <c r="B24" t="inlineStr">
        <is>
          <t>poutres_mezz</t>
        </is>
      </c>
      <c r="C24" t="inlineStr">
        <is>
          <t>N3 7 /A-C N3</t>
        </is>
      </c>
      <c r="D24" t="inlineStr">
        <is>
          <t>Qté</t>
        </is>
      </c>
      <c r="E24" t="n">
        <v>0.38</v>
      </c>
      <c r="F24" t="n">
        <v>0.338</v>
      </c>
      <c r="G24" t="n">
        <v>-0.042</v>
      </c>
      <c r="H24" t="inlineStr"/>
    </row>
    <row r="25">
      <c r="A25" t="inlineStr">
        <is>
          <t>20</t>
        </is>
      </c>
      <c r="B25" t="inlineStr">
        <is>
          <t>poutres_mezz</t>
        </is>
      </c>
      <c r="C25" t="inlineStr">
        <is>
          <t>N3 8 /A-C N3</t>
        </is>
      </c>
      <c r="D25" t="inlineStr">
        <is>
          <t>LIGNE</t>
        </is>
      </c>
      <c r="E25" t="inlineStr">
        <is>
          <t>absente (réf.)</t>
        </is>
      </c>
      <c r="F25" t="inlineStr">
        <is>
          <t>ajoutée (générée)</t>
        </is>
      </c>
      <c r="G25" t="inlineStr"/>
      <c r="H25" t="inlineStr">
        <is>
          <t>axe 8 absent du métré de référence</t>
        </is>
      </c>
    </row>
    <row r="26">
      <c r="A26" t="inlineStr">
        <is>
          <t>20</t>
        </is>
      </c>
      <c r="B26" t="inlineStr">
        <is>
          <t>poutres_mezz</t>
        </is>
      </c>
      <c r="C26" t="inlineStr">
        <is>
          <t>N1 8 /C-E N1</t>
        </is>
      </c>
      <c r="D26" t="inlineStr">
        <is>
          <t>LIGNE</t>
        </is>
      </c>
      <c r="E26" t="inlineStr">
        <is>
          <t>absente (réf.)</t>
        </is>
      </c>
      <c r="F26" t="inlineStr">
        <is>
          <t>ajoutée (générée)</t>
        </is>
      </c>
      <c r="G26" t="inlineStr"/>
      <c r="H26" t="inlineStr">
        <is>
          <t>axe 8 absent du métré de référence</t>
        </is>
      </c>
    </row>
    <row r="27">
      <c r="A27" t="inlineStr">
        <is>
          <t>20</t>
        </is>
      </c>
      <c r="B27" t="inlineStr">
        <is>
          <t>poutres_mezz</t>
        </is>
      </c>
      <c r="C27" t="inlineStr">
        <is>
          <t>N3 8 /E-G N3</t>
        </is>
      </c>
      <c r="D27" t="inlineStr">
        <is>
          <t>LIGNE</t>
        </is>
      </c>
      <c r="E27" t="inlineStr">
        <is>
          <t>absente (réf.)</t>
        </is>
      </c>
      <c r="F27" t="inlineStr">
        <is>
          <t>ajoutée (générée)</t>
        </is>
      </c>
      <c r="G27" t="inlineStr"/>
      <c r="H27" t="inlineStr">
        <is>
          <t>axe 8 absent du métré de référence</t>
        </is>
      </c>
    </row>
    <row r="28">
      <c r="A28" t="inlineStr">
        <is>
          <t>20</t>
        </is>
      </c>
      <c r="B28" t="inlineStr">
        <is>
          <t>poutres_mezz</t>
        </is>
      </c>
      <c r="C28" t="inlineStr">
        <is>
          <t>BN2 C /5-6 BN2</t>
        </is>
      </c>
      <c r="D28" t="inlineStr">
        <is>
          <t>LIGNE</t>
        </is>
      </c>
      <c r="E28" t="inlineStr">
        <is>
          <t>absente (réf.)</t>
        </is>
      </c>
      <c r="F28" t="inlineStr">
        <is>
          <t>ajoutée (générée)</t>
        </is>
      </c>
      <c r="G28" t="inlineStr"/>
      <c r="H28" t="inlineStr">
        <is>
          <t>présente sur le plan / absente du métré de référence</t>
        </is>
      </c>
    </row>
    <row r="29">
      <c r="A29" t="inlineStr">
        <is>
          <t>20</t>
        </is>
      </c>
      <c r="B29" t="inlineStr">
        <is>
          <t>poutres_mezz</t>
        </is>
      </c>
      <c r="C29" t="inlineStr">
        <is>
          <t>BN2 C /6-7 BN2</t>
        </is>
      </c>
      <c r="D29" t="inlineStr">
        <is>
          <t>LIGNE</t>
        </is>
      </c>
      <c r="E29" t="inlineStr">
        <is>
          <t>absente (réf.)</t>
        </is>
      </c>
      <c r="F29" t="inlineStr">
        <is>
          <t>ajoutée (générée)</t>
        </is>
      </c>
      <c r="G29" t="inlineStr"/>
      <c r="H29" t="inlineStr">
        <is>
          <t>présente sur le plan / absente du métré de référence</t>
        </is>
      </c>
    </row>
    <row r="30">
      <c r="A30" t="inlineStr">
        <is>
          <t>20</t>
        </is>
      </c>
      <c r="B30" t="inlineStr">
        <is>
          <t>poutres_mezz</t>
        </is>
      </c>
      <c r="C30" t="inlineStr">
        <is>
          <t>BN2 C /7-8 BN2</t>
        </is>
      </c>
      <c r="D30" t="inlineStr">
        <is>
          <t>LIGNE</t>
        </is>
      </c>
      <c r="E30" t="inlineStr">
        <is>
          <t>absente (réf.)</t>
        </is>
      </c>
      <c r="F30" t="inlineStr">
        <is>
          <t>ajoutée (générée)</t>
        </is>
      </c>
      <c r="G30" t="inlineStr"/>
      <c r="H30" t="inlineStr">
        <is>
          <t>présente sur le plan / absente du métré de référence</t>
        </is>
      </c>
    </row>
    <row r="31">
      <c r="A31" t="inlineStr">
        <is>
          <t>20</t>
        </is>
      </c>
      <c r="B31" t="inlineStr">
        <is>
          <t>poutres_mezz</t>
        </is>
      </c>
      <c r="C31" t="inlineStr">
        <is>
          <t>BN2 E /5-6 BN2</t>
        </is>
      </c>
      <c r="D31" t="inlineStr">
        <is>
          <t>LIGNE</t>
        </is>
      </c>
      <c r="E31" t="inlineStr">
        <is>
          <t>absente (réf.)</t>
        </is>
      </c>
      <c r="F31" t="inlineStr">
        <is>
          <t>ajoutée (générée)</t>
        </is>
      </c>
      <c r="G31" t="inlineStr"/>
      <c r="H31" t="inlineStr">
        <is>
          <t>présente sur le plan / absente du métré de référence</t>
        </is>
      </c>
    </row>
    <row r="32">
      <c r="A32" t="inlineStr">
        <is>
          <t>20</t>
        </is>
      </c>
      <c r="B32" t="inlineStr">
        <is>
          <t>poutres_mezz</t>
        </is>
      </c>
      <c r="C32" t="inlineStr">
        <is>
          <t>BN2 E /6-7 BN2</t>
        </is>
      </c>
      <c r="D32" t="inlineStr">
        <is>
          <t>LIGNE</t>
        </is>
      </c>
      <c r="E32" t="inlineStr">
        <is>
          <t>absente (réf.)</t>
        </is>
      </c>
      <c r="F32" t="inlineStr">
        <is>
          <t>ajoutée (générée)</t>
        </is>
      </c>
      <c r="G32" t="inlineStr"/>
      <c r="H32" t="inlineStr">
        <is>
          <t>présente sur le plan / absente du métré de référence</t>
        </is>
      </c>
    </row>
    <row r="33">
      <c r="A33" t="inlineStr">
        <is>
          <t>20</t>
        </is>
      </c>
      <c r="B33" t="inlineStr">
        <is>
          <t>poutres_mezz</t>
        </is>
      </c>
      <c r="C33" t="inlineStr">
        <is>
          <t>BN2 E /7-8 BN2</t>
        </is>
      </c>
      <c r="D33" t="inlineStr">
        <is>
          <t>LIGNE</t>
        </is>
      </c>
      <c r="E33" t="inlineStr">
        <is>
          <t>absente (réf.)</t>
        </is>
      </c>
      <c r="F33" t="inlineStr">
        <is>
          <t>ajoutée (générée)</t>
        </is>
      </c>
      <c r="G33" t="inlineStr"/>
      <c r="H33" t="inlineStr">
        <is>
          <t>présente sur le plan / absente du métré de référence</t>
        </is>
      </c>
    </row>
    <row r="34">
      <c r="A34" t="inlineStr">
        <is>
          <t>20</t>
        </is>
      </c>
      <c r="B34" t="inlineStr">
        <is>
          <t>poutres_mezz</t>
        </is>
      </c>
      <c r="C34" t="inlineStr">
        <is>
          <t>7 /A-C N3</t>
        </is>
      </c>
      <c r="D34" t="inlineStr">
        <is>
          <t>LIGNE</t>
        </is>
      </c>
      <c r="E34" t="inlineStr">
        <is>
          <t>présente (réf.)</t>
        </is>
      </c>
      <c r="F34" t="inlineStr">
        <is>
          <t>non reproduite</t>
        </is>
      </c>
      <c r="G34" t="inlineStr"/>
      <c r="H34" t="inlineStr">
        <is>
          <t>du métré de référence — voir rapport</t>
        </is>
      </c>
    </row>
    <row r="35">
      <c r="A35" t="inlineStr">
        <is>
          <t>20</t>
        </is>
      </c>
      <c r="B35" t="inlineStr">
        <is>
          <t>poutres_mezz</t>
        </is>
      </c>
      <c r="C35" t="inlineStr">
        <is>
          <t>7 /C-E N1</t>
        </is>
      </c>
      <c r="D35" t="inlineStr">
        <is>
          <t>LIGNE</t>
        </is>
      </c>
      <c r="E35" t="inlineStr">
        <is>
          <t>présente (réf.)</t>
        </is>
      </c>
      <c r="F35" t="inlineStr">
        <is>
          <t>non reproduite</t>
        </is>
      </c>
      <c r="G35" t="inlineStr"/>
      <c r="H35" t="inlineStr">
        <is>
          <t>du métré de référence — voir rapport</t>
        </is>
      </c>
    </row>
    <row r="36">
      <c r="A36" t="inlineStr">
        <is>
          <t>20</t>
        </is>
      </c>
      <c r="B36" t="inlineStr">
        <is>
          <t>poutres_mezz</t>
        </is>
      </c>
      <c r="C36" t="inlineStr">
        <is>
          <t>7 /E-G N3</t>
        </is>
      </c>
      <c r="D36" t="inlineStr">
        <is>
          <t>LIGNE</t>
        </is>
      </c>
      <c r="E36" t="inlineStr">
        <is>
          <t>présente (réf.)</t>
        </is>
      </c>
      <c r="F36" t="inlineStr">
        <is>
          <t>non reproduite</t>
        </is>
      </c>
      <c r="G36" t="inlineStr"/>
      <c r="H36" t="inlineStr">
        <is>
          <t>du métré de référence — voir rapport</t>
        </is>
      </c>
    </row>
    <row r="37">
      <c r="A37" t="inlineStr">
        <is>
          <t>20</t>
        </is>
      </c>
      <c r="B37" t="inlineStr">
        <is>
          <t>poutres_mezz</t>
        </is>
      </c>
      <c r="C37" t="inlineStr">
        <is>
          <t>C /5-6 BN</t>
        </is>
      </c>
      <c r="D37" t="inlineStr">
        <is>
          <t>LIGNE</t>
        </is>
      </c>
      <c r="E37" t="inlineStr">
        <is>
          <t>présente (réf.)</t>
        </is>
      </c>
      <c r="F37" t="inlineStr">
        <is>
          <t>non reproduite</t>
        </is>
      </c>
      <c r="G37" t="inlineStr"/>
      <c r="H37" t="inlineStr">
        <is>
          <t>du métré de référence — voir rapport</t>
        </is>
      </c>
    </row>
    <row r="38">
      <c r="A38" t="inlineStr">
        <is>
          <t>20</t>
        </is>
      </c>
      <c r="B38" t="inlineStr">
        <is>
          <t>poutres_mezz</t>
        </is>
      </c>
      <c r="C38" t="inlineStr">
        <is>
          <t>E /5-6 BN</t>
        </is>
      </c>
      <c r="D38" t="inlineStr">
        <is>
          <t>LIGNE</t>
        </is>
      </c>
      <c r="E38" t="inlineStr">
        <is>
          <t>présente (réf.)</t>
        </is>
      </c>
      <c r="F38" t="inlineStr">
        <is>
          <t>non reproduite</t>
        </is>
      </c>
      <c r="G38" t="inlineStr"/>
      <c r="H38" t="inlineStr">
        <is>
          <t>du métré de référence — voir rapport</t>
        </is>
      </c>
    </row>
    <row r="39">
      <c r="A39" t="inlineStr">
        <is>
          <t>20</t>
        </is>
      </c>
      <c r="B39" t="inlineStr">
        <is>
          <t>poutres_mezz</t>
        </is>
      </c>
      <c r="C39" t="inlineStr">
        <is>
          <t>C /6-7 BN</t>
        </is>
      </c>
      <c r="D39" t="inlineStr">
        <is>
          <t>LIGNE</t>
        </is>
      </c>
      <c r="E39" t="inlineStr">
        <is>
          <t>présente (réf.)</t>
        </is>
      </c>
      <c r="F39" t="inlineStr">
        <is>
          <t>non reproduite</t>
        </is>
      </c>
      <c r="G39" t="inlineStr"/>
      <c r="H39" t="inlineStr">
        <is>
          <t>du métré de référence — voir rapport</t>
        </is>
      </c>
    </row>
    <row r="40">
      <c r="A40" t="inlineStr">
        <is>
          <t>20</t>
        </is>
      </c>
      <c r="B40" t="inlineStr">
        <is>
          <t>poutres_mezz</t>
        </is>
      </c>
      <c r="C40" t="inlineStr">
        <is>
          <t>E /6-7 BN</t>
        </is>
      </c>
      <c r="D40" t="inlineStr">
        <is>
          <t>LIGNE</t>
        </is>
      </c>
      <c r="E40" t="inlineStr">
        <is>
          <t>présente (réf.)</t>
        </is>
      </c>
      <c r="F40" t="inlineStr">
        <is>
          <t>non reproduite</t>
        </is>
      </c>
      <c r="G40" t="inlineStr"/>
      <c r="H40" t="inlineStr">
        <is>
          <t>du métré de référence — voir rapport</t>
        </is>
      </c>
    </row>
    <row r="41">
      <c r="A41" t="inlineStr">
        <is>
          <t>20</t>
        </is>
      </c>
      <c r="B41" t="inlineStr">
        <is>
          <t>poutres_mezz</t>
        </is>
      </c>
      <c r="C41" t="inlineStr">
        <is>
          <t>C /7-8 BN</t>
        </is>
      </c>
      <c r="D41" t="inlineStr">
        <is>
          <t>LIGNE</t>
        </is>
      </c>
      <c r="E41" t="inlineStr">
        <is>
          <t>présente (réf.)</t>
        </is>
      </c>
      <c r="F41" t="inlineStr">
        <is>
          <t>non reproduite</t>
        </is>
      </c>
      <c r="G41" t="inlineStr"/>
      <c r="H41" t="inlineStr">
        <is>
          <t>du métré de référence — voir rapport</t>
        </is>
      </c>
    </row>
    <row r="42">
      <c r="A42" t="inlineStr">
        <is>
          <t>20</t>
        </is>
      </c>
      <c r="B42" t="inlineStr">
        <is>
          <t>poutres_mezz</t>
        </is>
      </c>
      <c r="C42" t="inlineStr">
        <is>
          <t>E /7-8 BN</t>
        </is>
      </c>
      <c r="D42" t="inlineStr">
        <is>
          <t>LIGNE</t>
        </is>
      </c>
      <c r="E42" t="inlineStr">
        <is>
          <t>présente (réf.)</t>
        </is>
      </c>
      <c r="F42" t="inlineStr">
        <is>
          <t>non reproduite</t>
        </is>
      </c>
      <c r="G42" t="inlineStr"/>
      <c r="H42" t="inlineStr">
        <is>
          <t>du métré de référence — voir rapport</t>
        </is>
      </c>
    </row>
    <row r="43">
      <c r="A43" t="inlineStr">
        <is>
          <t>20</t>
        </is>
      </c>
      <c r="B43" t="inlineStr">
        <is>
          <t>poutres_ph</t>
        </is>
      </c>
      <c r="C43" t="inlineStr">
        <is>
          <t>N1 A /1-2 N1</t>
        </is>
      </c>
      <c r="D43" t="inlineStr">
        <is>
          <t>Longueur</t>
        </is>
      </c>
      <c r="E43" t="n">
        <v>5.05</v>
      </c>
      <c r="F43" t="n">
        <v>2.48</v>
      </c>
      <c r="G43" t="n">
        <v>-2.57</v>
      </c>
      <c r="H43" t="inlineStr">
        <is>
          <t>référence : longueur erronée 5.05 au lieu de 2.48</t>
        </is>
      </c>
    </row>
    <row r="44">
      <c r="A44" t="inlineStr">
        <is>
          <t>20</t>
        </is>
      </c>
      <c r="B44" t="inlineStr">
        <is>
          <t>poutres_ph</t>
        </is>
      </c>
      <c r="C44" t="inlineStr">
        <is>
          <t>N1 A /1-2 N1</t>
        </is>
      </c>
      <c r="D44" t="inlineStr">
        <is>
          <t>Hauteur</t>
        </is>
      </c>
      <c r="E44" t="n">
        <v>0.5</v>
      </c>
      <c r="F44" t="n">
        <v>0.3</v>
      </c>
      <c r="G44" t="n">
        <v>-0.2</v>
      </c>
      <c r="H44" t="inlineStr">
        <is>
          <t>référence : longueur erronée 5.05 au lieu de 2.48</t>
        </is>
      </c>
    </row>
    <row r="45">
      <c r="A45" t="inlineStr">
        <is>
          <t>20</t>
        </is>
      </c>
      <c r="B45" t="inlineStr">
        <is>
          <t>poutres_ph</t>
        </is>
      </c>
      <c r="C45" t="inlineStr">
        <is>
          <t>N1 A /1-2 N1</t>
        </is>
      </c>
      <c r="D45" t="inlineStr">
        <is>
          <t>Qté</t>
        </is>
      </c>
      <c r="E45" t="n">
        <v>0.505</v>
      </c>
      <c r="F45" t="n">
        <v>0.149</v>
      </c>
      <c r="G45" t="n">
        <v>-0.356</v>
      </c>
      <c r="H45" t="inlineStr">
        <is>
          <t>référence : longueur erronée 5.05 au lieu de 2.48</t>
        </is>
      </c>
    </row>
    <row r="46">
      <c r="A46" t="inlineStr">
        <is>
          <t>20</t>
        </is>
      </c>
      <c r="B46" t="inlineStr">
        <is>
          <t>poutres_ph</t>
        </is>
      </c>
      <c r="C46" t="inlineStr">
        <is>
          <t>N1 A /6-7 N1</t>
        </is>
      </c>
      <c r="D46" t="inlineStr">
        <is>
          <t>Longueur</t>
        </is>
      </c>
      <c r="E46" t="n">
        <v>0.65</v>
      </c>
      <c r="F46" t="n">
        <v>2.65</v>
      </c>
      <c r="G46" t="n">
        <v>2</v>
      </c>
      <c r="H46" t="inlineStr">
        <is>
          <t>référence : longueur 0.65 au lieu de 2.65</t>
        </is>
      </c>
    </row>
    <row r="47">
      <c r="A47" t="inlineStr">
        <is>
          <t>20</t>
        </is>
      </c>
      <c r="B47" t="inlineStr">
        <is>
          <t>poutres_ph</t>
        </is>
      </c>
      <c r="C47" t="inlineStr">
        <is>
          <t>N1 A /6-7 N1</t>
        </is>
      </c>
      <c r="D47" t="inlineStr">
        <is>
          <t>Qté</t>
        </is>
      </c>
      <c r="E47" t="n">
        <v>0.039</v>
      </c>
      <c r="F47" t="n">
        <v>0.159</v>
      </c>
      <c r="G47" t="n">
        <v>0.12</v>
      </c>
      <c r="H47" t="inlineStr">
        <is>
          <t>référence : longueur 0.65 au lieu de 2.65</t>
        </is>
      </c>
    </row>
    <row r="48">
      <c r="A48" t="inlineStr">
        <is>
          <t>20</t>
        </is>
      </c>
      <c r="B48" t="inlineStr">
        <is>
          <t>poutres_ph</t>
        </is>
      </c>
      <c r="C48" t="inlineStr">
        <is>
          <t>N1 G /6-7 N1</t>
        </is>
      </c>
      <c r="D48" t="inlineStr">
        <is>
          <t>Longueur</t>
        </is>
      </c>
      <c r="E48" t="n">
        <v>0.65</v>
      </c>
      <c r="F48" t="n">
        <v>2.65</v>
      </c>
      <c r="G48" t="n">
        <v>2</v>
      </c>
      <c r="H48" t="inlineStr">
        <is>
          <t>référence : longueur 0.65 au lieu de 2.65</t>
        </is>
      </c>
    </row>
    <row r="49">
      <c r="A49" t="inlineStr">
        <is>
          <t>20</t>
        </is>
      </c>
      <c r="B49" t="inlineStr">
        <is>
          <t>poutres_ph</t>
        </is>
      </c>
      <c r="C49" t="inlineStr">
        <is>
          <t>N1 G /6-7 N1</t>
        </is>
      </c>
      <c r="D49" t="inlineStr">
        <is>
          <t>Qté</t>
        </is>
      </c>
      <c r="E49" t="n">
        <v>0.039</v>
      </c>
      <c r="F49" t="n">
        <v>0.159</v>
      </c>
      <c r="G49" t="n">
        <v>0.12</v>
      </c>
      <c r="H49" t="inlineStr">
        <is>
          <t>référence : longueur 0.65 au lieu de 2.65</t>
        </is>
      </c>
    </row>
    <row r="50">
      <c r="A50" t="inlineStr">
        <is>
          <t>20</t>
        </is>
      </c>
      <c r="B50" t="inlineStr">
        <is>
          <t>poutres_ph</t>
        </is>
      </c>
      <c r="C50" t="inlineStr">
        <is>
          <t>N5 1 /A-D N5</t>
        </is>
      </c>
      <c r="D50" t="inlineStr">
        <is>
          <t>N</t>
        </is>
      </c>
      <c r="E50" t="n">
        <v>1</v>
      </c>
      <c r="F50" t="n">
        <v>2</v>
      </c>
      <c r="G50" t="n">
        <v>1</v>
      </c>
      <c r="H50" t="inlineStr">
        <is>
          <t>callout '25+5 jumelée' sur le plan ; métré référence compte N=1</t>
        </is>
      </c>
    </row>
    <row r="51">
      <c r="A51" t="inlineStr">
        <is>
          <t>20</t>
        </is>
      </c>
      <c r="B51" t="inlineStr">
        <is>
          <t>poutres_ph</t>
        </is>
      </c>
      <c r="C51" t="inlineStr">
        <is>
          <t>N5 1 /A-D N5</t>
        </is>
      </c>
      <c r="D51" t="inlineStr">
        <is>
          <t>Qté</t>
        </is>
      </c>
      <c r="E51" t="n">
        <v>0.504</v>
      </c>
      <c r="F51" t="n">
        <v>1.008</v>
      </c>
      <c r="G51" t="n">
        <v>0.504</v>
      </c>
      <c r="H51" t="inlineStr">
        <is>
          <t>callout '25+5 jumelée' sur le plan ; métré référence compte N=1</t>
        </is>
      </c>
    </row>
    <row r="52">
      <c r="A52" t="inlineStr">
        <is>
          <t>20</t>
        </is>
      </c>
      <c r="B52" t="inlineStr">
        <is>
          <t>poutres_ph</t>
        </is>
      </c>
      <c r="C52" t="inlineStr">
        <is>
          <t>N5 1 /D-G N5</t>
        </is>
      </c>
      <c r="D52" t="inlineStr">
        <is>
          <t>N</t>
        </is>
      </c>
      <c r="E52" t="n">
        <v>1</v>
      </c>
      <c r="F52" t="n">
        <v>2</v>
      </c>
      <c r="G52" t="n">
        <v>1</v>
      </c>
      <c r="H52" t="inlineStr">
        <is>
          <t>callout '25+5 jumelée' sur le plan ; métré référence compte N=1</t>
        </is>
      </c>
    </row>
    <row r="53">
      <c r="A53" t="inlineStr">
        <is>
          <t>20</t>
        </is>
      </c>
      <c r="B53" t="inlineStr">
        <is>
          <t>poutres_ph</t>
        </is>
      </c>
      <c r="C53" t="inlineStr">
        <is>
          <t>N5 1 /D-G N5</t>
        </is>
      </c>
      <c r="D53" t="inlineStr">
        <is>
          <t>Qté</t>
        </is>
      </c>
      <c r="E53" t="n">
        <v>0.505</v>
      </c>
      <c r="F53" t="n">
        <v>1.01</v>
      </c>
      <c r="G53" t="n">
        <v>0.505</v>
      </c>
      <c r="H53" t="inlineStr">
        <is>
          <t>callout '25+5 jumelée' sur le plan ; métré référence compte N=1</t>
        </is>
      </c>
    </row>
    <row r="54">
      <c r="A54" t="inlineStr">
        <is>
          <t>20</t>
        </is>
      </c>
      <c r="B54" t="inlineStr">
        <is>
          <t>poutres_ph</t>
        </is>
      </c>
      <c r="C54" t="inlineStr">
        <is>
          <t>+ 3 /A-G +</t>
        </is>
      </c>
      <c r="D54" t="inlineStr">
        <is>
          <t>LIGNE</t>
        </is>
      </c>
      <c r="E54" t="inlineStr">
        <is>
          <t>absente (réf.)</t>
        </is>
      </c>
      <c r="F54" t="inlineStr">
        <is>
          <t>ajoutée (générée)</t>
        </is>
      </c>
      <c r="G54" t="inlineStr"/>
      <c r="H54" t="inlineStr">
        <is>
          <t>second élément du N7 en T</t>
        </is>
      </c>
    </row>
    <row r="55">
      <c r="A55" t="inlineStr">
        <is>
          <t>20</t>
        </is>
      </c>
      <c r="B55" t="inlineStr">
        <is>
          <t>poutres_ph</t>
        </is>
      </c>
      <c r="C55" t="inlineStr">
        <is>
          <t>N3 6 /A-C N3</t>
        </is>
      </c>
      <c r="D55" t="inlineStr">
        <is>
          <t>LIGNE</t>
        </is>
      </c>
      <c r="E55" t="inlineStr">
        <is>
          <t>absente (réf.)</t>
        </is>
      </c>
      <c r="F55" t="inlineStr">
        <is>
          <t>ajoutée (générée)</t>
        </is>
      </c>
      <c r="G55" t="inlineStr"/>
      <c r="H55" t="inlineStr">
        <is>
          <t>référence : N4 A-B / N3 B-E / N4 E-G (différent du plan)</t>
        </is>
      </c>
    </row>
    <row r="56">
      <c r="A56" t="inlineStr">
        <is>
          <t>20</t>
        </is>
      </c>
      <c r="B56" t="inlineStr">
        <is>
          <t>poutres_ph</t>
        </is>
      </c>
      <c r="C56" t="inlineStr">
        <is>
          <t>N1 6 /C-E N1</t>
        </is>
      </c>
      <c r="D56" t="inlineStr">
        <is>
          <t>LIGNE</t>
        </is>
      </c>
      <c r="E56" t="inlineStr">
        <is>
          <t>absente (réf.)</t>
        </is>
      </c>
      <c r="F56" t="inlineStr">
        <is>
          <t>ajoutée (générée)</t>
        </is>
      </c>
      <c r="G56" t="inlineStr"/>
      <c r="H56" t="inlineStr">
        <is>
          <t>référence : N3 B-E</t>
        </is>
      </c>
    </row>
    <row r="57">
      <c r="A57" t="inlineStr">
        <is>
          <t>20</t>
        </is>
      </c>
      <c r="B57" t="inlineStr">
        <is>
          <t>poutres_ph</t>
        </is>
      </c>
      <c r="C57" t="inlineStr">
        <is>
          <t>N3 6 /E-G N3</t>
        </is>
      </c>
      <c r="D57" t="inlineStr">
        <is>
          <t>LIGNE</t>
        </is>
      </c>
      <c r="E57" t="inlineStr">
        <is>
          <t>absente (réf.)</t>
        </is>
      </c>
      <c r="F57" t="inlineStr">
        <is>
          <t>ajoutée (générée)</t>
        </is>
      </c>
      <c r="G57" t="inlineStr"/>
      <c r="H57" t="inlineStr">
        <is>
          <t>référence : N4 E-G</t>
        </is>
      </c>
    </row>
    <row r="58">
      <c r="A58" t="inlineStr">
        <is>
          <t>20</t>
        </is>
      </c>
      <c r="B58" t="inlineStr">
        <is>
          <t>poutres_ph</t>
        </is>
      </c>
      <c r="C58" t="inlineStr">
        <is>
          <t>N3 7 /A-C N3</t>
        </is>
      </c>
      <c r="D58" t="inlineStr">
        <is>
          <t>LIGNE</t>
        </is>
      </c>
      <c r="E58" t="inlineStr">
        <is>
          <t>absente (réf.)</t>
        </is>
      </c>
      <c r="F58" t="inlineStr">
        <is>
          <t>ajoutée (générée)</t>
        </is>
      </c>
      <c r="G58" t="inlineStr"/>
      <c r="H58" t="inlineStr">
        <is>
          <t>référence : N4 A-B / N3 B-E / N4 E-G (différent du plan)</t>
        </is>
      </c>
    </row>
    <row r="59">
      <c r="A59" t="inlineStr">
        <is>
          <t>20</t>
        </is>
      </c>
      <c r="B59" t="inlineStr">
        <is>
          <t>poutres_ph</t>
        </is>
      </c>
      <c r="C59" t="inlineStr">
        <is>
          <t>N1 7 /C-E N1</t>
        </is>
      </c>
      <c r="D59" t="inlineStr">
        <is>
          <t>LIGNE</t>
        </is>
      </c>
      <c r="E59" t="inlineStr">
        <is>
          <t>absente (réf.)</t>
        </is>
      </c>
      <c r="F59" t="inlineStr">
        <is>
          <t>ajoutée (générée)</t>
        </is>
      </c>
      <c r="G59" t="inlineStr"/>
      <c r="H59" t="inlineStr">
        <is>
          <t>référence : N3 B-E</t>
        </is>
      </c>
    </row>
    <row r="60">
      <c r="A60" t="inlineStr">
        <is>
          <t>20</t>
        </is>
      </c>
      <c r="B60" t="inlineStr">
        <is>
          <t>poutres_ph</t>
        </is>
      </c>
      <c r="C60" t="inlineStr">
        <is>
          <t>N3 7 /E-G N3</t>
        </is>
      </c>
      <c r="D60" t="inlineStr">
        <is>
          <t>LIGNE</t>
        </is>
      </c>
      <c r="E60" t="inlineStr">
        <is>
          <t>absente (réf.)</t>
        </is>
      </c>
      <c r="F60" t="inlineStr">
        <is>
          <t>ajoutée (générée)</t>
        </is>
      </c>
      <c r="G60" t="inlineStr"/>
      <c r="H60" t="inlineStr">
        <is>
          <t>référence : N4 E-G</t>
        </is>
      </c>
    </row>
    <row r="61">
      <c r="A61" t="inlineStr">
        <is>
          <t>20</t>
        </is>
      </c>
      <c r="B61" t="inlineStr">
        <is>
          <t>poutres_ph</t>
        </is>
      </c>
      <c r="C61" t="inlineStr">
        <is>
          <t>N3 8 /A-C N3</t>
        </is>
      </c>
      <c r="D61" t="inlineStr">
        <is>
          <t>LIGNE</t>
        </is>
      </c>
      <c r="E61" t="inlineStr">
        <is>
          <t>absente (réf.)</t>
        </is>
      </c>
      <c r="F61" t="inlineStr">
        <is>
          <t>ajoutée (générée)</t>
        </is>
      </c>
      <c r="G61" t="inlineStr"/>
      <c r="H61" t="inlineStr">
        <is>
          <t>référence : N4 A-B / N3 B-E / N4 E-G (différent du plan)</t>
        </is>
      </c>
    </row>
    <row r="62">
      <c r="A62" t="inlineStr">
        <is>
          <t>20</t>
        </is>
      </c>
      <c r="B62" t="inlineStr">
        <is>
          <t>poutres_ph</t>
        </is>
      </c>
      <c r="C62" t="inlineStr">
        <is>
          <t>N1 8 /C-E N1</t>
        </is>
      </c>
      <c r="D62" t="inlineStr">
        <is>
          <t>LIGNE</t>
        </is>
      </c>
      <c r="E62" t="inlineStr">
        <is>
          <t>absente (réf.)</t>
        </is>
      </c>
      <c r="F62" t="inlineStr">
        <is>
          <t>ajoutée (générée)</t>
        </is>
      </c>
      <c r="G62" t="inlineStr"/>
      <c r="H62" t="inlineStr">
        <is>
          <t>référence : N3 B-E</t>
        </is>
      </c>
    </row>
    <row r="63">
      <c r="A63" t="inlineStr">
        <is>
          <t>20</t>
        </is>
      </c>
      <c r="B63" t="inlineStr">
        <is>
          <t>poutres_ph</t>
        </is>
      </c>
      <c r="C63" t="inlineStr">
        <is>
          <t>N3 8 /E-G N3</t>
        </is>
      </c>
      <c r="D63" t="inlineStr">
        <is>
          <t>LIGNE</t>
        </is>
      </c>
      <c r="E63" t="inlineStr">
        <is>
          <t>absente (réf.)</t>
        </is>
      </c>
      <c r="F63" t="inlineStr">
        <is>
          <t>ajoutée (générée)</t>
        </is>
      </c>
      <c r="G63" t="inlineStr"/>
      <c r="H63" t="inlineStr">
        <is>
          <t>référence : N4 E-G</t>
        </is>
      </c>
    </row>
    <row r="64">
      <c r="A64" t="inlineStr">
        <is>
          <t>20</t>
        </is>
      </c>
      <c r="B64" t="inlineStr">
        <is>
          <t>poutres_ph</t>
        </is>
      </c>
      <c r="C64" t="inlineStr">
        <is>
          <t>BN1 D /1-3 BN1</t>
        </is>
      </c>
      <c r="D64" t="inlineStr">
        <is>
          <t>LIGNE</t>
        </is>
      </c>
      <c r="E64" t="inlineStr">
        <is>
          <t>absente (réf.)</t>
        </is>
      </c>
      <c r="F64" t="inlineStr">
        <is>
          <t>ajoutée (générée)</t>
        </is>
      </c>
      <c r="G64" t="inlineStr"/>
      <c r="H64" t="inlineStr">
        <is>
          <t>BN1 30x30 sur le plan ; référence comptée en 0.20x0.20</t>
        </is>
      </c>
    </row>
    <row r="65">
      <c r="A65" t="inlineStr">
        <is>
          <t>20</t>
        </is>
      </c>
      <c r="B65" t="inlineStr">
        <is>
          <t>poutres_ph</t>
        </is>
      </c>
      <c r="C65" t="inlineStr">
        <is>
          <t>BN1 D /3-5 BN1</t>
        </is>
      </c>
      <c r="D65" t="inlineStr">
        <is>
          <t>LIGNE</t>
        </is>
      </c>
      <c r="E65" t="inlineStr">
        <is>
          <t>absente (réf.)</t>
        </is>
      </c>
      <c r="F65" t="inlineStr">
        <is>
          <t>ajoutée (générée)</t>
        </is>
      </c>
      <c r="G65" t="inlineStr"/>
      <c r="H65" t="inlineStr">
        <is>
          <t>BN1 30x30 sur le plan ; référence comptée en 0.20x0.20</t>
        </is>
      </c>
    </row>
    <row r="66">
      <c r="A66" t="inlineStr">
        <is>
          <t>20</t>
        </is>
      </c>
      <c r="B66" t="inlineStr">
        <is>
          <t>poutres_ph</t>
        </is>
      </c>
      <c r="C66" t="inlineStr">
        <is>
          <t>BN2 C /5-6 BN2</t>
        </is>
      </c>
      <c r="D66" t="inlineStr">
        <is>
          <t>LIGNE</t>
        </is>
      </c>
      <c r="E66" t="inlineStr">
        <is>
          <t>absente (réf.)</t>
        </is>
      </c>
      <c r="F66" t="inlineStr">
        <is>
          <t>ajoutée (générée)</t>
        </is>
      </c>
      <c r="G66" t="inlineStr"/>
      <c r="H66" t="inlineStr">
        <is>
          <t>présente sur le plan / absente du métré de référence</t>
        </is>
      </c>
    </row>
    <row r="67">
      <c r="A67" t="inlineStr">
        <is>
          <t>20</t>
        </is>
      </c>
      <c r="B67" t="inlineStr">
        <is>
          <t>poutres_ph</t>
        </is>
      </c>
      <c r="C67" t="inlineStr">
        <is>
          <t>BN2 C /6-7 BN2</t>
        </is>
      </c>
      <c r="D67" t="inlineStr">
        <is>
          <t>LIGNE</t>
        </is>
      </c>
      <c r="E67" t="inlineStr">
        <is>
          <t>absente (réf.)</t>
        </is>
      </c>
      <c r="F67" t="inlineStr">
        <is>
          <t>ajoutée (générée)</t>
        </is>
      </c>
      <c r="G67" t="inlineStr"/>
      <c r="H67" t="inlineStr">
        <is>
          <t>présente sur le plan / absente du métré de référence</t>
        </is>
      </c>
    </row>
    <row r="68">
      <c r="A68" t="inlineStr">
        <is>
          <t>20</t>
        </is>
      </c>
      <c r="B68" t="inlineStr">
        <is>
          <t>poutres_ph</t>
        </is>
      </c>
      <c r="C68" t="inlineStr">
        <is>
          <t>BN2 C /7-8 BN2</t>
        </is>
      </c>
      <c r="D68" t="inlineStr">
        <is>
          <t>LIGNE</t>
        </is>
      </c>
      <c r="E68" t="inlineStr">
        <is>
          <t>absente (réf.)</t>
        </is>
      </c>
      <c r="F68" t="inlineStr">
        <is>
          <t>ajoutée (générée)</t>
        </is>
      </c>
      <c r="G68" t="inlineStr"/>
      <c r="H68" t="inlineStr">
        <is>
          <t>présente sur le plan / absente du métré de référence</t>
        </is>
      </c>
    </row>
    <row r="69">
      <c r="A69" t="inlineStr">
        <is>
          <t>20</t>
        </is>
      </c>
      <c r="B69" t="inlineStr">
        <is>
          <t>poutres_ph</t>
        </is>
      </c>
      <c r="C69" t="inlineStr">
        <is>
          <t>BN2 E /5-6 BN2</t>
        </is>
      </c>
      <c r="D69" t="inlineStr">
        <is>
          <t>LIGNE</t>
        </is>
      </c>
      <c r="E69" t="inlineStr">
        <is>
          <t>absente (réf.)</t>
        </is>
      </c>
      <c r="F69" t="inlineStr">
        <is>
          <t>ajoutée (générée)</t>
        </is>
      </c>
      <c r="G69" t="inlineStr"/>
      <c r="H69" t="inlineStr">
        <is>
          <t>présente sur le plan / absente du métré de référence</t>
        </is>
      </c>
    </row>
    <row r="70">
      <c r="A70" t="inlineStr">
        <is>
          <t>20</t>
        </is>
      </c>
      <c r="B70" t="inlineStr">
        <is>
          <t>poutres_ph</t>
        </is>
      </c>
      <c r="C70" t="inlineStr">
        <is>
          <t>BN2 E /6-7 BN2</t>
        </is>
      </c>
      <c r="D70" t="inlineStr">
        <is>
          <t>LIGNE</t>
        </is>
      </c>
      <c r="E70" t="inlineStr">
        <is>
          <t>absente (réf.)</t>
        </is>
      </c>
      <c r="F70" t="inlineStr">
        <is>
          <t>ajoutée (générée)</t>
        </is>
      </c>
      <c r="G70" t="inlineStr"/>
      <c r="H70" t="inlineStr">
        <is>
          <t>présente sur le plan / absente du métré de référence</t>
        </is>
      </c>
    </row>
    <row r="71">
      <c r="A71" t="inlineStr">
        <is>
          <t>20</t>
        </is>
      </c>
      <c r="B71" t="inlineStr">
        <is>
          <t>poutres_ph</t>
        </is>
      </c>
      <c r="C71" t="inlineStr">
        <is>
          <t>BN2 E /7-8 BN2</t>
        </is>
      </c>
      <c r="D71" t="inlineStr">
        <is>
          <t>LIGNE</t>
        </is>
      </c>
      <c r="E71" t="inlineStr">
        <is>
          <t>absente (réf.)</t>
        </is>
      </c>
      <c r="F71" t="inlineStr">
        <is>
          <t>ajoutée (générée)</t>
        </is>
      </c>
      <c r="G71" t="inlineStr"/>
      <c r="H71" t="inlineStr">
        <is>
          <t>présente sur le plan / absente du métré de référence</t>
        </is>
      </c>
    </row>
    <row r="72">
      <c r="A72" t="inlineStr">
        <is>
          <t>20</t>
        </is>
      </c>
      <c r="B72" t="inlineStr">
        <is>
          <t>poutres_ph</t>
        </is>
      </c>
      <c r="C72" t="inlineStr">
        <is>
          <t>/ +</t>
        </is>
      </c>
      <c r="D72" t="inlineStr">
        <is>
          <t>LIGNE</t>
        </is>
      </c>
      <c r="E72" t="inlineStr">
        <is>
          <t>présente (réf.)</t>
        </is>
      </c>
      <c r="F72" t="inlineStr">
        <is>
          <t>non reproduite</t>
        </is>
      </c>
      <c r="G72" t="inlineStr"/>
      <c r="H72" t="inlineStr">
        <is>
          <t>du métré de référence — voir rapport</t>
        </is>
      </c>
    </row>
    <row r="73">
      <c r="A73" t="inlineStr">
        <is>
          <t>20</t>
        </is>
      </c>
      <c r="B73" t="inlineStr">
        <is>
          <t>poutres_ph</t>
        </is>
      </c>
      <c r="C73" t="inlineStr">
        <is>
          <t>6 /A-B N4</t>
        </is>
      </c>
      <c r="D73" t="inlineStr">
        <is>
          <t>LIGNE</t>
        </is>
      </c>
      <c r="E73" t="inlineStr">
        <is>
          <t>présente (réf.)</t>
        </is>
      </c>
      <c r="F73" t="inlineStr">
        <is>
          <t>non reproduite</t>
        </is>
      </c>
      <c r="G73" t="inlineStr"/>
      <c r="H73" t="inlineStr">
        <is>
          <t>du métré de référence — voir rapport</t>
        </is>
      </c>
    </row>
    <row r="74">
      <c r="A74" t="inlineStr">
        <is>
          <t>20</t>
        </is>
      </c>
      <c r="B74" t="inlineStr">
        <is>
          <t>poutres_ph</t>
        </is>
      </c>
      <c r="C74" t="inlineStr">
        <is>
          <t>6 /B-E N3</t>
        </is>
      </c>
      <c r="D74" t="inlineStr">
        <is>
          <t>LIGNE</t>
        </is>
      </c>
      <c r="E74" t="inlineStr">
        <is>
          <t>présente (réf.)</t>
        </is>
      </c>
      <c r="F74" t="inlineStr">
        <is>
          <t>non reproduite</t>
        </is>
      </c>
      <c r="G74" t="inlineStr"/>
      <c r="H74" t="inlineStr">
        <is>
          <t>du métré de référence — voir rapport</t>
        </is>
      </c>
    </row>
    <row r="75">
      <c r="A75" t="inlineStr">
        <is>
          <t>20</t>
        </is>
      </c>
      <c r="B75" t="inlineStr">
        <is>
          <t>poutres_ph</t>
        </is>
      </c>
      <c r="C75" t="inlineStr">
        <is>
          <t>6 /E-G N4</t>
        </is>
      </c>
      <c r="D75" t="inlineStr">
        <is>
          <t>LIGNE</t>
        </is>
      </c>
      <c r="E75" t="inlineStr">
        <is>
          <t>présente (réf.)</t>
        </is>
      </c>
      <c r="F75" t="inlineStr">
        <is>
          <t>non reproduite</t>
        </is>
      </c>
      <c r="G75" t="inlineStr"/>
      <c r="H75" t="inlineStr">
        <is>
          <t>du métré de référence — voir rapport</t>
        </is>
      </c>
    </row>
    <row r="76">
      <c r="A76" t="inlineStr">
        <is>
          <t>20</t>
        </is>
      </c>
      <c r="B76" t="inlineStr">
        <is>
          <t>poutres_ph</t>
        </is>
      </c>
      <c r="C76" t="inlineStr">
        <is>
          <t>7 /A-B N4</t>
        </is>
      </c>
      <c r="D76" t="inlineStr">
        <is>
          <t>LIGNE</t>
        </is>
      </c>
      <c r="E76" t="inlineStr">
        <is>
          <t>présente (réf.)</t>
        </is>
      </c>
      <c r="F76" t="inlineStr">
        <is>
          <t>non reproduite</t>
        </is>
      </c>
      <c r="G76" t="inlineStr"/>
      <c r="H76" t="inlineStr">
        <is>
          <t>du métré de référence — voir rapport</t>
        </is>
      </c>
    </row>
    <row r="77">
      <c r="A77" t="inlineStr">
        <is>
          <t>20</t>
        </is>
      </c>
      <c r="B77" t="inlineStr">
        <is>
          <t>poutres_ph</t>
        </is>
      </c>
      <c r="C77" t="inlineStr">
        <is>
          <t>7 /B-E N3</t>
        </is>
      </c>
      <c r="D77" t="inlineStr">
        <is>
          <t>LIGNE</t>
        </is>
      </c>
      <c r="E77" t="inlineStr">
        <is>
          <t>présente (réf.)</t>
        </is>
      </c>
      <c r="F77" t="inlineStr">
        <is>
          <t>non reproduite</t>
        </is>
      </c>
      <c r="G77" t="inlineStr"/>
      <c r="H77" t="inlineStr">
        <is>
          <t>du métré de référence — voir rapport</t>
        </is>
      </c>
    </row>
    <row r="78">
      <c r="A78" t="inlineStr">
        <is>
          <t>20</t>
        </is>
      </c>
      <c r="B78" t="inlineStr">
        <is>
          <t>poutres_ph</t>
        </is>
      </c>
      <c r="C78" t="inlineStr">
        <is>
          <t>7 /E-G N4</t>
        </is>
      </c>
      <c r="D78" t="inlineStr">
        <is>
          <t>LIGNE</t>
        </is>
      </c>
      <c r="E78" t="inlineStr">
        <is>
          <t>présente (réf.)</t>
        </is>
      </c>
      <c r="F78" t="inlineStr">
        <is>
          <t>non reproduite</t>
        </is>
      </c>
      <c r="G78" t="inlineStr"/>
      <c r="H78" t="inlineStr">
        <is>
          <t>du métré de référence — voir rapport</t>
        </is>
      </c>
    </row>
    <row r="79">
      <c r="A79" t="inlineStr">
        <is>
          <t>20</t>
        </is>
      </c>
      <c r="B79" t="inlineStr">
        <is>
          <t>poutres_ph</t>
        </is>
      </c>
      <c r="C79" t="inlineStr">
        <is>
          <t>8 /A-B N4</t>
        </is>
      </c>
      <c r="D79" t="inlineStr">
        <is>
          <t>LIGNE</t>
        </is>
      </c>
      <c r="E79" t="inlineStr">
        <is>
          <t>présente (réf.)</t>
        </is>
      </c>
      <c r="F79" t="inlineStr">
        <is>
          <t>non reproduite</t>
        </is>
      </c>
      <c r="G79" t="inlineStr"/>
      <c r="H79" t="inlineStr">
        <is>
          <t>du métré de référence — voir rapport</t>
        </is>
      </c>
    </row>
    <row r="80">
      <c r="A80" t="inlineStr">
        <is>
          <t>20</t>
        </is>
      </c>
      <c r="B80" t="inlineStr">
        <is>
          <t>poutres_ph</t>
        </is>
      </c>
      <c r="C80" t="inlineStr">
        <is>
          <t>8 /B-E N3</t>
        </is>
      </c>
      <c r="D80" t="inlineStr">
        <is>
          <t>LIGNE</t>
        </is>
      </c>
      <c r="E80" t="inlineStr">
        <is>
          <t>présente (réf.)</t>
        </is>
      </c>
      <c r="F80" t="inlineStr">
        <is>
          <t>non reproduite</t>
        </is>
      </c>
      <c r="G80" t="inlineStr"/>
      <c r="H80" t="inlineStr">
        <is>
          <t>du métré de référence — voir rapport</t>
        </is>
      </c>
    </row>
    <row r="81">
      <c r="A81" t="inlineStr">
        <is>
          <t>20</t>
        </is>
      </c>
      <c r="B81" t="inlineStr">
        <is>
          <t>poutres_ph</t>
        </is>
      </c>
      <c r="C81" t="inlineStr">
        <is>
          <t>8 /E-G N4</t>
        </is>
      </c>
      <c r="D81" t="inlineStr">
        <is>
          <t>LIGNE</t>
        </is>
      </c>
      <c r="E81" t="inlineStr">
        <is>
          <t>présente (réf.)</t>
        </is>
      </c>
      <c r="F81" t="inlineStr">
        <is>
          <t>non reproduite</t>
        </is>
      </c>
      <c r="G81" t="inlineStr"/>
      <c r="H81" t="inlineStr">
        <is>
          <t>du métré de référence — voir rapport</t>
        </is>
      </c>
    </row>
    <row r="82">
      <c r="A82" t="inlineStr">
        <is>
          <t>20</t>
        </is>
      </c>
      <c r="B82" t="inlineStr">
        <is>
          <t>poutres_ph</t>
        </is>
      </c>
      <c r="C82" t="inlineStr">
        <is>
          <t>D /1-3 BN</t>
        </is>
      </c>
      <c r="D82" t="inlineStr">
        <is>
          <t>LIGNE</t>
        </is>
      </c>
      <c r="E82" t="inlineStr">
        <is>
          <t>présente (réf.)</t>
        </is>
      </c>
      <c r="F82" t="inlineStr">
        <is>
          <t>non reproduite</t>
        </is>
      </c>
      <c r="G82" t="inlineStr"/>
      <c r="H82" t="inlineStr">
        <is>
          <t>du métré de référence — voir rapport</t>
        </is>
      </c>
    </row>
    <row r="83">
      <c r="A83" t="inlineStr">
        <is>
          <t>20</t>
        </is>
      </c>
      <c r="B83" t="inlineStr">
        <is>
          <t>poutres_ph</t>
        </is>
      </c>
      <c r="C83" t="inlineStr">
        <is>
          <t>D /3-5 BN</t>
        </is>
      </c>
      <c r="D83" t="inlineStr">
        <is>
          <t>LIGNE</t>
        </is>
      </c>
      <c r="E83" t="inlineStr">
        <is>
          <t>présente (réf.)</t>
        </is>
      </c>
      <c r="F83" t="inlineStr">
        <is>
          <t>non reproduite</t>
        </is>
      </c>
      <c r="G83" t="inlineStr"/>
      <c r="H83" t="inlineStr">
        <is>
          <t>du métré de référence — voir rapport</t>
        </is>
      </c>
    </row>
    <row r="84">
      <c r="A84" t="inlineStr">
        <is>
          <t>20</t>
        </is>
      </c>
      <c r="B84" t="inlineStr">
        <is>
          <t>poutres_ph</t>
        </is>
      </c>
      <c r="C84" t="inlineStr">
        <is>
          <t>C /5-6 BN</t>
        </is>
      </c>
      <c r="D84" t="inlineStr">
        <is>
          <t>LIGNE</t>
        </is>
      </c>
      <c r="E84" t="inlineStr">
        <is>
          <t>présente (réf.)</t>
        </is>
      </c>
      <c r="F84" t="inlineStr">
        <is>
          <t>non reproduite</t>
        </is>
      </c>
      <c r="G84" t="inlineStr"/>
      <c r="H84" t="inlineStr">
        <is>
          <t>du métré de référence — voir rapport</t>
        </is>
      </c>
    </row>
    <row r="85">
      <c r="A85" t="inlineStr">
        <is>
          <t>20</t>
        </is>
      </c>
      <c r="B85" t="inlineStr">
        <is>
          <t>poutres_ph</t>
        </is>
      </c>
      <c r="C85" t="inlineStr">
        <is>
          <t>E /5-6 BN</t>
        </is>
      </c>
      <c r="D85" t="inlineStr">
        <is>
          <t>LIGNE</t>
        </is>
      </c>
      <c r="E85" t="inlineStr">
        <is>
          <t>présente (réf.)</t>
        </is>
      </c>
      <c r="F85" t="inlineStr">
        <is>
          <t>non reproduite</t>
        </is>
      </c>
      <c r="G85" t="inlineStr"/>
      <c r="H85" t="inlineStr">
        <is>
          <t>du métré de référence — voir rapport</t>
        </is>
      </c>
    </row>
    <row r="86">
      <c r="A86" t="inlineStr">
        <is>
          <t>20</t>
        </is>
      </c>
      <c r="B86" t="inlineStr">
        <is>
          <t>poutres_ph</t>
        </is>
      </c>
      <c r="C86" t="inlineStr">
        <is>
          <t>C /6-7 BN</t>
        </is>
      </c>
      <c r="D86" t="inlineStr">
        <is>
          <t>LIGNE</t>
        </is>
      </c>
      <c r="E86" t="inlineStr">
        <is>
          <t>présente (réf.)</t>
        </is>
      </c>
      <c r="F86" t="inlineStr">
        <is>
          <t>non reproduite</t>
        </is>
      </c>
      <c r="G86" t="inlineStr"/>
      <c r="H86" t="inlineStr">
        <is>
          <t>du métré de référence — voir rapport</t>
        </is>
      </c>
    </row>
    <row r="87">
      <c r="A87" t="inlineStr">
        <is>
          <t>20</t>
        </is>
      </c>
      <c r="B87" t="inlineStr">
        <is>
          <t>poutres_ph</t>
        </is>
      </c>
      <c r="C87" t="inlineStr">
        <is>
          <t>E /6-7 BN</t>
        </is>
      </c>
      <c r="D87" t="inlineStr">
        <is>
          <t>LIGNE</t>
        </is>
      </c>
      <c r="E87" t="inlineStr">
        <is>
          <t>présente (réf.)</t>
        </is>
      </c>
      <c r="F87" t="inlineStr">
        <is>
          <t>non reproduite</t>
        </is>
      </c>
      <c r="G87" t="inlineStr"/>
      <c r="H87" t="inlineStr">
        <is>
          <t>du métré de référence — voir rapport</t>
        </is>
      </c>
    </row>
    <row r="88">
      <c r="A88" t="inlineStr">
        <is>
          <t>20</t>
        </is>
      </c>
      <c r="B88" t="inlineStr">
        <is>
          <t>poutres_ph</t>
        </is>
      </c>
      <c r="C88" t="inlineStr">
        <is>
          <t>C /7-8 BN</t>
        </is>
      </c>
      <c r="D88" t="inlineStr">
        <is>
          <t>LIGNE</t>
        </is>
      </c>
      <c r="E88" t="inlineStr">
        <is>
          <t>présente (réf.)</t>
        </is>
      </c>
      <c r="F88" t="inlineStr">
        <is>
          <t>non reproduite</t>
        </is>
      </c>
      <c r="G88" t="inlineStr"/>
      <c r="H88" t="inlineStr">
        <is>
          <t>du métré de référence — voir rapport</t>
        </is>
      </c>
    </row>
    <row r="89">
      <c r="A89" t="inlineStr">
        <is>
          <t>20</t>
        </is>
      </c>
      <c r="B89" t="inlineStr">
        <is>
          <t>poutres_ph</t>
        </is>
      </c>
      <c r="C89" t="inlineStr">
        <is>
          <t>E /7-8 BN</t>
        </is>
      </c>
      <c r="D89" t="inlineStr">
        <is>
          <t>LIGNE</t>
        </is>
      </c>
      <c r="E89" t="inlineStr">
        <is>
          <t>présente (réf.)</t>
        </is>
      </c>
      <c r="F89" t="inlineStr">
        <is>
          <t>non reproduite</t>
        </is>
      </c>
      <c r="G89" t="inlineStr"/>
      <c r="H89" t="inlineStr">
        <is>
          <t>du métré de référence — voir rapport</t>
        </is>
      </c>
    </row>
    <row r="90">
      <c r="A90" t="inlineStr">
        <is>
          <t>19</t>
        </is>
      </c>
      <c r="B90" t="inlineStr">
        <is>
          <t>forme</t>
        </is>
      </c>
      <c r="C90" t="inlineStr">
        <is>
          <t>A-G /5-8</t>
        </is>
      </c>
      <c r="D90" t="inlineStr">
        <is>
          <t>largeur</t>
        </is>
      </c>
      <c r="E90" t="n">
        <v>10.81</v>
      </c>
      <c r="F90" t="n">
        <v>10.09</v>
      </c>
      <c r="G90" t="n">
        <v>-0.72</v>
      </c>
      <c r="H90" t="inlineStr"/>
    </row>
    <row r="91">
      <c r="A91" t="inlineStr">
        <is>
          <t>19</t>
        </is>
      </c>
      <c r="B91" t="inlineStr">
        <is>
          <t>forme</t>
        </is>
      </c>
      <c r="C91" t="inlineStr">
        <is>
          <t>A-G /5-8</t>
        </is>
      </c>
      <c r="D91" t="inlineStr">
        <is>
          <t>Qté</t>
        </is>
      </c>
      <c r="E91" t="n">
        <v>16.906</v>
      </c>
      <c r="F91" t="n">
        <v>15.78</v>
      </c>
      <c r="G91" t="n">
        <v>-1.126</v>
      </c>
      <c r="H91" t="inlineStr"/>
    </row>
    <row r="92">
      <c r="A92" t="inlineStr">
        <is>
          <t>19</t>
        </is>
      </c>
      <c r="B92" t="inlineStr">
        <is>
          <t>forme</t>
        </is>
      </c>
      <c r="C92" t="inlineStr">
        <is>
          <t>A-G /1-5</t>
        </is>
      </c>
      <c r="D92" t="inlineStr">
        <is>
          <t>Longueur</t>
        </is>
      </c>
      <c r="E92" t="n">
        <v>12.05</v>
      </c>
      <c r="F92" t="n">
        <v>12.11</v>
      </c>
      <c r="G92" t="n">
        <v>0.06</v>
      </c>
      <c r="H92" t="inlineStr"/>
    </row>
    <row r="93">
      <c r="A93" t="inlineStr">
        <is>
          <t>19</t>
        </is>
      </c>
      <c r="B93" t="inlineStr">
        <is>
          <t>forme</t>
        </is>
      </c>
      <c r="C93" t="inlineStr">
        <is>
          <t>A-G /1-5</t>
        </is>
      </c>
      <c r="D93" t="inlineStr">
        <is>
          <t>largeur</t>
        </is>
      </c>
      <c r="E93" t="n">
        <v>10.81</v>
      </c>
      <c r="F93" t="n">
        <v>10.09</v>
      </c>
      <c r="G93" t="n">
        <v>-0.72</v>
      </c>
      <c r="H93" t="inlineStr"/>
    </row>
    <row r="94">
      <c r="A94" t="inlineStr">
        <is>
          <t>19</t>
        </is>
      </c>
      <c r="B94" t="inlineStr">
        <is>
          <t>forme</t>
        </is>
      </c>
      <c r="C94" t="inlineStr">
        <is>
          <t>A-G /1-5</t>
        </is>
      </c>
      <c r="D94" t="inlineStr">
        <is>
          <t>Qté</t>
        </is>
      </c>
      <c r="E94" t="n">
        <v>26.052</v>
      </c>
      <c r="F94" t="n">
        <v>24.438</v>
      </c>
      <c r="G94" t="n">
        <v>-1.614</v>
      </c>
      <c r="H94" t="inlineStr"/>
    </row>
    <row r="96">
      <c r="A96" s="1" t="inlineStr">
        <is>
          <t>Totaux par poste (m³ / unités)</t>
        </is>
      </c>
    </row>
    <row r="97">
      <c r="A97" s="1" t="inlineStr">
        <is>
          <t>Poste</t>
        </is>
      </c>
      <c r="E97" s="1" t="inlineStr">
        <is>
          <t>Référence</t>
        </is>
      </c>
      <c r="F97" s="1" t="inlineStr">
        <is>
          <t>Généré</t>
        </is>
      </c>
      <c r="G97" s="1" t="inlineStr">
        <is>
          <t>Écart</t>
        </is>
      </c>
    </row>
    <row r="98">
      <c r="A98" t="inlineStr">
        <is>
          <t>15</t>
        </is>
      </c>
      <c r="E98" t="inlineStr">
        <is>
          <t>—</t>
        </is>
      </c>
      <c r="F98" t="n">
        <v>7.89</v>
      </c>
    </row>
    <row r="99">
      <c r="A99" t="inlineStr">
        <is>
          <t>16</t>
        </is>
      </c>
      <c r="E99" t="inlineStr">
        <is>
          <t>—</t>
        </is>
      </c>
      <c r="F99" t="n">
        <v>23.84</v>
      </c>
    </row>
    <row r="100">
      <c r="A100" t="inlineStr">
        <is>
          <t>17</t>
        </is>
      </c>
      <c r="E100" t="inlineStr">
        <is>
          <t>—</t>
        </is>
      </c>
      <c r="F100" t="n">
        <v>37.79</v>
      </c>
    </row>
    <row r="101">
      <c r="A101" t="inlineStr">
        <is>
          <t>19</t>
        </is>
      </c>
      <c r="E101" t="inlineStr">
        <is>
          <t>—</t>
        </is>
      </c>
      <c r="F101" t="n">
        <v>40.22</v>
      </c>
    </row>
    <row r="102">
      <c r="A102" t="inlineStr">
        <is>
          <t>20</t>
        </is>
      </c>
      <c r="E102" t="n">
        <v>0.38</v>
      </c>
      <c r="F102" t="n">
        <v>70.11</v>
      </c>
      <c r="G102" t="n">
        <v>69.73999999999999</v>
      </c>
    </row>
    <row r="103">
      <c r="A103" t="inlineStr">
        <is>
          <t>3</t>
        </is>
      </c>
      <c r="E103" t="inlineStr">
        <is>
          <t>—</t>
        </is>
      </c>
      <c r="F103" t="n">
        <v>222.85</v>
      </c>
    </row>
    <row r="104">
      <c r="A104" t="inlineStr">
        <is>
          <t>7</t>
        </is>
      </c>
      <c r="E104" t="inlineStr">
        <is>
          <t>—</t>
        </is>
      </c>
      <c r="F104" t="n">
        <v>162.97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2026-09-04T00:26:58Z</dcterms:created>
  <dcterms:modified xmlns:dcterms="http://purl.org/dc/terms/" xmlns:xsi="http://www.w3.org/2001/XMLSchema-instance" xsi:type="dcterms:W3CDTF">2026-09-04T00:26:58Z</dcterms:modified>
</cp:coreProperties>
</file>