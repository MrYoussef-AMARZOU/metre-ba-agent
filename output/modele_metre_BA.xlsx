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etail_Quantitatif" sheetId="1" state="visible" r:id="rId1"/>
    <sheet name="02_Armatures" sheetId="2" state="visible" r:id="rId2"/>
    <sheet name="03_Attachement_Ferraillage" sheetId="3" state="visible" r:id="rId3"/>
    <sheet name="04_GO_Attachement" sheetId="4" state="visible" r:id="rId4"/>
    <sheet name="05_Catalogue_Armatures_Stand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i val="1"/>
      <color rgb="000000AA"/>
      <sz val="10"/>
    </font>
    <font>
      <name val="Segoe UI"/>
      <b val="1"/>
      <color rgb="000F172A"/>
      <sz val="10"/>
    </font>
    <font>
      <name val="Segoe UI"/>
      <i val="1"/>
      <color rgb="00FFFFFF"/>
      <sz val="10"/>
    </font>
    <font>
      <name val="Segoe UI"/>
      <b val="1"/>
      <color rgb="001B365D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2E5B88"/>
        <bgColor rgb="002E5B88"/>
      </patternFill>
    </fill>
    <fill>
      <patternFill patternType="solid">
        <fgColor rgb="00F0F4F8"/>
        <bgColor rgb="00F0F4F8"/>
      </patternFill>
    </fill>
    <fill>
      <patternFill patternType="solid">
        <fgColor rgb="000D9488"/>
        <bgColor rgb="000D9488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0" fontId="7" fillId="4" borderId="1" pivotButton="0" quotePrefix="0" xfId="0"/>
    <xf numFmtId="0" fontId="4" fillId="6" borderId="2" pivotButton="0" quotePrefix="0" xfId="0"/>
    <xf numFmtId="0" fontId="0" fillId="6" borderId="2" pivotButton="0" quotePrefix="0" xfId="0"/>
    <xf numFmtId="0" fontId="6" fillId="6" borderId="2" pivotButton="0" quotePrefix="0" xfId="0"/>
    <xf numFmtId="49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4" fontId="6" fillId="5" borderId="1" pivotButton="0" quotePrefix="0" xfId="0"/>
    <xf numFmtId="3" fontId="6" fillId="5" borderId="1" pivotButton="0" quotePrefix="0" xfId="0"/>
    <xf numFmtId="0" fontId="7" fillId="6" borderId="2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pivotButton="0" quotePrefix="0" xfId="0"/>
    <xf numFmtId="4" fontId="0" fillId="3" borderId="1" pivotButton="0" quotePrefix="0" xfId="0"/>
    <xf numFmtId="0" fontId="7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3" borderId="1" pivotButton="0" quotePrefix="0" xfId="0"/>
    <xf numFmtId="4" fontId="5" fillId="5" borderId="1" pivotButton="0" quotePrefix="0" xfId="0"/>
    <xf numFmtId="4" fontId="5" fillId="0" borderId="1" pivotButton="0" quotePrefix="0" xfId="0"/>
    <xf numFmtId="164" fontId="5" fillId="0" borderId="1" pivotButton="0" quotePrefix="0" xfId="0"/>
    <xf numFmtId="3" fontId="5" fillId="5" borderId="1" pivotButton="0" quotePrefix="0" xfId="0"/>
    <xf numFmtId="0" fontId="0" fillId="0" borderId="6" pivotButton="0" quotePrefix="0" xfId="0"/>
    <xf numFmtId="0" fontId="0" fillId="0" borderId="5" pivotButton="0" quotePrefix="0" xfId="0"/>
    <xf numFmtId="164" fontId="5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42" customWidth="1" min="4" max="4"/>
    <col width="6" customWidth="1" min="5" max="5"/>
    <col width="6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DÉTAIL QUANTITATIF ESTIMATIF — GROS ŒUVRES</t>
        </is>
      </c>
    </row>
    <row r="2">
      <c r="A2" s="2" t="inlineStr">
        <is>
          <t>N° Marché :</t>
        </is>
      </c>
      <c r="B2" s="3" t="n"/>
      <c r="C2" s="34" t="n"/>
      <c r="D2" s="2" t="inlineStr">
        <is>
          <t>Projet :</t>
        </is>
      </c>
      <c r="E2" s="3" t="n"/>
      <c r="F2" s="35" t="n"/>
      <c r="G2" s="34" t="n"/>
      <c r="H2" s="2" t="inlineStr">
        <is>
          <t>Bâtiment :</t>
        </is>
      </c>
      <c r="I2" s="3" t="n"/>
      <c r="J2" s="35" t="n"/>
      <c r="K2" s="34" t="n"/>
    </row>
    <row r="3">
      <c r="A3" s="2" t="inlineStr">
        <is>
          <t>Date :</t>
        </is>
      </c>
      <c r="B3" s="3" t="n"/>
      <c r="C3" s="34" t="n"/>
      <c r="D3" s="2" t="inlineStr">
        <is>
          <t>Établi par :</t>
        </is>
      </c>
      <c r="E3" s="3" t="n"/>
      <c r="F3" s="35" t="n"/>
      <c r="G3" s="34" t="n"/>
      <c r="H3" s="2" t="inlineStr">
        <is>
          <t>Vérifié par :</t>
        </is>
      </c>
      <c r="I3" s="3" t="n"/>
      <c r="J3" s="35" t="n"/>
      <c r="K3" s="34" t="n"/>
    </row>
    <row r="5">
      <c r="A5" s="1" t="inlineStr">
        <is>
          <t>DÉTAIL QUANTITATIF — FONDATIONS &amp; ÉLÉVATION</t>
        </is>
      </c>
    </row>
    <row r="6">
      <c r="A6" s="4" t="inlineStr">
        <is>
          <t>N°</t>
        </is>
      </c>
      <c r="B6" s="4" t="inlineStr">
        <is>
          <t>Axe</t>
        </is>
      </c>
      <c r="C6" s="4" t="inlineStr">
        <is>
          <t>File</t>
        </is>
      </c>
      <c r="D6" s="4" t="inlineStr">
        <is>
          <t>Désignation des Ouvrages</t>
        </is>
      </c>
      <c r="E6" s="4" t="inlineStr">
        <is>
          <t>U</t>
        </is>
      </c>
      <c r="F6" s="4" t="inlineStr">
        <is>
          <t>N</t>
        </is>
      </c>
      <c r="G6" s="4" t="inlineStr">
        <is>
          <t>Longueur (m)</t>
        </is>
      </c>
      <c r="H6" s="4" t="inlineStr">
        <is>
          <t>Largeur (m)</t>
        </is>
      </c>
      <c r="I6" s="4" t="inlineStr">
        <is>
          <t>Hauteur (m)</t>
        </is>
      </c>
      <c r="J6" s="4" t="inlineStr">
        <is>
          <t>Qté Partielle</t>
        </is>
      </c>
      <c r="K6" s="4" t="inlineStr">
        <is>
          <t>Qté Totale</t>
        </is>
      </c>
    </row>
    <row r="7">
      <c r="A7" s="5" t="n">
        <v>1</v>
      </c>
      <c r="B7" s="5" t="n"/>
      <c r="C7" s="5" t="n"/>
      <c r="D7" s="5" t="inlineStr">
        <is>
          <t>Terrassement en fouilles / Fouilles en pleine masse</t>
        </is>
      </c>
      <c r="E7" s="5" t="n"/>
      <c r="F7" s="5" t="n"/>
      <c r="G7" s="5" t="n"/>
      <c r="H7" s="5" t="n"/>
      <c r="I7" s="5" t="n"/>
      <c r="J7" s="5" t="n"/>
      <c r="K7" s="5" t="n"/>
    </row>
    <row r="8">
      <c r="A8" s="6" t="n"/>
      <c r="B8" s="6" t="inlineStr">
        <is>
          <t>Axe</t>
        </is>
      </c>
      <c r="C8" s="6" t="inlineStr">
        <is>
          <t>File</t>
        </is>
      </c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n"/>
      <c r="B9" s="7" t="n"/>
      <c r="C9" s="7" t="n"/>
      <c r="D9" s="8" t="n"/>
      <c r="E9" s="7" t="n"/>
      <c r="F9" s="9" t="n"/>
      <c r="G9" s="10" t="n"/>
      <c r="H9" s="10" t="n"/>
      <c r="I9" s="10" t="n"/>
      <c r="J9" s="11">
        <f>IF(COUNTA(G9:I9)&gt;0,F9*PRODUCT(G9:I9),F9)</f>
        <v/>
      </c>
      <c r="K9" s="10" t="n"/>
    </row>
    <row r="10">
      <c r="A10" s="7" t="n"/>
      <c r="B10" s="7" t="n"/>
      <c r="C10" s="7" t="n"/>
      <c r="D10" s="8" t="n"/>
      <c r="E10" s="7" t="n"/>
      <c r="F10" s="9" t="n"/>
      <c r="G10" s="10" t="n"/>
      <c r="H10" s="10" t="n"/>
      <c r="I10" s="10" t="n"/>
      <c r="J10" s="11">
        <f>IF(COUNTA(G10:I10)&gt;0,F10*PRODUCT(G10:I10),F10)</f>
        <v/>
      </c>
      <c r="K10" s="10" t="n"/>
    </row>
    <row r="11">
      <c r="A11" s="7" t="n"/>
      <c r="B11" s="7" t="n"/>
      <c r="C11" s="7" t="n"/>
      <c r="D11" s="8" t="n"/>
      <c r="E11" s="7" t="n"/>
      <c r="F11" s="9" t="n"/>
      <c r="G11" s="10" t="n"/>
      <c r="H11" s="10" t="n"/>
      <c r="I11" s="10" t="n"/>
      <c r="J11" s="11">
        <f>IF(COUNTA(G11:I11)&gt;0,F11*PRODUCT(G11:I11),F11)</f>
        <v/>
      </c>
      <c r="K11" s="10" t="n"/>
    </row>
    <row r="12">
      <c r="A12" s="7" t="n"/>
      <c r="B12" s="7" t="n"/>
      <c r="C12" s="7" t="n"/>
      <c r="D12" s="8" t="n"/>
      <c r="E12" s="7" t="n"/>
      <c r="F12" s="9" t="n"/>
      <c r="G12" s="10" t="n"/>
      <c r="H12" s="10" t="n"/>
      <c r="I12" s="10" t="n"/>
      <c r="J12" s="11">
        <f>IF(COUNTA(G12:I12)&gt;0,F12*PRODUCT(G12:I12),F12)</f>
        <v/>
      </c>
      <c r="K12" s="10" t="n"/>
    </row>
    <row r="13">
      <c r="A13" s="7" t="n"/>
      <c r="B13" s="7" t="n"/>
      <c r="C13" s="7" t="n"/>
      <c r="D13" s="8" t="n"/>
      <c r="E13" s="7" t="n"/>
      <c r="F13" s="9" t="n"/>
      <c r="G13" s="10" t="n"/>
      <c r="H13" s="10" t="n"/>
      <c r="I13" s="10" t="n"/>
      <c r="J13" s="11">
        <f>IF(COUNTA(G13:I13)&gt;0,F13*PRODUCT(G13:I13),F13)</f>
        <v/>
      </c>
      <c r="K13" s="10" t="n"/>
    </row>
    <row r="14">
      <c r="A14" s="7" t="n"/>
      <c r="B14" s="7" t="n"/>
      <c r="C14" s="7" t="n"/>
      <c r="D14" s="8" t="n"/>
      <c r="E14" s="7" t="n"/>
      <c r="F14" s="9" t="n"/>
      <c r="G14" s="10" t="n"/>
      <c r="H14" s="10" t="n"/>
      <c r="I14" s="10" t="n"/>
      <c r="J14" s="11">
        <f>IF(COUNTA(G14:I14)&gt;0,F14*PRODUCT(G14:I14),F14)</f>
        <v/>
      </c>
      <c r="K14" s="10" t="n"/>
    </row>
    <row r="15">
      <c r="A15" s="7" t="n"/>
      <c r="B15" s="7" t="n"/>
      <c r="C15" s="7" t="n"/>
      <c r="D15" s="8" t="n"/>
      <c r="E15" s="7" t="n"/>
      <c r="F15" s="9" t="n"/>
      <c r="G15" s="10" t="n"/>
      <c r="H15" s="10" t="n"/>
      <c r="I15" s="10" t="n"/>
      <c r="J15" s="11">
        <f>IF(COUNTA(G15:I15)&gt;0,F15*PRODUCT(G15:I15),F15)</f>
        <v/>
      </c>
      <c r="K15" s="10" t="n"/>
    </row>
    <row r="16">
      <c r="A16" s="7" t="n"/>
      <c r="B16" s="7" t="n"/>
      <c r="C16" s="7" t="n"/>
      <c r="D16" s="8" t="n"/>
      <c r="E16" s="7" t="n"/>
      <c r="F16" s="9" t="n"/>
      <c r="G16" s="10" t="n"/>
      <c r="H16" s="10" t="n"/>
      <c r="I16" s="10" t="n"/>
      <c r="J16" s="11">
        <f>IF(COUNTA(G16:I16)&gt;0,F16*PRODUCT(G16:I16),F16)</f>
        <v/>
      </c>
      <c r="K16" s="10" t="n"/>
    </row>
    <row r="17">
      <c r="A17" s="12" t="inlineStr">
        <is>
          <t>Ss-total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>
        <f>SUM(J9:J16)</f>
        <v/>
      </c>
      <c r="K17" s="12">
        <f>SUM(J9:J16)</f>
        <v/>
      </c>
    </row>
    <row r="19">
      <c r="A19" s="5" t="n">
        <v>2</v>
      </c>
      <c r="B19" s="5" t="n"/>
      <c r="C19" s="5" t="n"/>
      <c r="D19" s="5" t="inlineStr">
        <is>
          <t>Béton de propreté dosé à 150 kg/m³</t>
        </is>
      </c>
      <c r="E19" s="5" t="n"/>
      <c r="F19" s="5" t="n"/>
      <c r="G19" s="5" t="n"/>
      <c r="H19" s="5" t="n"/>
      <c r="I19" s="5" t="n"/>
      <c r="J19" s="5" t="n"/>
      <c r="K19" s="5" t="n"/>
    </row>
    <row r="20">
      <c r="A20" s="6" t="n"/>
      <c r="B20" s="6" t="inlineStr">
        <is>
          <t>Axe</t>
        </is>
      </c>
      <c r="C20" s="6" t="inlineStr">
        <is>
          <t>File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7" t="n"/>
      <c r="B21" s="7" t="n"/>
      <c r="C21" s="7" t="n"/>
      <c r="D21" s="8" t="n"/>
      <c r="E21" s="7" t="n"/>
      <c r="F21" s="9" t="n"/>
      <c r="G21" s="10" t="n"/>
      <c r="H21" s="10" t="n"/>
      <c r="I21" s="10" t="n"/>
      <c r="J21" s="11">
        <f>IF(COUNTA(G21:I21)&gt;0,F21*PRODUCT(G21:I21),F21)</f>
        <v/>
      </c>
      <c r="K21" s="10" t="n"/>
    </row>
    <row r="22">
      <c r="A22" s="7" t="n"/>
      <c r="B22" s="7" t="n"/>
      <c r="C22" s="7" t="n"/>
      <c r="D22" s="8" t="n"/>
      <c r="E22" s="7" t="n"/>
      <c r="F22" s="9" t="n"/>
      <c r="G22" s="10" t="n"/>
      <c r="H22" s="10" t="n"/>
      <c r="I22" s="10" t="n"/>
      <c r="J22" s="11">
        <f>IF(COUNTA(G22:I22)&gt;0,F22*PRODUCT(G22:I22),F22)</f>
        <v/>
      </c>
      <c r="K22" s="10" t="n"/>
    </row>
    <row r="23">
      <c r="A23" s="7" t="n"/>
      <c r="B23" s="7" t="n"/>
      <c r="C23" s="7" t="n"/>
      <c r="D23" s="8" t="n"/>
      <c r="E23" s="7" t="n"/>
      <c r="F23" s="9" t="n"/>
      <c r="G23" s="10" t="n"/>
      <c r="H23" s="10" t="n"/>
      <c r="I23" s="10" t="n"/>
      <c r="J23" s="11">
        <f>IF(COUNTA(G23:I23)&gt;0,F23*PRODUCT(G23:I23),F23)</f>
        <v/>
      </c>
      <c r="K23" s="10" t="n"/>
    </row>
    <row r="24">
      <c r="A24" s="7" t="n"/>
      <c r="B24" s="7" t="n"/>
      <c r="C24" s="7" t="n"/>
      <c r="D24" s="8" t="n"/>
      <c r="E24" s="7" t="n"/>
      <c r="F24" s="9" t="n"/>
      <c r="G24" s="10" t="n"/>
      <c r="H24" s="10" t="n"/>
      <c r="I24" s="10" t="n"/>
      <c r="J24" s="11">
        <f>IF(COUNTA(G24:I24)&gt;0,F24*PRODUCT(G24:I24),F24)</f>
        <v/>
      </c>
      <c r="K24" s="10" t="n"/>
    </row>
    <row r="25">
      <c r="A25" s="7" t="n"/>
      <c r="B25" s="7" t="n"/>
      <c r="C25" s="7" t="n"/>
      <c r="D25" s="8" t="n"/>
      <c r="E25" s="7" t="n"/>
      <c r="F25" s="9" t="n"/>
      <c r="G25" s="10" t="n"/>
      <c r="H25" s="10" t="n"/>
      <c r="I25" s="10" t="n"/>
      <c r="J25" s="11">
        <f>IF(COUNTA(G25:I25)&gt;0,F25*PRODUCT(G25:I25),F25)</f>
        <v/>
      </c>
      <c r="K25" s="10" t="n"/>
    </row>
    <row r="26">
      <c r="A26" s="7" t="n"/>
      <c r="B26" s="7" t="n"/>
      <c r="C26" s="7" t="n"/>
      <c r="D26" s="8" t="n"/>
      <c r="E26" s="7" t="n"/>
      <c r="F26" s="9" t="n"/>
      <c r="G26" s="10" t="n"/>
      <c r="H26" s="10" t="n"/>
      <c r="I26" s="10" t="n"/>
      <c r="J26" s="11">
        <f>IF(COUNTA(G26:I26)&gt;0,F26*PRODUCT(G26:I26),F26)</f>
        <v/>
      </c>
      <c r="K26" s="10" t="n"/>
    </row>
    <row r="27">
      <c r="A27" s="7" t="n"/>
      <c r="B27" s="7" t="n"/>
      <c r="C27" s="7" t="n"/>
      <c r="D27" s="8" t="n"/>
      <c r="E27" s="7" t="n"/>
      <c r="F27" s="9" t="n"/>
      <c r="G27" s="10" t="n"/>
      <c r="H27" s="10" t="n"/>
      <c r="I27" s="10" t="n"/>
      <c r="J27" s="11">
        <f>IF(COUNTA(G27:I27)&gt;0,F27*PRODUCT(G27:I27),F27)</f>
        <v/>
      </c>
      <c r="K27" s="10" t="n"/>
    </row>
    <row r="28">
      <c r="A28" s="7" t="n"/>
      <c r="B28" s="7" t="n"/>
      <c r="C28" s="7" t="n"/>
      <c r="D28" s="8" t="n"/>
      <c r="E28" s="7" t="n"/>
      <c r="F28" s="9" t="n"/>
      <c r="G28" s="10" t="n"/>
      <c r="H28" s="10" t="n"/>
      <c r="I28" s="10" t="n"/>
      <c r="J28" s="11">
        <f>IF(COUNTA(G28:I28)&gt;0,F28*PRODUCT(G28:I28),F28)</f>
        <v/>
      </c>
      <c r="K28" s="10" t="n"/>
    </row>
    <row r="29">
      <c r="A29" s="12" t="inlineStr">
        <is>
          <t>Ss-total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>
        <f>SUM(J21:J28)</f>
        <v/>
      </c>
      <c r="K29" s="12">
        <f>SUM(J21:J28)</f>
        <v/>
      </c>
    </row>
    <row r="31">
      <c r="A31" s="5" t="n">
        <v>3</v>
      </c>
      <c r="B31" s="5" t="n"/>
      <c r="C31" s="5" t="n"/>
      <c r="D31" s="5" t="inlineStr">
        <is>
          <t>Béton armé en fondation et en élévation dosé à 350 kg/m³</t>
        </is>
      </c>
      <c r="E31" s="5" t="n"/>
      <c r="F31" s="5" t="n"/>
      <c r="G31" s="5" t="n"/>
      <c r="H31" s="5" t="n"/>
      <c r="I31" s="5" t="n"/>
      <c r="J31" s="5" t="n"/>
      <c r="K31" s="5" t="n"/>
    </row>
    <row r="32">
      <c r="A32" s="6" t="n"/>
      <c r="B32" s="6" t="inlineStr">
        <is>
          <t>Axe</t>
        </is>
      </c>
      <c r="C32" s="6" t="inlineStr">
        <is>
          <t>File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7" t="n"/>
      <c r="B33" s="7" t="n"/>
      <c r="C33" s="7" t="n"/>
      <c r="D33" s="8" t="n"/>
      <c r="E33" s="7" t="n"/>
      <c r="F33" s="9" t="n"/>
      <c r="G33" s="10" t="n"/>
      <c r="H33" s="10" t="n"/>
      <c r="I33" s="10" t="n"/>
      <c r="J33" s="11">
        <f>IF(COUNTA(G33:I33)&gt;0,F33*PRODUCT(G33:I33),F33)</f>
        <v/>
      </c>
      <c r="K33" s="10" t="n"/>
    </row>
    <row r="34">
      <c r="A34" s="7" t="n"/>
      <c r="B34" s="7" t="n"/>
      <c r="C34" s="7" t="n"/>
      <c r="D34" s="8" t="n"/>
      <c r="E34" s="7" t="n"/>
      <c r="F34" s="9" t="n"/>
      <c r="G34" s="10" t="n"/>
      <c r="H34" s="10" t="n"/>
      <c r="I34" s="10" t="n"/>
      <c r="J34" s="11">
        <f>IF(COUNTA(G34:I34)&gt;0,F34*PRODUCT(G34:I34),F34)</f>
        <v/>
      </c>
      <c r="K34" s="10" t="n"/>
    </row>
    <row r="35">
      <c r="A35" s="7" t="n"/>
      <c r="B35" s="7" t="n"/>
      <c r="C35" s="7" t="n"/>
      <c r="D35" s="8" t="n"/>
      <c r="E35" s="7" t="n"/>
      <c r="F35" s="9" t="n"/>
      <c r="G35" s="10" t="n"/>
      <c r="H35" s="10" t="n"/>
      <c r="I35" s="10" t="n"/>
      <c r="J35" s="11">
        <f>IF(COUNTA(G35:I35)&gt;0,F35*PRODUCT(G35:I35),F35)</f>
        <v/>
      </c>
      <c r="K35" s="10" t="n"/>
    </row>
    <row r="36">
      <c r="A36" s="7" t="n"/>
      <c r="B36" s="7" t="n"/>
      <c r="C36" s="7" t="n"/>
      <c r="D36" s="8" t="n"/>
      <c r="E36" s="7" t="n"/>
      <c r="F36" s="9" t="n"/>
      <c r="G36" s="10" t="n"/>
      <c r="H36" s="10" t="n"/>
      <c r="I36" s="10" t="n"/>
      <c r="J36" s="11">
        <f>IF(COUNTA(G36:I36)&gt;0,F36*PRODUCT(G36:I36),F36)</f>
        <v/>
      </c>
      <c r="K36" s="10" t="n"/>
    </row>
    <row r="37">
      <c r="A37" s="7" t="n"/>
      <c r="B37" s="7" t="n"/>
      <c r="C37" s="7" t="n"/>
      <c r="D37" s="8" t="n"/>
      <c r="E37" s="7" t="n"/>
      <c r="F37" s="9" t="n"/>
      <c r="G37" s="10" t="n"/>
      <c r="H37" s="10" t="n"/>
      <c r="I37" s="10" t="n"/>
      <c r="J37" s="11">
        <f>IF(COUNTA(G37:I37)&gt;0,F37*PRODUCT(G37:I37),F37)</f>
        <v/>
      </c>
      <c r="K37" s="10" t="n"/>
    </row>
    <row r="38">
      <c r="A38" s="7" t="n"/>
      <c r="B38" s="7" t="n"/>
      <c r="C38" s="7" t="n"/>
      <c r="D38" s="8" t="n"/>
      <c r="E38" s="7" t="n"/>
      <c r="F38" s="9" t="n"/>
      <c r="G38" s="10" t="n"/>
      <c r="H38" s="10" t="n"/>
      <c r="I38" s="10" t="n"/>
      <c r="J38" s="11">
        <f>IF(COUNTA(G38:I38)&gt;0,F38*PRODUCT(G38:I38),F38)</f>
        <v/>
      </c>
      <c r="K38" s="10" t="n"/>
    </row>
    <row r="39">
      <c r="A39" s="7" t="n"/>
      <c r="B39" s="7" t="n"/>
      <c r="C39" s="7" t="n"/>
      <c r="D39" s="8" t="n"/>
      <c r="E39" s="7" t="n"/>
      <c r="F39" s="9" t="n"/>
      <c r="G39" s="10" t="n"/>
      <c r="H39" s="10" t="n"/>
      <c r="I39" s="10" t="n"/>
      <c r="J39" s="11">
        <f>IF(COUNTA(G39:I39)&gt;0,F39*PRODUCT(G39:I39),F39)</f>
        <v/>
      </c>
      <c r="K39" s="10" t="n"/>
    </row>
    <row r="40">
      <c r="A40" s="7" t="n"/>
      <c r="B40" s="7" t="n"/>
      <c r="C40" s="7" t="n"/>
      <c r="D40" s="8" t="n"/>
      <c r="E40" s="7" t="n"/>
      <c r="F40" s="9" t="n"/>
      <c r="G40" s="10" t="n"/>
      <c r="H40" s="10" t="n"/>
      <c r="I40" s="10" t="n"/>
      <c r="J40" s="11">
        <f>IF(COUNTA(G40:I40)&gt;0,F40*PRODUCT(G40:I40),F40)</f>
        <v/>
      </c>
      <c r="K40" s="10" t="n"/>
    </row>
    <row r="41">
      <c r="A41" s="12" t="inlineStr">
        <is>
          <t>Ss-total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>
        <f>SUM(J33:J40)</f>
        <v/>
      </c>
      <c r="K41" s="12">
        <f>SUM(J33:J40)</f>
        <v/>
      </c>
    </row>
    <row r="42">
      <c r="A42" s="13" t="inlineStr">
        <is>
          <t>TOTAL GÉNÉRAL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5">
        <f>J17+J29+J41</f>
        <v/>
      </c>
      <c r="K42" s="15">
        <f>K17+K29+K41</f>
        <v/>
      </c>
    </row>
  </sheetData>
  <mergeCells count="8">
    <mergeCell ref="E2:G2"/>
    <mergeCell ref="B2:C2"/>
    <mergeCell ref="I2:K2"/>
    <mergeCell ref="B3:C3"/>
    <mergeCell ref="E3:G3"/>
    <mergeCell ref="A5:K5"/>
    <mergeCell ref="I3:K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NOMENCLATURE ET DÉCORTICAGE DÉTAILLÉ DES ARMATURES</t>
        </is>
      </c>
    </row>
    <row r="2">
      <c r="A2" s="2" t="inlineStr">
        <is>
          <t>Projet :</t>
        </is>
      </c>
      <c r="B2" s="3" t="n"/>
      <c r="C2" s="35" t="n"/>
      <c r="D2" s="35" t="n"/>
      <c r="E2" s="35" t="n"/>
      <c r="F2" s="34" t="n"/>
      <c r="K2" s="2" t="inlineStr">
        <is>
          <t>Date :</t>
        </is>
      </c>
      <c r="L2" s="3" t="n"/>
      <c r="M2" s="35" t="n"/>
      <c r="N2" s="34" t="n"/>
      <c r="O2" s="2" t="inlineStr">
        <is>
          <t>Indice :</t>
        </is>
      </c>
      <c r="P2" s="3" t="n"/>
      <c r="Q2" s="35" t="n"/>
      <c r="R2" s="35" t="n"/>
      <c r="S2" s="34" t="n"/>
    </row>
    <row r="3">
      <c r="A3" s="4" t="inlineStr">
        <is>
          <t>Repère / Ouvrage</t>
        </is>
      </c>
      <c r="B3" s="4" t="inlineStr">
        <is>
          <t>Axe</t>
        </is>
      </c>
      <c r="C3" s="4" t="inlineStr">
        <is>
          <t>File</t>
        </is>
      </c>
      <c r="D3" s="4" t="inlineStr">
        <is>
          <t>a (m)</t>
        </is>
      </c>
      <c r="E3" s="4" t="inlineStr">
        <is>
          <t>b (m)</t>
        </is>
      </c>
      <c r="F3" s="4" t="inlineStr">
        <is>
          <t>h (m)</t>
        </is>
      </c>
      <c r="G3" s="4" t="inlineStr">
        <is>
          <t>N° ELE</t>
        </is>
      </c>
      <c r="H3" s="4" t="inlineStr">
        <is>
          <t>NOMB B</t>
        </is>
      </c>
      <c r="I3" s="4" t="inlineStr">
        <is>
          <t>DIAM</t>
        </is>
      </c>
      <c r="J3" s="4" t="inlineStr">
        <is>
          <t>LONG (m)</t>
        </is>
      </c>
      <c r="K3" s="4" t="inlineStr">
        <is>
          <t>T6</t>
        </is>
      </c>
      <c r="L3" s="4" t="inlineStr">
        <is>
          <t>T8</t>
        </is>
      </c>
      <c r="M3" s="4" t="inlineStr">
        <is>
          <t>T10</t>
        </is>
      </c>
      <c r="N3" s="4" t="inlineStr">
        <is>
          <t>T12</t>
        </is>
      </c>
      <c r="O3" s="4" t="inlineStr">
        <is>
          <t>T14</t>
        </is>
      </c>
      <c r="P3" s="4" t="inlineStr">
        <is>
          <t>T16</t>
        </is>
      </c>
      <c r="Q3" s="4" t="inlineStr">
        <is>
          <t>T20</t>
        </is>
      </c>
      <c r="R3" s="4" t="inlineStr">
        <is>
          <t>T25</t>
        </is>
      </c>
      <c r="S3" s="4" t="inlineStr">
        <is>
          <t>T32</t>
        </is>
      </c>
    </row>
    <row r="4">
      <c r="A4" s="8" t="n"/>
      <c r="B4" s="16" t="n"/>
      <c r="C4" s="16" t="n"/>
      <c r="D4" s="10" t="n"/>
      <c r="E4" s="10" t="n"/>
      <c r="F4" s="10" t="n"/>
      <c r="G4" s="17" t="n"/>
      <c r="H4" s="17" t="n"/>
      <c r="I4" s="17" t="n"/>
      <c r="J4" s="10" t="n"/>
      <c r="K4" s="11">
        <f>IF($I4=6,$G4*$H4*$J4,"")</f>
        <v/>
      </c>
      <c r="L4" s="11">
        <f>IF($I4=8,$G4*$H4*$J4,"")</f>
        <v/>
      </c>
      <c r="M4" s="11">
        <f>IF($I4=10,$G4*$H4*$J4,"")</f>
        <v/>
      </c>
      <c r="N4" s="11">
        <f>IF($I4=12,$G4*$H4*$J4,"")</f>
        <v/>
      </c>
      <c r="O4" s="11">
        <f>IF($I4=14,$G4*$H4*$J4,"")</f>
        <v/>
      </c>
      <c r="P4" s="11">
        <f>IF($I4=16,$G4*$H4*$J4,"")</f>
        <v/>
      </c>
      <c r="Q4" s="11">
        <f>IF($I4=20,$G4*$H4*$J4,"")</f>
        <v/>
      </c>
      <c r="R4" s="11">
        <f>IF($I4=25,$G4*$H4*$J4,"")</f>
        <v/>
      </c>
      <c r="S4" s="11">
        <f>IF($I4=32,$G4*$H4*$J4,"")</f>
        <v/>
      </c>
    </row>
    <row r="5">
      <c r="A5" s="8" t="n"/>
      <c r="B5" s="16" t="n"/>
      <c r="C5" s="16" t="n"/>
      <c r="D5" s="10" t="n"/>
      <c r="E5" s="10" t="n"/>
      <c r="F5" s="10" t="n"/>
      <c r="G5" s="17" t="n"/>
      <c r="H5" s="17" t="n"/>
      <c r="I5" s="17" t="n"/>
      <c r="J5" s="10" t="n"/>
      <c r="K5" s="11">
        <f>IF($I5=6,$G5*$H5*$J5,"")</f>
        <v/>
      </c>
      <c r="L5" s="11">
        <f>IF($I5=8,$G5*$H5*$J5,"")</f>
        <v/>
      </c>
      <c r="M5" s="11">
        <f>IF($I5=10,$G5*$H5*$J5,"")</f>
        <v/>
      </c>
      <c r="N5" s="11">
        <f>IF($I5=12,$G5*$H5*$J5,"")</f>
        <v/>
      </c>
      <c r="O5" s="11">
        <f>IF($I5=14,$G5*$H5*$J5,"")</f>
        <v/>
      </c>
      <c r="P5" s="11">
        <f>IF($I5=16,$G5*$H5*$J5,"")</f>
        <v/>
      </c>
      <c r="Q5" s="11">
        <f>IF($I5=20,$G5*$H5*$J5,"")</f>
        <v/>
      </c>
      <c r="R5" s="11">
        <f>IF($I5=25,$G5*$H5*$J5,"")</f>
        <v/>
      </c>
      <c r="S5" s="11">
        <f>IF($I5=32,$G5*$H5*$J5,"")</f>
        <v/>
      </c>
    </row>
    <row r="6">
      <c r="A6" s="8" t="n"/>
      <c r="B6" s="16" t="n"/>
      <c r="C6" s="16" t="n"/>
      <c r="D6" s="10" t="n"/>
      <c r="E6" s="10" t="n"/>
      <c r="F6" s="10" t="n"/>
      <c r="G6" s="17" t="n"/>
      <c r="H6" s="17" t="n"/>
      <c r="I6" s="17" t="n"/>
      <c r="J6" s="10" t="n"/>
      <c r="K6" s="11">
        <f>IF($I6=6,$G6*$H6*$J6,"")</f>
        <v/>
      </c>
      <c r="L6" s="11">
        <f>IF($I6=8,$G6*$H6*$J6,"")</f>
        <v/>
      </c>
      <c r="M6" s="11">
        <f>IF($I6=10,$G6*$H6*$J6,"")</f>
        <v/>
      </c>
      <c r="N6" s="11">
        <f>IF($I6=12,$G6*$H6*$J6,"")</f>
        <v/>
      </c>
      <c r="O6" s="11">
        <f>IF($I6=14,$G6*$H6*$J6,"")</f>
        <v/>
      </c>
      <c r="P6" s="11">
        <f>IF($I6=16,$G6*$H6*$J6,"")</f>
        <v/>
      </c>
      <c r="Q6" s="11">
        <f>IF($I6=20,$G6*$H6*$J6,"")</f>
        <v/>
      </c>
      <c r="R6" s="11">
        <f>IF($I6=25,$G6*$H6*$J6,"")</f>
        <v/>
      </c>
      <c r="S6" s="11">
        <f>IF($I6=32,$G6*$H6*$J6,"")</f>
        <v/>
      </c>
    </row>
    <row r="7">
      <c r="A7" s="8" t="n"/>
      <c r="B7" s="16" t="n"/>
      <c r="C7" s="16" t="n"/>
      <c r="D7" s="10" t="n"/>
      <c r="E7" s="10" t="n"/>
      <c r="F7" s="10" t="n"/>
      <c r="G7" s="17" t="n"/>
      <c r="H7" s="17" t="n"/>
      <c r="I7" s="17" t="n"/>
      <c r="J7" s="10" t="n"/>
      <c r="K7" s="11">
        <f>IF($I7=6,$G7*$H7*$J7,"")</f>
        <v/>
      </c>
      <c r="L7" s="11">
        <f>IF($I7=8,$G7*$H7*$J7,"")</f>
        <v/>
      </c>
      <c r="M7" s="11">
        <f>IF($I7=10,$G7*$H7*$J7,"")</f>
        <v/>
      </c>
      <c r="N7" s="11">
        <f>IF($I7=12,$G7*$H7*$J7,"")</f>
        <v/>
      </c>
      <c r="O7" s="11">
        <f>IF($I7=14,$G7*$H7*$J7,"")</f>
        <v/>
      </c>
      <c r="P7" s="11">
        <f>IF($I7=16,$G7*$H7*$J7,"")</f>
        <v/>
      </c>
      <c r="Q7" s="11">
        <f>IF($I7=20,$G7*$H7*$J7,"")</f>
        <v/>
      </c>
      <c r="R7" s="11">
        <f>IF($I7=25,$G7*$H7*$J7,"")</f>
        <v/>
      </c>
      <c r="S7" s="11">
        <f>IF($I7=32,$G7*$H7*$J7,"")</f>
        <v/>
      </c>
    </row>
    <row r="8">
      <c r="A8" s="8" t="n"/>
      <c r="B8" s="16" t="n"/>
      <c r="C8" s="16" t="n"/>
      <c r="D8" s="10" t="n"/>
      <c r="E8" s="10" t="n"/>
      <c r="F8" s="10" t="n"/>
      <c r="G8" s="17" t="n"/>
      <c r="H8" s="17" t="n"/>
      <c r="I8" s="17" t="n"/>
      <c r="J8" s="10" t="n"/>
      <c r="K8" s="11">
        <f>IF($I8=6,$G8*$H8*$J8,"")</f>
        <v/>
      </c>
      <c r="L8" s="11">
        <f>IF($I8=8,$G8*$H8*$J8,"")</f>
        <v/>
      </c>
      <c r="M8" s="11">
        <f>IF($I8=10,$G8*$H8*$J8,"")</f>
        <v/>
      </c>
      <c r="N8" s="11">
        <f>IF($I8=12,$G8*$H8*$J8,"")</f>
        <v/>
      </c>
      <c r="O8" s="11">
        <f>IF($I8=14,$G8*$H8*$J8,"")</f>
        <v/>
      </c>
      <c r="P8" s="11">
        <f>IF($I8=16,$G8*$H8*$J8,"")</f>
        <v/>
      </c>
      <c r="Q8" s="11">
        <f>IF($I8=20,$G8*$H8*$J8,"")</f>
        <v/>
      </c>
      <c r="R8" s="11">
        <f>IF($I8=25,$G8*$H8*$J8,"")</f>
        <v/>
      </c>
      <c r="S8" s="11">
        <f>IF($I8=32,$G8*$H8*$J8,"")</f>
        <v/>
      </c>
    </row>
    <row r="9">
      <c r="A9" s="8" t="n"/>
      <c r="B9" s="16" t="n"/>
      <c r="C9" s="16" t="n"/>
      <c r="D9" s="10" t="n"/>
      <c r="E9" s="10" t="n"/>
      <c r="F9" s="10" t="n"/>
      <c r="G9" s="17" t="n"/>
      <c r="H9" s="17" t="n"/>
      <c r="I9" s="17" t="n"/>
      <c r="J9" s="10" t="n"/>
      <c r="K9" s="11">
        <f>IF($I9=6,$G9*$H9*$J9,"")</f>
        <v/>
      </c>
      <c r="L9" s="11">
        <f>IF($I9=8,$G9*$H9*$J9,"")</f>
        <v/>
      </c>
      <c r="M9" s="11">
        <f>IF($I9=10,$G9*$H9*$J9,"")</f>
        <v/>
      </c>
      <c r="N9" s="11">
        <f>IF($I9=12,$G9*$H9*$J9,"")</f>
        <v/>
      </c>
      <c r="O9" s="11">
        <f>IF($I9=14,$G9*$H9*$J9,"")</f>
        <v/>
      </c>
      <c r="P9" s="11">
        <f>IF($I9=16,$G9*$H9*$J9,"")</f>
        <v/>
      </c>
      <c r="Q9" s="11">
        <f>IF($I9=20,$G9*$H9*$J9,"")</f>
        <v/>
      </c>
      <c r="R9" s="11">
        <f>IF($I9=25,$G9*$H9*$J9,"")</f>
        <v/>
      </c>
      <c r="S9" s="11">
        <f>IF($I9=32,$G9*$H9*$J9,"")</f>
        <v/>
      </c>
    </row>
    <row r="10">
      <c r="A10" s="8" t="n"/>
      <c r="B10" s="16" t="n"/>
      <c r="C10" s="16" t="n"/>
      <c r="D10" s="10" t="n"/>
      <c r="E10" s="10" t="n"/>
      <c r="F10" s="10" t="n"/>
      <c r="G10" s="17" t="n"/>
      <c r="H10" s="17" t="n"/>
      <c r="I10" s="17" t="n"/>
      <c r="J10" s="10" t="n"/>
      <c r="K10" s="11">
        <f>IF($I10=6,$G10*$H10*$J10,"")</f>
        <v/>
      </c>
      <c r="L10" s="11">
        <f>IF($I10=8,$G10*$H10*$J10,"")</f>
        <v/>
      </c>
      <c r="M10" s="11">
        <f>IF($I10=10,$G10*$H10*$J10,"")</f>
        <v/>
      </c>
      <c r="N10" s="11">
        <f>IF($I10=12,$G10*$H10*$J10,"")</f>
        <v/>
      </c>
      <c r="O10" s="11">
        <f>IF($I10=14,$G10*$H10*$J10,"")</f>
        <v/>
      </c>
      <c r="P10" s="11">
        <f>IF($I10=16,$G10*$H10*$J10,"")</f>
        <v/>
      </c>
      <c r="Q10" s="11">
        <f>IF($I10=20,$G10*$H10*$J10,"")</f>
        <v/>
      </c>
      <c r="R10" s="11">
        <f>IF($I10=25,$G10*$H10*$J10,"")</f>
        <v/>
      </c>
      <c r="S10" s="11">
        <f>IF($I10=32,$G10*$H10*$J10,"")</f>
        <v/>
      </c>
    </row>
    <row r="11">
      <c r="A11" s="8" t="n"/>
      <c r="B11" s="16" t="n"/>
      <c r="C11" s="16" t="n"/>
      <c r="D11" s="10" t="n"/>
      <c r="E11" s="10" t="n"/>
      <c r="F11" s="10" t="n"/>
      <c r="G11" s="17" t="n"/>
      <c r="H11" s="17" t="n"/>
      <c r="I11" s="17" t="n"/>
      <c r="J11" s="10" t="n"/>
      <c r="K11" s="11">
        <f>IF($I11=6,$G11*$H11*$J11,"")</f>
        <v/>
      </c>
      <c r="L11" s="11">
        <f>IF($I11=8,$G11*$H11*$J11,"")</f>
        <v/>
      </c>
      <c r="M11" s="11">
        <f>IF($I11=10,$G11*$H11*$J11,"")</f>
        <v/>
      </c>
      <c r="N11" s="11">
        <f>IF($I11=12,$G11*$H11*$J11,"")</f>
        <v/>
      </c>
      <c r="O11" s="11">
        <f>IF($I11=14,$G11*$H11*$J11,"")</f>
        <v/>
      </c>
      <c r="P11" s="11">
        <f>IF($I11=16,$G11*$H11*$J11,"")</f>
        <v/>
      </c>
      <c r="Q11" s="11">
        <f>IF($I11=20,$G11*$H11*$J11,"")</f>
        <v/>
      </c>
      <c r="R11" s="11">
        <f>IF($I11=25,$G11*$H11*$J11,"")</f>
        <v/>
      </c>
      <c r="S11" s="11">
        <f>IF($I11=32,$G11*$H11*$J11,"")</f>
        <v/>
      </c>
    </row>
    <row r="12">
      <c r="A12" s="8" t="n"/>
      <c r="B12" s="16" t="n"/>
      <c r="C12" s="16" t="n"/>
      <c r="D12" s="10" t="n"/>
      <c r="E12" s="10" t="n"/>
      <c r="F12" s="10" t="n"/>
      <c r="G12" s="17" t="n"/>
      <c r="H12" s="17" t="n"/>
      <c r="I12" s="17" t="n"/>
      <c r="J12" s="10" t="n"/>
      <c r="K12" s="11">
        <f>IF($I12=6,$G12*$H12*$J12,"")</f>
        <v/>
      </c>
      <c r="L12" s="11">
        <f>IF($I12=8,$G12*$H12*$J12,"")</f>
        <v/>
      </c>
      <c r="M12" s="11">
        <f>IF($I12=10,$G12*$H12*$J12,"")</f>
        <v/>
      </c>
      <c r="N12" s="11">
        <f>IF($I12=12,$G12*$H12*$J12,"")</f>
        <v/>
      </c>
      <c r="O12" s="11">
        <f>IF($I12=14,$G12*$H12*$J12,"")</f>
        <v/>
      </c>
      <c r="P12" s="11">
        <f>IF($I12=16,$G12*$H12*$J12,"")</f>
        <v/>
      </c>
      <c r="Q12" s="11">
        <f>IF($I12=20,$G12*$H12*$J12,"")</f>
        <v/>
      </c>
      <c r="R12" s="11">
        <f>IF($I12=25,$G12*$H12*$J12,"")</f>
        <v/>
      </c>
      <c r="S12" s="11">
        <f>IF($I12=32,$G12*$H12*$J12,"")</f>
        <v/>
      </c>
    </row>
    <row r="13">
      <c r="A13" s="8" t="n"/>
      <c r="B13" s="16" t="n"/>
      <c r="C13" s="16" t="n"/>
      <c r="D13" s="10" t="n"/>
      <c r="E13" s="10" t="n"/>
      <c r="F13" s="10" t="n"/>
      <c r="G13" s="17" t="n"/>
      <c r="H13" s="17" t="n"/>
      <c r="I13" s="17" t="n"/>
      <c r="J13" s="10" t="n"/>
      <c r="K13" s="11">
        <f>IF($I13=6,$G13*$H13*$J13,"")</f>
        <v/>
      </c>
      <c r="L13" s="11">
        <f>IF($I13=8,$G13*$H13*$J13,"")</f>
        <v/>
      </c>
      <c r="M13" s="11">
        <f>IF($I13=10,$G13*$H13*$J13,"")</f>
        <v/>
      </c>
      <c r="N13" s="11">
        <f>IF($I13=12,$G13*$H13*$J13,"")</f>
        <v/>
      </c>
      <c r="O13" s="11">
        <f>IF($I13=14,$G13*$H13*$J13,"")</f>
        <v/>
      </c>
      <c r="P13" s="11">
        <f>IF($I13=16,$G13*$H13*$J13,"")</f>
        <v/>
      </c>
      <c r="Q13" s="11">
        <f>IF($I13=20,$G13*$H13*$J13,"")</f>
        <v/>
      </c>
      <c r="R13" s="11">
        <f>IF($I13=25,$G13*$H13*$J13,"")</f>
        <v/>
      </c>
      <c r="S13" s="11">
        <f>IF($I13=32,$G13*$H13*$J13,"")</f>
        <v/>
      </c>
    </row>
    <row r="14">
      <c r="A14" s="8" t="n"/>
      <c r="B14" s="16" t="n"/>
      <c r="C14" s="16" t="n"/>
      <c r="D14" s="10" t="n"/>
      <c r="E14" s="10" t="n"/>
      <c r="F14" s="10" t="n"/>
      <c r="G14" s="17" t="n"/>
      <c r="H14" s="17" t="n"/>
      <c r="I14" s="17" t="n"/>
      <c r="J14" s="10" t="n"/>
      <c r="K14" s="11">
        <f>IF($I14=6,$G14*$H14*$J14,"")</f>
        <v/>
      </c>
      <c r="L14" s="11">
        <f>IF($I14=8,$G14*$H14*$J14,"")</f>
        <v/>
      </c>
      <c r="M14" s="11">
        <f>IF($I14=10,$G14*$H14*$J14,"")</f>
        <v/>
      </c>
      <c r="N14" s="11">
        <f>IF($I14=12,$G14*$H14*$J14,"")</f>
        <v/>
      </c>
      <c r="O14" s="11">
        <f>IF($I14=14,$G14*$H14*$J14,"")</f>
        <v/>
      </c>
      <c r="P14" s="11">
        <f>IF($I14=16,$G14*$H14*$J14,"")</f>
        <v/>
      </c>
      <c r="Q14" s="11">
        <f>IF($I14=20,$G14*$H14*$J14,"")</f>
        <v/>
      </c>
      <c r="R14" s="11">
        <f>IF($I14=25,$G14*$H14*$J14,"")</f>
        <v/>
      </c>
      <c r="S14" s="11">
        <f>IF($I14=32,$G14*$H14*$J14,"")</f>
        <v/>
      </c>
    </row>
    <row r="15">
      <c r="A15" s="8" t="n"/>
      <c r="B15" s="16" t="n"/>
      <c r="C15" s="16" t="n"/>
      <c r="D15" s="10" t="n"/>
      <c r="E15" s="10" t="n"/>
      <c r="F15" s="10" t="n"/>
      <c r="G15" s="17" t="n"/>
      <c r="H15" s="17" t="n"/>
      <c r="I15" s="17" t="n"/>
      <c r="J15" s="10" t="n"/>
      <c r="K15" s="11">
        <f>IF($I15=6,$G15*$H15*$J15,"")</f>
        <v/>
      </c>
      <c r="L15" s="11">
        <f>IF($I15=8,$G15*$H15*$J15,"")</f>
        <v/>
      </c>
      <c r="M15" s="11">
        <f>IF($I15=10,$G15*$H15*$J15,"")</f>
        <v/>
      </c>
      <c r="N15" s="11">
        <f>IF($I15=12,$G15*$H15*$J15,"")</f>
        <v/>
      </c>
      <c r="O15" s="11">
        <f>IF($I15=14,$G15*$H15*$J15,"")</f>
        <v/>
      </c>
      <c r="P15" s="11">
        <f>IF($I15=16,$G15*$H15*$J15,"")</f>
        <v/>
      </c>
      <c r="Q15" s="11">
        <f>IF($I15=20,$G15*$H15*$J15,"")</f>
        <v/>
      </c>
      <c r="R15" s="11">
        <f>IF($I15=25,$G15*$H15*$J15,"")</f>
        <v/>
      </c>
      <c r="S15" s="11">
        <f>IF($I15=32,$G15*$H15*$J15,"")</f>
        <v/>
      </c>
    </row>
    <row r="16">
      <c r="A16" s="8" t="n"/>
      <c r="B16" s="16" t="n"/>
      <c r="C16" s="16" t="n"/>
      <c r="D16" s="10" t="n"/>
      <c r="E16" s="10" t="n"/>
      <c r="F16" s="10" t="n"/>
      <c r="G16" s="17" t="n"/>
      <c r="H16" s="17" t="n"/>
      <c r="I16" s="17" t="n"/>
      <c r="J16" s="10" t="n"/>
      <c r="K16" s="11">
        <f>IF($I16=6,$G16*$H16*$J16,"")</f>
        <v/>
      </c>
      <c r="L16" s="11">
        <f>IF($I16=8,$G16*$H16*$J16,"")</f>
        <v/>
      </c>
      <c r="M16" s="11">
        <f>IF($I16=10,$G16*$H16*$J16,"")</f>
        <v/>
      </c>
      <c r="N16" s="11">
        <f>IF($I16=12,$G16*$H16*$J16,"")</f>
        <v/>
      </c>
      <c r="O16" s="11">
        <f>IF($I16=14,$G16*$H16*$J16,"")</f>
        <v/>
      </c>
      <c r="P16" s="11">
        <f>IF($I16=16,$G16*$H16*$J16,"")</f>
        <v/>
      </c>
      <c r="Q16" s="11">
        <f>IF($I16=20,$G16*$H16*$J16,"")</f>
        <v/>
      </c>
      <c r="R16" s="11">
        <f>IF($I16=25,$G16*$H16*$J16,"")</f>
        <v/>
      </c>
      <c r="S16" s="11">
        <f>IF($I16=32,$G16*$H16*$J16,"")</f>
        <v/>
      </c>
    </row>
    <row r="17">
      <c r="A17" s="8" t="n"/>
      <c r="B17" s="16" t="n"/>
      <c r="C17" s="16" t="n"/>
      <c r="D17" s="10" t="n"/>
      <c r="E17" s="10" t="n"/>
      <c r="F17" s="10" t="n"/>
      <c r="G17" s="17" t="n"/>
      <c r="H17" s="17" t="n"/>
      <c r="I17" s="17" t="n"/>
      <c r="J17" s="10" t="n"/>
      <c r="K17" s="11">
        <f>IF($I17=6,$G17*$H17*$J17,"")</f>
        <v/>
      </c>
      <c r="L17" s="11">
        <f>IF($I17=8,$G17*$H17*$J17,"")</f>
        <v/>
      </c>
      <c r="M17" s="11">
        <f>IF($I17=10,$G17*$H17*$J17,"")</f>
        <v/>
      </c>
      <c r="N17" s="11">
        <f>IF($I17=12,$G17*$H17*$J17,"")</f>
        <v/>
      </c>
      <c r="O17" s="11">
        <f>IF($I17=14,$G17*$H17*$J17,"")</f>
        <v/>
      </c>
      <c r="P17" s="11">
        <f>IF($I17=16,$G17*$H17*$J17,"")</f>
        <v/>
      </c>
      <c r="Q17" s="11">
        <f>IF($I17=20,$G17*$H17*$J17,"")</f>
        <v/>
      </c>
      <c r="R17" s="11">
        <f>IF($I17=25,$G17*$H17*$J17,"")</f>
        <v/>
      </c>
      <c r="S17" s="11">
        <f>IF($I17=32,$G17*$H17*$J17,"")</f>
        <v/>
      </c>
    </row>
    <row r="18">
      <c r="A18" s="8" t="n"/>
      <c r="B18" s="16" t="n"/>
      <c r="C18" s="16" t="n"/>
      <c r="D18" s="10" t="n"/>
      <c r="E18" s="10" t="n"/>
      <c r="F18" s="10" t="n"/>
      <c r="G18" s="17" t="n"/>
      <c r="H18" s="17" t="n"/>
      <c r="I18" s="17" t="n"/>
      <c r="J18" s="10" t="n"/>
      <c r="K18" s="11">
        <f>IF($I18=6,$G18*$H18*$J18,"")</f>
        <v/>
      </c>
      <c r="L18" s="11">
        <f>IF($I18=8,$G18*$H18*$J18,"")</f>
        <v/>
      </c>
      <c r="M18" s="11">
        <f>IF($I18=10,$G18*$H18*$J18,"")</f>
        <v/>
      </c>
      <c r="N18" s="11">
        <f>IF($I18=12,$G18*$H18*$J18,"")</f>
        <v/>
      </c>
      <c r="O18" s="11">
        <f>IF($I18=14,$G18*$H18*$J18,"")</f>
        <v/>
      </c>
      <c r="P18" s="11">
        <f>IF($I18=16,$G18*$H18*$J18,"")</f>
        <v/>
      </c>
      <c r="Q18" s="11">
        <f>IF($I18=20,$G18*$H18*$J18,"")</f>
        <v/>
      </c>
      <c r="R18" s="11">
        <f>IF($I18=25,$G18*$H18*$J18,"")</f>
        <v/>
      </c>
      <c r="S18" s="11">
        <f>IF($I18=32,$G18*$H18*$J18,"")</f>
        <v/>
      </c>
    </row>
    <row r="19">
      <c r="A19" s="8" t="n"/>
      <c r="B19" s="16" t="n"/>
      <c r="C19" s="16" t="n"/>
      <c r="D19" s="10" t="n"/>
      <c r="E19" s="10" t="n"/>
      <c r="F19" s="10" t="n"/>
      <c r="G19" s="17" t="n"/>
      <c r="H19" s="17" t="n"/>
      <c r="I19" s="17" t="n"/>
      <c r="J19" s="10" t="n"/>
      <c r="K19" s="11">
        <f>IF($I19=6,$G19*$H19*$J19,"")</f>
        <v/>
      </c>
      <c r="L19" s="11">
        <f>IF($I19=8,$G19*$H19*$J19,"")</f>
        <v/>
      </c>
      <c r="M19" s="11">
        <f>IF($I19=10,$G19*$H19*$J19,"")</f>
        <v/>
      </c>
      <c r="N19" s="11">
        <f>IF($I19=12,$G19*$H19*$J19,"")</f>
        <v/>
      </c>
      <c r="O19" s="11">
        <f>IF($I19=14,$G19*$H19*$J19,"")</f>
        <v/>
      </c>
      <c r="P19" s="11">
        <f>IF($I19=16,$G19*$H19*$J19,"")</f>
        <v/>
      </c>
      <c r="Q19" s="11">
        <f>IF($I19=20,$G19*$H19*$J19,"")</f>
        <v/>
      </c>
      <c r="R19" s="11">
        <f>IF($I19=25,$G19*$H19*$J19,"")</f>
        <v/>
      </c>
      <c r="S19" s="11">
        <f>IF($I19=32,$G19*$H19*$J19,"")</f>
        <v/>
      </c>
    </row>
    <row r="21">
      <c r="A21" s="18" t="inlineStr">
        <is>
          <t>LONGUEUR TOTALE (ml)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>
        <f>SUM(K4:K19)</f>
        <v/>
      </c>
      <c r="L21" s="19">
        <f>SUM(L4:L19)</f>
        <v/>
      </c>
      <c r="M21" s="19">
        <f>SUM(M4:M19)</f>
        <v/>
      </c>
      <c r="N21" s="19">
        <f>SUM(N4:N19)</f>
        <v/>
      </c>
      <c r="O21" s="19">
        <f>SUM(O4:O19)</f>
        <v/>
      </c>
      <c r="P21" s="19">
        <f>SUM(P4:P19)</f>
        <v/>
      </c>
      <c r="Q21" s="19">
        <f>SUM(Q4:Q19)</f>
        <v/>
      </c>
      <c r="R21" s="19">
        <f>SUM(R4:R19)</f>
        <v/>
      </c>
      <c r="S21" s="19">
        <f>SUM(S4:S19)</f>
        <v/>
      </c>
    </row>
    <row r="22">
      <c r="A22" s="18" t="inlineStr">
        <is>
          <t>POIDS UNITAIRE NOMINAL (kg/ml)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>
        <v>0.222</v>
      </c>
      <c r="L22" s="19" t="n">
        <v>0.395</v>
      </c>
      <c r="M22" s="19" t="n">
        <v>0.617</v>
      </c>
      <c r="N22" s="19" t="n">
        <v>0.888</v>
      </c>
      <c r="O22" s="19" t="n">
        <v>1.208</v>
      </c>
      <c r="P22" s="19" t="n">
        <v>1.578</v>
      </c>
      <c r="Q22" s="19" t="n">
        <v>2.466</v>
      </c>
      <c r="R22" s="19" t="n">
        <v>3.853</v>
      </c>
      <c r="S22" s="19" t="n">
        <v>6.313</v>
      </c>
    </row>
    <row r="23">
      <c r="A23" s="18" t="inlineStr">
        <is>
          <t>POIDS PARTIEL PAR DIAMÈTRE (kg)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>
        <f>K21*K22</f>
        <v/>
      </c>
      <c r="L23" s="20">
        <f>L21*L22</f>
        <v/>
      </c>
      <c r="M23" s="20">
        <f>M21*M22</f>
        <v/>
      </c>
      <c r="N23" s="20">
        <f>N21*N22</f>
        <v/>
      </c>
      <c r="O23" s="20">
        <f>O21*O22</f>
        <v/>
      </c>
      <c r="P23" s="20">
        <f>P21*P22</f>
        <v/>
      </c>
      <c r="Q23" s="20">
        <f>Q21*Q22</f>
        <v/>
      </c>
      <c r="R23" s="20">
        <f>R21*R22</f>
        <v/>
      </c>
      <c r="S23" s="20">
        <f>S21*S22</f>
        <v/>
      </c>
    </row>
    <row r="24">
      <c r="A24" s="21" t="inlineStr">
        <is>
          <t>POIDS TOTAL DES ACIERS (KG)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5">
        <f>SUM(K23:S23)</f>
        <v/>
      </c>
    </row>
    <row r="25">
      <c r="A25" s="18" t="inlineStr">
        <is>
          <t>POIDS TOTAL (tonnes)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3">
        <f>K24/1000</f>
        <v/>
      </c>
    </row>
    <row r="26">
      <c r="A26" s="2" t="inlineStr">
        <is>
          <t>Volume béton de référence (m³) — à saisir</t>
        </is>
      </c>
      <c r="K26" s="24" t="n"/>
    </row>
    <row r="27">
      <c r="A27" s="25" t="inlineStr">
        <is>
          <t>TAUX DE FERRAILLAGE MOYEN (kg/m³)</t>
        </is>
      </c>
      <c r="K27" s="26">
        <f>IF(K26&gt;0,K24/K26,"")</f>
        <v/>
      </c>
    </row>
  </sheetData>
  <mergeCells count="4">
    <mergeCell ref="B2:F2"/>
    <mergeCell ref="L2:N2"/>
    <mergeCell ref="P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0" customWidth="1" min="4" max="4"/>
    <col width="10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ATTACHEMENT — SYNTHÈSE DES ARMATURES PAR TYPE D'OUVRAGE</t>
        </is>
      </c>
    </row>
    <row r="2">
      <c r="A2" s="2" t="inlineStr">
        <is>
          <t>Projet :</t>
        </is>
      </c>
      <c r="B2" s="3" t="n"/>
      <c r="C2" s="35" t="n"/>
      <c r="D2" s="35" t="n"/>
      <c r="E2" s="34" t="n"/>
      <c r="F2" s="2" t="inlineStr">
        <is>
          <t>Attachement n° :</t>
        </is>
      </c>
      <c r="G2" s="3" t="n"/>
      <c r="H2" s="35" t="n"/>
      <c r="I2" s="34" t="n"/>
      <c r="J2" s="2" t="inlineStr">
        <is>
          <t>Date :</t>
        </is>
      </c>
      <c r="K2" s="3" t="n"/>
      <c r="L2" s="35" t="n"/>
      <c r="M2" s="35" t="n"/>
      <c r="N2" s="35" t="n"/>
      <c r="O2" s="34" t="n"/>
    </row>
    <row r="3">
      <c r="A3" s="4" t="inlineStr">
        <is>
          <t>Type d'Ouvrage</t>
        </is>
      </c>
      <c r="B3" s="4" t="inlineStr">
        <is>
          <t>Type d'Armature</t>
        </is>
      </c>
      <c r="C3" s="4" t="inlineStr">
        <is>
          <t>N° Ouvrages cumulés</t>
        </is>
      </c>
      <c r="D3" s="4" t="inlineStr">
        <is>
          <t>Nb barres</t>
        </is>
      </c>
      <c r="E3" s="4" t="inlineStr">
        <is>
          <t>Diamètre (mm)</t>
        </is>
      </c>
      <c r="F3" s="4" t="inlineStr">
        <is>
          <t>Longueur unitaire (m)</t>
        </is>
      </c>
      <c r="G3" s="4" t="inlineStr">
        <is>
          <t>T6</t>
        </is>
      </c>
      <c r="H3" s="4" t="inlineStr">
        <is>
          <t>T8</t>
        </is>
      </c>
      <c r="I3" s="4" t="inlineStr">
        <is>
          <t>T10</t>
        </is>
      </c>
      <c r="J3" s="4" t="inlineStr">
        <is>
          <t>T12</t>
        </is>
      </c>
      <c r="K3" s="4" t="inlineStr">
        <is>
          <t>T14</t>
        </is>
      </c>
      <c r="L3" s="4" t="inlineStr">
        <is>
          <t>T16</t>
        </is>
      </c>
      <c r="M3" s="4" t="inlineStr">
        <is>
          <t>T20</t>
        </is>
      </c>
      <c r="N3" s="4" t="inlineStr">
        <is>
          <t>T25</t>
        </is>
      </c>
      <c r="O3" s="4" t="inlineStr">
        <is>
          <t>T32</t>
        </is>
      </c>
    </row>
    <row r="4">
      <c r="A4" s="8" t="n"/>
      <c r="B4" s="8" t="n"/>
      <c r="C4" s="17" t="n"/>
      <c r="D4" s="17" t="n"/>
      <c r="E4" s="17" t="n"/>
      <c r="F4" s="10" t="n"/>
      <c r="G4" s="11">
        <f>IF($E4=6,$C4*$D4*$F4,"")</f>
        <v/>
      </c>
      <c r="H4" s="11">
        <f>IF($E4=8,$C4*$D4*$F4,"")</f>
        <v/>
      </c>
      <c r="I4" s="11">
        <f>IF($E4=10,$C4*$D4*$F4,"")</f>
        <v/>
      </c>
      <c r="J4" s="11">
        <f>IF($E4=12,$C4*$D4*$F4,"")</f>
        <v/>
      </c>
      <c r="K4" s="11">
        <f>IF($E4=14,$C4*$D4*$F4,"")</f>
        <v/>
      </c>
      <c r="L4" s="11">
        <f>IF($E4=16,$C4*$D4*$F4,"")</f>
        <v/>
      </c>
      <c r="M4" s="11">
        <f>IF($E4=20,$C4*$D4*$F4,"")</f>
        <v/>
      </c>
      <c r="N4" s="11">
        <f>IF($E4=25,$C4*$D4*$F4,"")</f>
        <v/>
      </c>
      <c r="O4" s="11">
        <f>IF($E4=32,$C4*$D4*$F4,"")</f>
        <v/>
      </c>
    </row>
    <row r="5">
      <c r="A5" s="8" t="n"/>
      <c r="B5" s="8" t="n"/>
      <c r="C5" s="17" t="n"/>
      <c r="D5" s="17" t="n"/>
      <c r="E5" s="17" t="n"/>
      <c r="F5" s="10" t="n"/>
      <c r="G5" s="11">
        <f>IF($E5=6,$C5*$D5*$F5,"")</f>
        <v/>
      </c>
      <c r="H5" s="11">
        <f>IF($E5=8,$C5*$D5*$F5,"")</f>
        <v/>
      </c>
      <c r="I5" s="11">
        <f>IF($E5=10,$C5*$D5*$F5,"")</f>
        <v/>
      </c>
      <c r="J5" s="11">
        <f>IF($E5=12,$C5*$D5*$F5,"")</f>
        <v/>
      </c>
      <c r="K5" s="11">
        <f>IF($E5=14,$C5*$D5*$F5,"")</f>
        <v/>
      </c>
      <c r="L5" s="11">
        <f>IF($E5=16,$C5*$D5*$F5,"")</f>
        <v/>
      </c>
      <c r="M5" s="11">
        <f>IF($E5=20,$C5*$D5*$F5,"")</f>
        <v/>
      </c>
      <c r="N5" s="11">
        <f>IF($E5=25,$C5*$D5*$F5,"")</f>
        <v/>
      </c>
      <c r="O5" s="11">
        <f>IF($E5=32,$C5*$D5*$F5,"")</f>
        <v/>
      </c>
    </row>
    <row r="6">
      <c r="A6" s="8" t="n"/>
      <c r="B6" s="8" t="n"/>
      <c r="C6" s="17" t="n"/>
      <c r="D6" s="17" t="n"/>
      <c r="E6" s="17" t="n"/>
      <c r="F6" s="10" t="n"/>
      <c r="G6" s="11">
        <f>IF($E6=6,$C6*$D6*$F6,"")</f>
        <v/>
      </c>
      <c r="H6" s="11">
        <f>IF($E6=8,$C6*$D6*$F6,"")</f>
        <v/>
      </c>
      <c r="I6" s="11">
        <f>IF($E6=10,$C6*$D6*$F6,"")</f>
        <v/>
      </c>
      <c r="J6" s="11">
        <f>IF($E6=12,$C6*$D6*$F6,"")</f>
        <v/>
      </c>
      <c r="K6" s="11">
        <f>IF($E6=14,$C6*$D6*$F6,"")</f>
        <v/>
      </c>
      <c r="L6" s="11">
        <f>IF($E6=16,$C6*$D6*$F6,"")</f>
        <v/>
      </c>
      <c r="M6" s="11">
        <f>IF($E6=20,$C6*$D6*$F6,"")</f>
        <v/>
      </c>
      <c r="N6" s="11">
        <f>IF($E6=25,$C6*$D6*$F6,"")</f>
        <v/>
      </c>
      <c r="O6" s="11">
        <f>IF($E6=32,$C6*$D6*$F6,"")</f>
        <v/>
      </c>
    </row>
    <row r="7">
      <c r="A7" s="8" t="n"/>
      <c r="B7" s="8" t="n"/>
      <c r="C7" s="17" t="n"/>
      <c r="D7" s="17" t="n"/>
      <c r="E7" s="17" t="n"/>
      <c r="F7" s="10" t="n"/>
      <c r="G7" s="11">
        <f>IF($E7=6,$C7*$D7*$F7,"")</f>
        <v/>
      </c>
      <c r="H7" s="11">
        <f>IF($E7=8,$C7*$D7*$F7,"")</f>
        <v/>
      </c>
      <c r="I7" s="11">
        <f>IF($E7=10,$C7*$D7*$F7,"")</f>
        <v/>
      </c>
      <c r="J7" s="11">
        <f>IF($E7=12,$C7*$D7*$F7,"")</f>
        <v/>
      </c>
      <c r="K7" s="11">
        <f>IF($E7=14,$C7*$D7*$F7,"")</f>
        <v/>
      </c>
      <c r="L7" s="11">
        <f>IF($E7=16,$C7*$D7*$F7,"")</f>
        <v/>
      </c>
      <c r="M7" s="11">
        <f>IF($E7=20,$C7*$D7*$F7,"")</f>
        <v/>
      </c>
      <c r="N7" s="11">
        <f>IF($E7=25,$C7*$D7*$F7,"")</f>
        <v/>
      </c>
      <c r="O7" s="11">
        <f>IF($E7=32,$C7*$D7*$F7,"")</f>
        <v/>
      </c>
    </row>
    <row r="8">
      <c r="A8" s="8" t="n"/>
      <c r="B8" s="8" t="n"/>
      <c r="C8" s="17" t="n"/>
      <c r="D8" s="17" t="n"/>
      <c r="E8" s="17" t="n"/>
      <c r="F8" s="10" t="n"/>
      <c r="G8" s="11">
        <f>IF($E8=6,$C8*$D8*$F8,"")</f>
        <v/>
      </c>
      <c r="H8" s="11">
        <f>IF($E8=8,$C8*$D8*$F8,"")</f>
        <v/>
      </c>
      <c r="I8" s="11">
        <f>IF($E8=10,$C8*$D8*$F8,"")</f>
        <v/>
      </c>
      <c r="J8" s="11">
        <f>IF($E8=12,$C8*$D8*$F8,"")</f>
        <v/>
      </c>
      <c r="K8" s="11">
        <f>IF($E8=14,$C8*$D8*$F8,"")</f>
        <v/>
      </c>
      <c r="L8" s="11">
        <f>IF($E8=16,$C8*$D8*$F8,"")</f>
        <v/>
      </c>
      <c r="M8" s="11">
        <f>IF($E8=20,$C8*$D8*$F8,"")</f>
        <v/>
      </c>
      <c r="N8" s="11">
        <f>IF($E8=25,$C8*$D8*$F8,"")</f>
        <v/>
      </c>
      <c r="O8" s="11">
        <f>IF($E8=32,$C8*$D8*$F8,"")</f>
        <v/>
      </c>
    </row>
    <row r="9">
      <c r="A9" s="8" t="n"/>
      <c r="B9" s="8" t="n"/>
      <c r="C9" s="17" t="n"/>
      <c r="D9" s="17" t="n"/>
      <c r="E9" s="17" t="n"/>
      <c r="F9" s="10" t="n"/>
      <c r="G9" s="11">
        <f>IF($E9=6,$C9*$D9*$F9,"")</f>
        <v/>
      </c>
      <c r="H9" s="11">
        <f>IF($E9=8,$C9*$D9*$F9,"")</f>
        <v/>
      </c>
      <c r="I9" s="11">
        <f>IF($E9=10,$C9*$D9*$F9,"")</f>
        <v/>
      </c>
      <c r="J9" s="11">
        <f>IF($E9=12,$C9*$D9*$F9,"")</f>
        <v/>
      </c>
      <c r="K9" s="11">
        <f>IF($E9=14,$C9*$D9*$F9,"")</f>
        <v/>
      </c>
      <c r="L9" s="11">
        <f>IF($E9=16,$C9*$D9*$F9,"")</f>
        <v/>
      </c>
      <c r="M9" s="11">
        <f>IF($E9=20,$C9*$D9*$F9,"")</f>
        <v/>
      </c>
      <c r="N9" s="11">
        <f>IF($E9=25,$C9*$D9*$F9,"")</f>
        <v/>
      </c>
      <c r="O9" s="11">
        <f>IF($E9=32,$C9*$D9*$F9,"")</f>
        <v/>
      </c>
    </row>
    <row r="10">
      <c r="A10" s="8" t="n"/>
      <c r="B10" s="8" t="n"/>
      <c r="C10" s="17" t="n"/>
      <c r="D10" s="17" t="n"/>
      <c r="E10" s="17" t="n"/>
      <c r="F10" s="10" t="n"/>
      <c r="G10" s="11">
        <f>IF($E10=6,$C10*$D10*$F10,"")</f>
        <v/>
      </c>
      <c r="H10" s="11">
        <f>IF($E10=8,$C10*$D10*$F10,"")</f>
        <v/>
      </c>
      <c r="I10" s="11">
        <f>IF($E10=10,$C10*$D10*$F10,"")</f>
        <v/>
      </c>
      <c r="J10" s="11">
        <f>IF($E10=12,$C10*$D10*$F10,"")</f>
        <v/>
      </c>
      <c r="K10" s="11">
        <f>IF($E10=14,$C10*$D10*$F10,"")</f>
        <v/>
      </c>
      <c r="L10" s="11">
        <f>IF($E10=16,$C10*$D10*$F10,"")</f>
        <v/>
      </c>
      <c r="M10" s="11">
        <f>IF($E10=20,$C10*$D10*$F10,"")</f>
        <v/>
      </c>
      <c r="N10" s="11">
        <f>IF($E10=25,$C10*$D10*$F10,"")</f>
        <v/>
      </c>
      <c r="O10" s="11">
        <f>IF($E10=32,$C10*$D10*$F10,"")</f>
        <v/>
      </c>
    </row>
    <row r="11">
      <c r="A11" s="8" t="n"/>
      <c r="B11" s="8" t="n"/>
      <c r="C11" s="17" t="n"/>
      <c r="D11" s="17" t="n"/>
      <c r="E11" s="17" t="n"/>
      <c r="F11" s="10" t="n"/>
      <c r="G11" s="11">
        <f>IF($E11=6,$C11*$D11*$F11,"")</f>
        <v/>
      </c>
      <c r="H11" s="11">
        <f>IF($E11=8,$C11*$D11*$F11,"")</f>
        <v/>
      </c>
      <c r="I11" s="11">
        <f>IF($E11=10,$C11*$D11*$F11,"")</f>
        <v/>
      </c>
      <c r="J11" s="11">
        <f>IF($E11=12,$C11*$D11*$F11,"")</f>
        <v/>
      </c>
      <c r="K11" s="11">
        <f>IF($E11=14,$C11*$D11*$F11,"")</f>
        <v/>
      </c>
      <c r="L11" s="11">
        <f>IF($E11=16,$C11*$D11*$F11,"")</f>
        <v/>
      </c>
      <c r="M11" s="11">
        <f>IF($E11=20,$C11*$D11*$F11,"")</f>
        <v/>
      </c>
      <c r="N11" s="11">
        <f>IF($E11=25,$C11*$D11*$F11,"")</f>
        <v/>
      </c>
      <c r="O11" s="11">
        <f>IF($E11=32,$C11*$D11*$F11,"")</f>
        <v/>
      </c>
    </row>
    <row r="12">
      <c r="A12" s="8" t="n"/>
      <c r="B12" s="8" t="n"/>
      <c r="C12" s="17" t="n"/>
      <c r="D12" s="17" t="n"/>
      <c r="E12" s="17" t="n"/>
      <c r="F12" s="10" t="n"/>
      <c r="G12" s="11">
        <f>IF($E12=6,$C12*$D12*$F12,"")</f>
        <v/>
      </c>
      <c r="H12" s="11">
        <f>IF($E12=8,$C12*$D12*$F12,"")</f>
        <v/>
      </c>
      <c r="I12" s="11">
        <f>IF($E12=10,$C12*$D12*$F12,"")</f>
        <v/>
      </c>
      <c r="J12" s="11">
        <f>IF($E12=12,$C12*$D12*$F12,"")</f>
        <v/>
      </c>
      <c r="K12" s="11">
        <f>IF($E12=14,$C12*$D12*$F12,"")</f>
        <v/>
      </c>
      <c r="L12" s="11">
        <f>IF($E12=16,$C12*$D12*$F12,"")</f>
        <v/>
      </c>
      <c r="M12" s="11">
        <f>IF($E12=20,$C12*$D12*$F12,"")</f>
        <v/>
      </c>
      <c r="N12" s="11">
        <f>IF($E12=25,$C12*$D12*$F12,"")</f>
        <v/>
      </c>
      <c r="O12" s="11">
        <f>IF($E12=32,$C12*$D12*$F12,"")</f>
        <v/>
      </c>
    </row>
    <row r="13">
      <c r="A13" s="8" t="n"/>
      <c r="B13" s="8" t="n"/>
      <c r="C13" s="17" t="n"/>
      <c r="D13" s="17" t="n"/>
      <c r="E13" s="17" t="n"/>
      <c r="F13" s="10" t="n"/>
      <c r="G13" s="11">
        <f>IF($E13=6,$C13*$D13*$F13,"")</f>
        <v/>
      </c>
      <c r="H13" s="11">
        <f>IF($E13=8,$C13*$D13*$F13,"")</f>
        <v/>
      </c>
      <c r="I13" s="11">
        <f>IF($E13=10,$C13*$D13*$F13,"")</f>
        <v/>
      </c>
      <c r="J13" s="11">
        <f>IF($E13=12,$C13*$D13*$F13,"")</f>
        <v/>
      </c>
      <c r="K13" s="11">
        <f>IF($E13=14,$C13*$D13*$F13,"")</f>
        <v/>
      </c>
      <c r="L13" s="11">
        <f>IF($E13=16,$C13*$D13*$F13,"")</f>
        <v/>
      </c>
      <c r="M13" s="11">
        <f>IF($E13=20,$C13*$D13*$F13,"")</f>
        <v/>
      </c>
      <c r="N13" s="11">
        <f>IF($E13=25,$C13*$D13*$F13,"")</f>
        <v/>
      </c>
      <c r="O13" s="11">
        <f>IF($E13=32,$C13*$D13*$F13,"")</f>
        <v/>
      </c>
    </row>
    <row r="14">
      <c r="A14" s="8" t="n"/>
      <c r="B14" s="8" t="n"/>
      <c r="C14" s="17" t="n"/>
      <c r="D14" s="17" t="n"/>
      <c r="E14" s="17" t="n"/>
      <c r="F14" s="10" t="n"/>
      <c r="G14" s="11">
        <f>IF($E14=6,$C14*$D14*$F14,"")</f>
        <v/>
      </c>
      <c r="H14" s="11">
        <f>IF($E14=8,$C14*$D14*$F14,"")</f>
        <v/>
      </c>
      <c r="I14" s="11">
        <f>IF($E14=10,$C14*$D14*$F14,"")</f>
        <v/>
      </c>
      <c r="J14" s="11">
        <f>IF($E14=12,$C14*$D14*$F14,"")</f>
        <v/>
      </c>
      <c r="K14" s="11">
        <f>IF($E14=14,$C14*$D14*$F14,"")</f>
        <v/>
      </c>
      <c r="L14" s="11">
        <f>IF($E14=16,$C14*$D14*$F14,"")</f>
        <v/>
      </c>
      <c r="M14" s="11">
        <f>IF($E14=20,$C14*$D14*$F14,"")</f>
        <v/>
      </c>
      <c r="N14" s="11">
        <f>IF($E14=25,$C14*$D14*$F14,"")</f>
        <v/>
      </c>
      <c r="O14" s="11">
        <f>IF($E14=32,$C14*$D14*$F14,"")</f>
        <v/>
      </c>
    </row>
    <row r="15">
      <c r="A15" s="8" t="n"/>
      <c r="B15" s="8" t="n"/>
      <c r="C15" s="17" t="n"/>
      <c r="D15" s="17" t="n"/>
      <c r="E15" s="17" t="n"/>
      <c r="F15" s="10" t="n"/>
      <c r="G15" s="11">
        <f>IF($E15=6,$C15*$D15*$F15,"")</f>
        <v/>
      </c>
      <c r="H15" s="11">
        <f>IF($E15=8,$C15*$D15*$F15,"")</f>
        <v/>
      </c>
      <c r="I15" s="11">
        <f>IF($E15=10,$C15*$D15*$F15,"")</f>
        <v/>
      </c>
      <c r="J15" s="11">
        <f>IF($E15=12,$C15*$D15*$F15,"")</f>
        <v/>
      </c>
      <c r="K15" s="11">
        <f>IF($E15=14,$C15*$D15*$F15,"")</f>
        <v/>
      </c>
      <c r="L15" s="11">
        <f>IF($E15=16,$C15*$D15*$F15,"")</f>
        <v/>
      </c>
      <c r="M15" s="11">
        <f>IF($E15=20,$C15*$D15*$F15,"")</f>
        <v/>
      </c>
      <c r="N15" s="11">
        <f>IF($E15=25,$C15*$D15*$F15,"")</f>
        <v/>
      </c>
      <c r="O15" s="11">
        <f>IF($E15=32,$C15*$D15*$F15,"")</f>
        <v/>
      </c>
    </row>
    <row r="17">
      <c r="A17" s="25" t="inlineStr">
        <is>
          <t>LONGUEUR TOTALE (ml)</t>
        </is>
      </c>
      <c r="G17" s="23">
        <f>SUM(G4:G15)</f>
        <v/>
      </c>
      <c r="H17" s="23">
        <f>SUM(H4:H15)</f>
        <v/>
      </c>
      <c r="I17" s="23">
        <f>SUM(I4:I15)</f>
        <v/>
      </c>
      <c r="J17" s="23">
        <f>SUM(J4:J15)</f>
        <v/>
      </c>
      <c r="K17" s="23">
        <f>SUM(K4:K15)</f>
        <v/>
      </c>
      <c r="L17" s="23">
        <f>SUM(L4:L15)</f>
        <v/>
      </c>
      <c r="M17" s="23">
        <f>SUM(M4:M15)</f>
        <v/>
      </c>
      <c r="N17" s="23">
        <f>SUM(N4:N15)</f>
        <v/>
      </c>
      <c r="O17" s="23">
        <f>SUM(O4:O15)</f>
        <v/>
      </c>
    </row>
    <row r="18">
      <c r="A18" s="21" t="inlineStr">
        <is>
          <t>POIDS TOTAL SYNTHÈSE (kg)</t>
        </is>
      </c>
      <c r="B18" s="14" t="n"/>
      <c r="C18" s="14" t="n"/>
      <c r="D18" s="14" t="n"/>
      <c r="E18" s="14" t="n"/>
      <c r="F18" s="14" t="n"/>
      <c r="G18" s="15">
        <f>G17*0.222+H17*0.395+I17*0.617+J17*0.888+K17*1.208+L17*1.578+M17*2.466+N17*3.853+O17*6.313</f>
        <v/>
      </c>
    </row>
  </sheetData>
  <mergeCells count="4">
    <mergeCell ref="A1:O1"/>
    <mergeCell ref="G2:I2"/>
    <mergeCell ref="B2:E2"/>
    <mergeCell ref="K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ATTACHEMENT — GROS ŒUVRES &amp; DÉCOMPTE DES QUANTITÉS</t>
        </is>
      </c>
    </row>
    <row r="2">
      <c r="A2" s="2" t="inlineStr">
        <is>
          <t>N° Marché :</t>
        </is>
      </c>
      <c r="B2" s="3" t="n"/>
      <c r="C2" s="2" t="inlineStr">
        <is>
          <t>Situation n° :</t>
        </is>
      </c>
      <c r="D2" s="3" t="n"/>
      <c r="E2" s="2" t="inlineStr">
        <is>
          <t>Période :</t>
        </is>
      </c>
      <c r="F2" s="3" t="n"/>
      <c r="G2" s="34" t="n"/>
    </row>
    <row r="3">
      <c r="A3" s="4" t="inlineStr">
        <is>
          <t>N° Prix</t>
        </is>
      </c>
      <c r="B3" s="4" t="inlineStr">
        <is>
          <t>Désignation des Travaux</t>
        </is>
      </c>
      <c r="C3" s="4" t="inlineStr">
        <is>
          <t>Unité</t>
        </is>
      </c>
      <c r="D3" s="4" t="inlineStr">
        <is>
          <t>Qté Marché</t>
        </is>
      </c>
      <c r="E3" s="4" t="inlineStr">
        <is>
          <t>Qté Réalisée</t>
        </is>
      </c>
      <c r="F3" s="4" t="inlineStr">
        <is>
          <t>Reste</t>
        </is>
      </c>
      <c r="G3" s="4" t="inlineStr">
        <is>
          <t>% Avancement</t>
        </is>
      </c>
    </row>
    <row r="4">
      <c r="A4" s="27" t="inlineStr">
        <is>
          <t>1</t>
        </is>
      </c>
      <c r="B4" s="28" t="inlineStr">
        <is>
          <t>Terrassement en fouilles</t>
        </is>
      </c>
      <c r="C4" s="27" t="inlineStr">
        <is>
          <t>M3</t>
        </is>
      </c>
      <c r="D4" s="29" t="n"/>
      <c r="E4" s="30">
        <f>'01_Detail_Quantitatif'!K17</f>
        <v/>
      </c>
      <c r="F4" s="31">
        <f>D4-E4</f>
        <v/>
      </c>
      <c r="G4" s="36">
        <f>IF(D4&gt;0,E4/D4,0)</f>
        <v/>
      </c>
    </row>
    <row r="5">
      <c r="A5" s="27" t="inlineStr">
        <is>
          <t>2</t>
        </is>
      </c>
      <c r="B5" s="28" t="inlineStr">
        <is>
          <t>Béton de propreté dosé à 150 kg/m³</t>
        </is>
      </c>
      <c r="C5" s="27" t="inlineStr">
        <is>
          <t>M3</t>
        </is>
      </c>
      <c r="D5" s="29" t="n"/>
      <c r="E5" s="30">
        <f>'01_Detail_Quantitatif'!K29</f>
        <v/>
      </c>
      <c r="F5" s="31">
        <f>D5-E5</f>
        <v/>
      </c>
      <c r="G5" s="36">
        <f>IF(D5&gt;0,E5/D5,0)</f>
        <v/>
      </c>
    </row>
    <row r="6">
      <c r="A6" s="27" t="inlineStr">
        <is>
          <t>3</t>
        </is>
      </c>
      <c r="B6" s="28" t="inlineStr">
        <is>
          <t>Béton armé en fondation et élévation dosé à 350 kg/m³</t>
        </is>
      </c>
      <c r="C6" s="27" t="inlineStr">
        <is>
          <t>M3</t>
        </is>
      </c>
      <c r="D6" s="29" t="n"/>
      <c r="E6" s="30">
        <f>'01_Detail_Quantitatif'!K41</f>
        <v/>
      </c>
      <c r="F6" s="31">
        <f>D6-E6</f>
        <v/>
      </c>
      <c r="G6" s="36">
        <f>IF(D6&gt;0,E6/D6,0)</f>
        <v/>
      </c>
    </row>
    <row r="7">
      <c r="A7" s="27" t="inlineStr">
        <is>
          <t>4</t>
        </is>
      </c>
      <c r="B7" s="28" t="inlineStr">
        <is>
          <t>Aciers Haute Adhérence FeE500</t>
        </is>
      </c>
      <c r="C7" s="27" t="inlineStr">
        <is>
          <t>KG</t>
        </is>
      </c>
      <c r="D7" s="29" t="n"/>
      <c r="E7" s="33">
        <f>'02_Armatures'!K24</f>
        <v/>
      </c>
      <c r="F7" s="31">
        <f>D7-E7</f>
        <v/>
      </c>
      <c r="G7" s="36">
        <f>IF(D7&gt;0,E7/D7,0)</f>
        <v/>
      </c>
    </row>
  </sheetData>
  <mergeCells count="4">
    <mergeCell ref="D2"/>
    <mergeCell ref="B2"/>
    <mergeCell ref="A1:G1"/>
    <mergeCell ref="F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  <col width="26" customWidth="1" min="10" max="10"/>
    <col width="30" customWidth="1" min="11" max="11"/>
  </cols>
  <sheetData>
    <row r="1">
      <c r="A1" s="37" t="inlineStr">
        <is>
          <t>RÉFÉRENTIEL TECHNIQUE — CATALOGUE DES ARMATURES STANDARDISÉES (FIMUREX / EUROCODE 2)</t>
        </is>
      </c>
    </row>
    <row r="2">
      <c r="A2" s="38" t="inlineStr">
        <is>
          <t>Abaques de dimensionnement, sections d'acier, charges admissibles et nomenclatures de chantier</t>
        </is>
      </c>
    </row>
    <row r="4">
      <c r="A4" s="39" t="inlineStr">
        <is>
          <t>1. POTEAUX PRÉFABRIQUÉS STANDARD (FIMUREX PN - 4 ET 6 FILANTS, H &lt;= 2.80 m)</t>
        </is>
      </c>
    </row>
    <row r="5">
      <c r="A5" s="40" t="inlineStr">
        <is>
          <t>Réf. Armature</t>
        </is>
      </c>
      <c r="B5" s="40" t="inlineStr">
        <is>
          <t>Type</t>
        </is>
      </c>
      <c r="C5" s="40" t="inlineStr">
        <is>
          <t>Section Béton (cm)</t>
        </is>
      </c>
      <c r="D5" s="40" t="inlineStr">
        <is>
          <t>Aciers Filants</t>
        </is>
      </c>
      <c r="E5" s="40" t="inlineStr">
        <is>
          <t>Cadres / Espac.</t>
        </is>
      </c>
      <c r="F5" s="40" t="inlineStr">
        <is>
          <t>Pser Intérieur (daN)</t>
        </is>
      </c>
      <c r="G5" s="40" t="inlineStr">
        <is>
          <t>Pser Extérieur (daN)</t>
        </is>
      </c>
      <c r="H5" s="40" t="inlineStr">
        <is>
          <t>Pser Int. (kN)</t>
        </is>
      </c>
      <c r="I5" s="40" t="inlineStr">
        <is>
          <t>Pser Ext. (kN)</t>
        </is>
      </c>
      <c r="J5" s="40" t="inlineStr">
        <is>
          <t>Attente PA</t>
        </is>
      </c>
      <c r="K5" s="40" t="inlineStr">
        <is>
          <t>Domaine / Norme</t>
        </is>
      </c>
    </row>
    <row r="6">
      <c r="A6" s="41" t="inlineStr">
        <is>
          <t>PN4108X8</t>
        </is>
      </c>
      <c r="B6" s="41" t="inlineStr">
        <is>
          <t>Type I</t>
        </is>
      </c>
      <c r="C6" s="41" t="inlineStr">
        <is>
          <t>15 x 15</t>
        </is>
      </c>
      <c r="D6" s="41" t="inlineStr">
        <is>
          <t>4 HA 10</t>
        </is>
      </c>
      <c r="E6" s="41" t="inlineStr">
        <is>
          <t>HA 5 e=15</t>
        </is>
      </c>
      <c r="F6" s="42" t="n">
        <v>11780</v>
      </c>
      <c r="G6" s="42" t="n">
        <v>19500</v>
      </c>
      <c r="H6" s="42" t="n">
        <v>117.8</v>
      </c>
      <c r="I6" s="42" t="n">
        <v>195</v>
      </c>
      <c r="J6" s="41" t="inlineStr">
        <is>
          <t>PA4108X8</t>
        </is>
      </c>
      <c r="K6" s="43" t="inlineStr">
        <is>
          <t>Eurocode 2 / Non sismique</t>
        </is>
      </c>
    </row>
    <row r="7">
      <c r="A7" s="41" t="inlineStr">
        <is>
          <t>PN41010X10</t>
        </is>
      </c>
      <c r="B7" s="41" t="inlineStr">
        <is>
          <t>Type I</t>
        </is>
      </c>
      <c r="C7" s="41" t="inlineStr">
        <is>
          <t>15 x 15</t>
        </is>
      </c>
      <c r="D7" s="41" t="inlineStr">
        <is>
          <t>4 HA 10</t>
        </is>
      </c>
      <c r="E7" s="41" t="inlineStr">
        <is>
          <t>HA 5 e=15</t>
        </is>
      </c>
      <c r="F7" s="42" t="n">
        <v>11840</v>
      </c>
      <c r="G7" s="42" t="n">
        <v>25650</v>
      </c>
      <c r="H7" s="42" t="n">
        <v>118.4</v>
      </c>
      <c r="I7" s="42" t="n">
        <v>256.5</v>
      </c>
      <c r="J7" s="41" t="inlineStr">
        <is>
          <t>PA41010X10</t>
        </is>
      </c>
      <c r="K7" s="43" t="inlineStr">
        <is>
          <t>Eurocode 2 / Non sismique</t>
        </is>
      </c>
    </row>
    <row r="8">
      <c r="A8" s="41" t="inlineStr">
        <is>
          <t>PN41015X15</t>
        </is>
      </c>
      <c r="B8" s="41" t="inlineStr">
        <is>
          <t>Type I</t>
        </is>
      </c>
      <c r="C8" s="41" t="inlineStr">
        <is>
          <t>20 x 20</t>
        </is>
      </c>
      <c r="D8" s="41" t="inlineStr">
        <is>
          <t>4 HA 10</t>
        </is>
      </c>
      <c r="E8" s="41" t="inlineStr">
        <is>
          <t>HA 5 e=15</t>
        </is>
      </c>
      <c r="F8" s="42" t="n">
        <v>25810</v>
      </c>
      <c r="G8" s="42" t="n">
        <v>45180</v>
      </c>
      <c r="H8" s="42" t="n">
        <v>258.1</v>
      </c>
      <c r="I8" s="42" t="n">
        <v>451.8</v>
      </c>
      <c r="J8" s="41" t="inlineStr">
        <is>
          <t>PA1015X15</t>
        </is>
      </c>
      <c r="K8" s="43" t="inlineStr">
        <is>
          <t>Eurocode 2 / Non sismique</t>
        </is>
      </c>
    </row>
    <row r="9">
      <c r="A9" s="41" t="inlineStr">
        <is>
          <t>PN41020X20</t>
        </is>
      </c>
      <c r="B9" s="41" t="inlineStr">
        <is>
          <t>Type I</t>
        </is>
      </c>
      <c r="C9" s="41" t="inlineStr">
        <is>
          <t>25 x 25</t>
        </is>
      </c>
      <c r="D9" s="41" t="inlineStr">
        <is>
          <t>4 HA 10</t>
        </is>
      </c>
      <c r="E9" s="41" t="inlineStr">
        <is>
          <t>HA 5 e=15</t>
        </is>
      </c>
      <c r="F9" s="42" t="n">
        <v>45320</v>
      </c>
      <c r="G9" s="42" t="n">
        <v>70840</v>
      </c>
      <c r="H9" s="42" t="n">
        <v>453.2</v>
      </c>
      <c r="I9" s="42" t="n">
        <v>708.4</v>
      </c>
      <c r="J9" s="41" t="inlineStr">
        <is>
          <t>PA1015X15</t>
        </is>
      </c>
      <c r="K9" s="43" t="inlineStr">
        <is>
          <t>Eurocode 2 / Non sismique</t>
        </is>
      </c>
    </row>
    <row r="10">
      <c r="A10" s="41" t="inlineStr">
        <is>
          <t>P6N41025X25</t>
        </is>
      </c>
      <c r="B10" s="41" t="inlineStr">
        <is>
          <t>Type I</t>
        </is>
      </c>
      <c r="C10" s="41" t="inlineStr">
        <is>
          <t>30 x 30</t>
        </is>
      </c>
      <c r="D10" s="41" t="inlineStr">
        <is>
          <t>4 HA 10</t>
        </is>
      </c>
      <c r="E10" s="41" t="inlineStr">
        <is>
          <t>HA 5 e=15</t>
        </is>
      </c>
      <c r="F10" s="42" t="n">
        <v>70960</v>
      </c>
      <c r="G10" s="42" t="n">
        <v>97560</v>
      </c>
      <c r="H10" s="42" t="n">
        <v>709.6</v>
      </c>
      <c r="I10" s="42" t="n">
        <v>975.6</v>
      </c>
      <c r="J10" s="41" t="inlineStr">
        <is>
          <t>Sur mesure</t>
        </is>
      </c>
      <c r="K10" s="43" t="inlineStr">
        <is>
          <t>Eurocode 2 / Non sismique</t>
        </is>
      </c>
    </row>
    <row r="11">
      <c r="A11" s="41" t="inlineStr">
        <is>
          <t>PN41010X20</t>
        </is>
      </c>
      <c r="B11" s="41" t="inlineStr">
        <is>
          <t>Type I</t>
        </is>
      </c>
      <c r="C11" s="41" t="inlineStr">
        <is>
          <t>15 x 25</t>
        </is>
      </c>
      <c r="D11" s="41" t="inlineStr">
        <is>
          <t>4 HA 10</t>
        </is>
      </c>
      <c r="E11" s="41" t="inlineStr">
        <is>
          <t>HA 5 e=15</t>
        </is>
      </c>
      <c r="F11" s="42" t="n">
        <v>17770</v>
      </c>
      <c r="G11" s="42" t="n">
        <v>36470</v>
      </c>
      <c r="H11" s="42" t="n">
        <v>177.7</v>
      </c>
      <c r="I11" s="42" t="n">
        <v>364.7</v>
      </c>
      <c r="J11" s="41" t="inlineStr">
        <is>
          <t>PA41010X10</t>
        </is>
      </c>
      <c r="K11" s="43" t="inlineStr">
        <is>
          <t>Eurocode 2 / Section rect.</t>
        </is>
      </c>
    </row>
    <row r="12">
      <c r="A12" s="41" t="inlineStr">
        <is>
          <t>PN41015X20</t>
        </is>
      </c>
      <c r="B12" s="41" t="inlineStr">
        <is>
          <t>Type I</t>
        </is>
      </c>
      <c r="C12" s="41" t="inlineStr">
        <is>
          <t>20 x 25</t>
        </is>
      </c>
      <c r="D12" s="41" t="inlineStr">
        <is>
          <t>4 HA 10</t>
        </is>
      </c>
      <c r="E12" s="41" t="inlineStr">
        <is>
          <t>HA 5 e=15</t>
        </is>
      </c>
      <c r="F12" s="42" t="n">
        <v>31210</v>
      </c>
      <c r="G12" s="42" t="n">
        <v>53230</v>
      </c>
      <c r="H12" s="42" t="n">
        <v>312.1</v>
      </c>
      <c r="I12" s="42" t="n">
        <v>532.3</v>
      </c>
      <c r="J12" s="41" t="inlineStr">
        <is>
          <t>PA1015X15</t>
        </is>
      </c>
      <c r="K12" s="43" t="inlineStr">
        <is>
          <t>Eurocode 2 / Section rect.</t>
        </is>
      </c>
    </row>
    <row r="13">
      <c r="A13" s="41" t="inlineStr">
        <is>
          <t>P6N61015X30</t>
        </is>
      </c>
      <c r="B13" s="41" t="inlineStr">
        <is>
          <t>Type III</t>
        </is>
      </c>
      <c r="C13" s="41" t="inlineStr">
        <is>
          <t>20 x 35</t>
        </is>
      </c>
      <c r="D13" s="41" t="inlineStr">
        <is>
          <t>6 HA 10</t>
        </is>
      </c>
      <c r="E13" s="41" t="inlineStr">
        <is>
          <t>HA 5 e=15</t>
        </is>
      </c>
      <c r="F13" s="42" t="n">
        <v>42010</v>
      </c>
      <c r="G13" s="42" t="n">
        <v>69330</v>
      </c>
      <c r="H13" s="42" t="n">
        <v>420.1</v>
      </c>
      <c r="I13" s="42" t="n">
        <v>693.3</v>
      </c>
      <c r="J13" s="41" t="inlineStr">
        <is>
          <t>PA661010X25</t>
        </is>
      </c>
      <c r="K13" s="43" t="inlineStr">
        <is>
          <t>Eurocode 2 / 6 filants</t>
        </is>
      </c>
    </row>
    <row r="14">
      <c r="A14" s="41" t="inlineStr">
        <is>
          <t>P6N61015X40</t>
        </is>
      </c>
      <c r="B14" s="41" t="inlineStr">
        <is>
          <t>Type III</t>
        </is>
      </c>
      <c r="C14" s="41" t="inlineStr">
        <is>
          <t>20 x 45</t>
        </is>
      </c>
      <c r="D14" s="41" t="inlineStr">
        <is>
          <t>6 HA 10</t>
        </is>
      </c>
      <c r="E14" s="41" t="inlineStr">
        <is>
          <t>HA 5 e=15</t>
        </is>
      </c>
      <c r="F14" s="42" t="n">
        <v>52820</v>
      </c>
      <c r="G14" s="42" t="n">
        <v>85430</v>
      </c>
      <c r="H14" s="42" t="n">
        <v>528.2</v>
      </c>
      <c r="I14" s="42" t="n">
        <v>854.3</v>
      </c>
      <c r="J14" s="41" t="inlineStr">
        <is>
          <t>PA661010X35</t>
        </is>
      </c>
      <c r="K14" s="43" t="inlineStr">
        <is>
          <t>Eurocode 2 / 6 filants</t>
        </is>
      </c>
    </row>
    <row r="16">
      <c r="A16" s="39" t="inlineStr">
        <is>
          <t>2. SEMELLES ISOLÉES SOUS POTEAUX (FIMUREX SIC CARRÉES)</t>
        </is>
      </c>
    </row>
    <row r="17">
      <c r="A17" s="40" t="inlineStr">
        <is>
          <t>Réf. Armature</t>
        </is>
      </c>
      <c r="B17" s="40" t="inlineStr">
        <is>
          <t>Section AxAxH (cm)</t>
        </is>
      </c>
      <c r="C17" s="40" t="inlineStr">
        <is>
          <t>Pser à 1.0 bar (daN)</t>
        </is>
      </c>
      <c r="D17" s="40" t="inlineStr">
        <is>
          <t>Pser à 1.5 bar (daN)</t>
        </is>
      </c>
      <c r="E17" s="40" t="inlineStr">
        <is>
          <t>Pser à 2.0 bars (daN)</t>
        </is>
      </c>
      <c r="F17" s="40" t="inlineStr">
        <is>
          <t>Pser 1.5b (kN)</t>
        </is>
      </c>
      <c r="G17" s="40" t="inlineStr">
        <is>
          <t>Nappes Inf. X</t>
        </is>
      </c>
      <c r="H17" s="40" t="inlineStr">
        <is>
          <t>Nappes Inf. Y</t>
        </is>
      </c>
      <c r="I17" s="40" t="inlineStr">
        <is>
          <t>Crochets (e cm)</t>
        </is>
      </c>
      <c r="J17" s="40" t="inlineStr">
        <is>
          <t>Abouts (cm)</t>
        </is>
      </c>
      <c r="K17" s="40" t="inlineStr">
        <is>
          <t>Enrobage (cm)</t>
        </is>
      </c>
    </row>
    <row r="18">
      <c r="A18" s="41" t="inlineStr">
        <is>
          <t>SIC4655 / 4855</t>
        </is>
      </c>
      <c r="B18" s="41" t="inlineStr">
        <is>
          <t>65 x 65 x 20</t>
        </is>
      </c>
      <c r="C18" s="42" t="n">
        <v>4230</v>
      </c>
      <c r="D18" s="42" t="n">
        <v>6340</v>
      </c>
      <c r="E18" s="42" t="n">
        <v>8450</v>
      </c>
      <c r="F18" s="44" t="n">
        <v>63.4</v>
      </c>
      <c r="G18" s="41" t="inlineStr">
        <is>
          <t>4 HA 8</t>
        </is>
      </c>
      <c r="H18" s="41" t="inlineStr">
        <is>
          <t>4 HA 8</t>
        </is>
      </c>
      <c r="I18" s="41" t="inlineStr">
        <is>
          <t>e = 15</t>
        </is>
      </c>
      <c r="J18" s="45" t="n">
        <v>5</v>
      </c>
      <c r="K18" s="45" t="n">
        <v>5</v>
      </c>
    </row>
    <row r="19">
      <c r="A19" s="41" t="inlineStr">
        <is>
          <t>SIC5775</t>
        </is>
      </c>
      <c r="B19" s="41" t="inlineStr">
        <is>
          <t>85 x 85 x 25</t>
        </is>
      </c>
      <c r="C19" s="42" t="n">
        <v>7230</v>
      </c>
      <c r="D19" s="42" t="n">
        <v>10840</v>
      </c>
      <c r="E19" s="42" t="n">
        <v>14450</v>
      </c>
      <c r="F19" s="42" t="n">
        <v>108.4</v>
      </c>
      <c r="G19" s="41" t="inlineStr">
        <is>
          <t>5 HA 8</t>
        </is>
      </c>
      <c r="H19" s="41" t="inlineStr">
        <is>
          <t>5 HA 8</t>
        </is>
      </c>
      <c r="I19" s="41" t="inlineStr">
        <is>
          <t>e = 15</t>
        </is>
      </c>
      <c r="J19" s="45" t="n">
        <v>5</v>
      </c>
      <c r="K19" s="45" t="n">
        <v>5</v>
      </c>
    </row>
    <row r="20">
      <c r="A20" s="41" t="inlineStr">
        <is>
          <t>SIC6895</t>
        </is>
      </c>
      <c r="B20" s="41" t="inlineStr">
        <is>
          <t>105 x 105 x 30</t>
        </is>
      </c>
      <c r="C20" s="42" t="n">
        <v>11030</v>
      </c>
      <c r="D20" s="42" t="n">
        <v>16540</v>
      </c>
      <c r="E20" s="42" t="n">
        <v>22050</v>
      </c>
      <c r="F20" s="42" t="n">
        <v>165.4</v>
      </c>
      <c r="G20" s="41" t="inlineStr">
        <is>
          <t>6 HA 8</t>
        </is>
      </c>
      <c r="H20" s="41" t="inlineStr">
        <is>
          <t>6 HA 8</t>
        </is>
      </c>
      <c r="I20" s="41" t="inlineStr">
        <is>
          <t>e = 15</t>
        </is>
      </c>
      <c r="J20" s="45" t="n">
        <v>5</v>
      </c>
      <c r="K20" s="45" t="n">
        <v>5</v>
      </c>
    </row>
    <row r="21">
      <c r="A21" s="41" t="inlineStr">
        <is>
          <t>SIC610115</t>
        </is>
      </c>
      <c r="B21" s="41" t="inlineStr">
        <is>
          <t>125 x 125 x 35</t>
        </is>
      </c>
      <c r="C21" s="42" t="n">
        <v>15630</v>
      </c>
      <c r="D21" s="42" t="n">
        <v>23440</v>
      </c>
      <c r="E21" s="42" t="n">
        <v>31250</v>
      </c>
      <c r="F21" s="42" t="n">
        <v>234.4</v>
      </c>
      <c r="G21" s="41" t="inlineStr">
        <is>
          <t>6 HA 10</t>
        </is>
      </c>
      <c r="H21" s="41" t="inlineStr">
        <is>
          <t>6 HA 10</t>
        </is>
      </c>
      <c r="I21" s="41" t="inlineStr">
        <is>
          <t>e = 15</t>
        </is>
      </c>
      <c r="J21" s="45" t="n">
        <v>5</v>
      </c>
      <c r="K21" s="45" t="n">
        <v>5</v>
      </c>
    </row>
    <row r="22">
      <c r="A22" s="41" t="inlineStr">
        <is>
          <t>SIC710135</t>
        </is>
      </c>
      <c r="B22" s="41" t="inlineStr">
        <is>
          <t>145 x 145 x 40</t>
        </is>
      </c>
      <c r="C22" s="42" t="n">
        <v>21030</v>
      </c>
      <c r="D22" s="42" t="n">
        <v>31540</v>
      </c>
      <c r="E22" s="42" t="n">
        <v>38090</v>
      </c>
      <c r="F22" s="42" t="n">
        <v>315.4</v>
      </c>
      <c r="G22" s="41" t="inlineStr">
        <is>
          <t>7 HA 10</t>
        </is>
      </c>
      <c r="H22" s="41" t="inlineStr">
        <is>
          <t>7 HA 10</t>
        </is>
      </c>
      <c r="I22" s="41" t="inlineStr">
        <is>
          <t>e = 15</t>
        </is>
      </c>
      <c r="J22" s="45" t="n">
        <v>5</v>
      </c>
      <c r="K22" s="45" t="n">
        <v>5</v>
      </c>
    </row>
    <row r="24">
      <c r="A24" s="39" t="inlineStr">
        <is>
          <t>3. SEMELLES FILANTES PLATES &amp; RENFORCÉES (FIMUREX S / F / FM - Lg = 6.00 m)</t>
        </is>
      </c>
    </row>
    <row r="25">
      <c r="A25" s="40" t="inlineStr">
        <is>
          <t>Réf. Armature</t>
        </is>
      </c>
      <c r="B25" s="40" t="inlineStr">
        <is>
          <t>Type Ouvrage</t>
        </is>
      </c>
      <c r="C25" s="40" t="inlineStr">
        <is>
          <t>Largeur (cm)</t>
        </is>
      </c>
      <c r="D25" s="40" t="inlineStr">
        <is>
          <t>Hauteur (cm)</t>
        </is>
      </c>
      <c r="E25" s="40" t="inlineStr">
        <is>
          <t>Aciers Filants</t>
        </is>
      </c>
      <c r="F25" s="40" t="inlineStr">
        <is>
          <t>Armatures Transv.</t>
        </is>
      </c>
      <c r="G25" s="40" t="inlineStr">
        <is>
          <t>Espac. (cm)</t>
        </is>
      </c>
      <c r="H25" s="40" t="inlineStr">
        <is>
          <t>Nuance Acier</t>
        </is>
      </c>
      <c r="I25" s="40" t="inlineStr">
        <is>
          <t>Conditionnement</t>
        </is>
      </c>
      <c r="J25" s="40" t="inlineStr">
        <is>
          <t>Usage Sol Recommandé</t>
        </is>
      </c>
      <c r="K25" s="40" t="inlineStr">
        <is>
          <t>Conformité</t>
        </is>
      </c>
    </row>
    <row r="26">
      <c r="A26" s="41" t="inlineStr">
        <is>
          <t>S3835</t>
        </is>
      </c>
      <c r="B26" s="41" t="inlineStr">
        <is>
          <t>Semelle plate</t>
        </is>
      </c>
      <c r="C26" s="45" t="n">
        <v>35</v>
      </c>
      <c r="D26" s="45" t="n">
        <v>5</v>
      </c>
      <c r="E26" s="41" t="inlineStr">
        <is>
          <t>3 HA 8</t>
        </is>
      </c>
      <c r="F26" s="41" t="inlineStr">
        <is>
          <t>Crochets HA 5</t>
        </is>
      </c>
      <c r="G26" s="41" t="inlineStr">
        <is>
          <t>e = 30</t>
        </is>
      </c>
      <c r="H26" s="41" t="inlineStr">
        <is>
          <t>B500A / B500B</t>
        </is>
      </c>
      <c r="I26" s="41" t="inlineStr">
        <is>
          <t>48 unités</t>
        </is>
      </c>
      <c r="J26" s="43" t="inlineStr">
        <is>
          <t>Sol homogène sans tassement</t>
        </is>
      </c>
      <c r="K26" s="41" t="inlineStr">
        <is>
          <t>EC2 / FD P18-717</t>
        </is>
      </c>
    </row>
    <row r="27">
      <c r="A27" s="41" t="inlineStr">
        <is>
          <t>S31040</t>
        </is>
      </c>
      <c r="B27" s="41" t="inlineStr">
        <is>
          <t>Semelle plate</t>
        </is>
      </c>
      <c r="C27" s="45" t="n">
        <v>40</v>
      </c>
      <c r="D27" s="45" t="n">
        <v>5</v>
      </c>
      <c r="E27" s="41" t="inlineStr">
        <is>
          <t>3 HA 10</t>
        </is>
      </c>
      <c r="F27" s="41" t="inlineStr">
        <is>
          <t>Crochets HA 5</t>
        </is>
      </c>
      <c r="G27" s="41" t="inlineStr">
        <is>
          <t>e = 30</t>
        </is>
      </c>
      <c r="H27" s="41" t="inlineStr">
        <is>
          <t>B500A / B500B</t>
        </is>
      </c>
      <c r="I27" s="41" t="inlineStr">
        <is>
          <t>48 unités</t>
        </is>
      </c>
      <c r="J27" s="43" t="inlineStr">
        <is>
          <t>Sol homogène standard</t>
        </is>
      </c>
      <c r="K27" s="41" t="inlineStr">
        <is>
          <t>EC2 / FD P18-717</t>
        </is>
      </c>
    </row>
    <row r="28">
      <c r="A28" s="41" t="inlineStr">
        <is>
          <t>S41050</t>
        </is>
      </c>
      <c r="B28" s="41" t="inlineStr">
        <is>
          <t>Semelle plate</t>
        </is>
      </c>
      <c r="C28" s="45" t="n">
        <v>50</v>
      </c>
      <c r="D28" s="45" t="n">
        <v>5</v>
      </c>
      <c r="E28" s="41" t="inlineStr">
        <is>
          <t>4 HA 10</t>
        </is>
      </c>
      <c r="F28" s="41" t="inlineStr">
        <is>
          <t>Crochets HA 5</t>
        </is>
      </c>
      <c r="G28" s="41" t="inlineStr">
        <is>
          <t>e = 30</t>
        </is>
      </c>
      <c r="H28" s="41" t="inlineStr">
        <is>
          <t>B500A / B500B</t>
        </is>
      </c>
      <c r="I28" s="41" t="inlineStr">
        <is>
          <t>48 unités</t>
        </is>
      </c>
      <c r="J28" s="43" t="inlineStr">
        <is>
          <t>Murs porteurs lourds</t>
        </is>
      </c>
      <c r="K28" s="41" t="inlineStr">
        <is>
          <t>EC2 / FD P18-717</t>
        </is>
      </c>
    </row>
    <row r="29">
      <c r="A29" s="41" t="inlineStr">
        <is>
          <t>F6835X15</t>
        </is>
      </c>
      <c r="B29" s="41" t="inlineStr">
        <is>
          <t>Semelle renforcée</t>
        </is>
      </c>
      <c r="C29" s="45" t="n">
        <v>35</v>
      </c>
      <c r="D29" s="45" t="n">
        <v>15</v>
      </c>
      <c r="E29" s="41" t="inlineStr">
        <is>
          <t>6 HA 8 (2 nappes)</t>
        </is>
      </c>
      <c r="F29" s="41" t="inlineStr">
        <is>
          <t>Cadres HA 5</t>
        </is>
      </c>
      <c r="G29" s="41" t="inlineStr">
        <is>
          <t>e = 30</t>
        </is>
      </c>
      <c r="H29" s="41" t="inlineStr">
        <is>
          <t>B500B</t>
        </is>
      </c>
      <c r="I29" s="41" t="inlineStr">
        <is>
          <t>8 unités</t>
        </is>
      </c>
      <c r="J29" s="43" t="inlineStr">
        <is>
          <t>Faibles tassements diff.</t>
        </is>
      </c>
      <c r="K29" s="41" t="inlineStr">
        <is>
          <t>EC2 / FD P18-717</t>
        </is>
      </c>
    </row>
    <row r="30">
      <c r="A30" s="41" t="inlineStr">
        <is>
          <t>F6835X20</t>
        </is>
      </c>
      <c r="B30" s="41" t="inlineStr">
        <is>
          <t>Semelle renforcée</t>
        </is>
      </c>
      <c r="C30" s="45" t="n">
        <v>35</v>
      </c>
      <c r="D30" s="45" t="n">
        <v>20</v>
      </c>
      <c r="E30" s="41" t="inlineStr">
        <is>
          <t>6 HA 8 (2 nappes)</t>
        </is>
      </c>
      <c r="F30" s="41" t="inlineStr">
        <is>
          <t>Cadres HA 5</t>
        </is>
      </c>
      <c r="G30" s="41" t="inlineStr">
        <is>
          <t>e = 30</t>
        </is>
      </c>
      <c r="H30" s="41" t="inlineStr">
        <is>
          <t>B500B</t>
        </is>
      </c>
      <c r="I30" s="41" t="inlineStr">
        <is>
          <t>6 unités</t>
        </is>
      </c>
      <c r="J30" s="43" t="inlineStr">
        <is>
          <t>Faibles tassements diff.</t>
        </is>
      </c>
      <c r="K30" s="41" t="inlineStr">
        <is>
          <t>EC2 / FD P18-717</t>
        </is>
      </c>
    </row>
    <row r="31">
      <c r="A31" s="41" t="inlineStr">
        <is>
          <t>FM61035X20</t>
        </is>
      </c>
      <c r="B31" s="41" t="inlineStr">
        <is>
          <t>Semelle renforcée</t>
        </is>
      </c>
      <c r="C31" s="45" t="n">
        <v>35</v>
      </c>
      <c r="D31" s="45" t="n">
        <v>20</v>
      </c>
      <c r="E31" s="41" t="inlineStr">
        <is>
          <t>6 HA 10 (2 nappes)</t>
        </is>
      </c>
      <c r="F31" s="41" t="inlineStr">
        <is>
          <t>Cadres HA 5</t>
        </is>
      </c>
      <c r="G31" s="41" t="inlineStr">
        <is>
          <t>e = 25</t>
        </is>
      </c>
      <c r="H31" s="41" t="inlineStr">
        <is>
          <t>B500B</t>
        </is>
      </c>
      <c r="I31" s="41" t="inlineStr">
        <is>
          <t>6 unités</t>
        </is>
      </c>
      <c r="J31" s="43" t="inlineStr">
        <is>
          <t>Charges élevées</t>
        </is>
      </c>
      <c r="K31" s="41" t="inlineStr">
        <is>
          <t>EC2 / FD P18-717</t>
        </is>
      </c>
    </row>
    <row r="32">
      <c r="A32" s="41" t="inlineStr">
        <is>
          <t>FM612140X20</t>
        </is>
      </c>
      <c r="B32" s="41" t="inlineStr">
        <is>
          <t>Semelle renforcée</t>
        </is>
      </c>
      <c r="C32" s="45" t="n">
        <v>40</v>
      </c>
      <c r="D32" s="45" t="n">
        <v>20</v>
      </c>
      <c r="E32" s="41" t="inlineStr">
        <is>
          <t>4 HA 12 + 2 HA 10</t>
        </is>
      </c>
      <c r="F32" s="41" t="inlineStr">
        <is>
          <t>Cadres HA 5</t>
        </is>
      </c>
      <c r="G32" s="41" t="inlineStr">
        <is>
          <t>e = 25</t>
        </is>
      </c>
      <c r="H32" s="41" t="inlineStr">
        <is>
          <t>B500B</t>
        </is>
      </c>
      <c r="I32" s="41" t="inlineStr">
        <is>
          <t>6 unités</t>
        </is>
      </c>
      <c r="J32" s="43" t="inlineStr">
        <is>
          <t>Rigidité renforcée</t>
        </is>
      </c>
      <c r="K32" s="41" t="inlineStr">
        <is>
          <t>EC2 / FD P18-717</t>
        </is>
      </c>
    </row>
    <row r="34">
      <c r="A34" s="39" t="inlineStr">
        <is>
          <t>4. CHAÎNAGES HORIZONTAUX &amp; VERTICAUX (DTU 20.1 &amp; ZONE SISMIQUE Z1 À Z4)</t>
        </is>
      </c>
    </row>
    <row r="35">
      <c r="A35" s="40" t="inlineStr">
        <is>
          <t>Réf. Armature</t>
        </is>
      </c>
      <c r="B35" s="40" t="inlineStr">
        <is>
          <t>Zone Sismique</t>
        </is>
      </c>
      <c r="C35" s="40" t="inlineStr">
        <is>
          <t>Section Béton (cm)</t>
        </is>
      </c>
      <c r="D35" s="40" t="inlineStr">
        <is>
          <t>Aciers Filants</t>
        </is>
      </c>
      <c r="E35" s="40" t="inlineStr">
        <is>
          <t>Section An (cm²)</t>
        </is>
      </c>
      <c r="F35" s="40" t="inlineStr">
        <is>
          <t>Armat. Transversales</t>
        </is>
      </c>
      <c r="G35" s="40" t="inlineStr">
        <is>
          <t>Espac. (cm)</t>
        </is>
      </c>
      <c r="H35" s="40" t="inlineStr">
        <is>
          <t>Fermeture Cadres</t>
        </is>
      </c>
      <c r="I35" s="40" t="inlineStr">
        <is>
          <t>Positionnement Nœud</t>
        </is>
      </c>
      <c r="J35" s="40" t="inlineStr">
        <is>
          <t>Application</t>
        </is>
      </c>
      <c r="K35" s="40" t="inlineStr">
        <is>
          <t>Règle Normative</t>
        </is>
      </c>
    </row>
    <row r="36">
      <c r="A36" s="41" t="inlineStr">
        <is>
          <t>CH2104X10</t>
        </is>
      </c>
      <c r="B36" s="41" t="inlineStr">
        <is>
          <t>Z1 - Z2 (Très faible / Faible)</t>
        </is>
      </c>
      <c r="C36" s="41" t="inlineStr">
        <is>
          <t>15 x 20</t>
        </is>
      </c>
      <c r="D36" s="41" t="inlineStr">
        <is>
          <t>2 HA 10</t>
        </is>
      </c>
      <c r="E36" s="44" t="n">
        <v>1.57</v>
      </c>
      <c r="F36" s="41" t="inlineStr">
        <is>
          <t>Épingles Ø 4</t>
        </is>
      </c>
      <c r="G36" s="41" t="inlineStr">
        <is>
          <t>e = 30 à 50</t>
        </is>
      </c>
      <c r="H36" s="41" t="inlineStr">
        <is>
          <t>Libre</t>
        </is>
      </c>
      <c r="I36" s="41" t="inlineStr">
        <is>
          <t>-</t>
        </is>
      </c>
      <c r="J36" s="43" t="inlineStr">
        <is>
          <t>Chaînage horizontal / pignon</t>
        </is>
      </c>
      <c r="K36" s="43" t="inlineStr">
        <is>
          <t>DTU 20.1 (An &gt;= 1.50 cm²)</t>
        </is>
      </c>
    </row>
    <row r="37">
      <c r="A37" s="41" t="inlineStr">
        <is>
          <t>CH4710X10</t>
        </is>
      </c>
      <c r="B37" s="41" t="inlineStr">
        <is>
          <t>Z1 - Z2 (Très faible / Faible)</t>
        </is>
      </c>
      <c r="C37" s="41" t="inlineStr">
        <is>
          <t>15 x 15</t>
        </is>
      </c>
      <c r="D37" s="41" t="inlineStr">
        <is>
          <t>4 HA 7</t>
        </is>
      </c>
      <c r="E37" s="44" t="n">
        <v>1.54</v>
      </c>
      <c r="F37" s="41" t="inlineStr">
        <is>
          <t>Cadres Ø 4</t>
        </is>
      </c>
      <c r="G37" s="41" t="inlineStr">
        <is>
          <t>e = 30 à 40</t>
        </is>
      </c>
      <c r="H37" s="41" t="inlineStr">
        <is>
          <t>Libre</t>
        </is>
      </c>
      <c r="I37" s="41" t="inlineStr">
        <is>
          <t>-</t>
        </is>
      </c>
      <c r="J37" s="43" t="inlineStr">
        <is>
          <t>Chaînage horizontal / vertical</t>
        </is>
      </c>
      <c r="K37" s="43" t="inlineStr">
        <is>
          <t>DTU 20.1 (An &gt;= 1.50 cm²)</t>
        </is>
      </c>
    </row>
    <row r="38">
      <c r="A38" s="41" t="inlineStr">
        <is>
          <t>CH4815X15</t>
        </is>
      </c>
      <c r="B38" s="41" t="inlineStr">
        <is>
          <t>Z1 - Z2 (Très faible / Faible)</t>
        </is>
      </c>
      <c r="C38" s="41" t="inlineStr">
        <is>
          <t>20 x 20</t>
        </is>
      </c>
      <c r="D38" s="41" t="inlineStr">
        <is>
          <t>4 HA 8</t>
        </is>
      </c>
      <c r="E38" s="44" t="n">
        <v>2.01</v>
      </c>
      <c r="F38" s="41" t="inlineStr">
        <is>
          <t>Cadres Ø 4</t>
        </is>
      </c>
      <c r="G38" s="41" t="inlineStr">
        <is>
          <t>e = 30 à 40</t>
        </is>
      </c>
      <c r="H38" s="41" t="inlineStr">
        <is>
          <t>Libre</t>
        </is>
      </c>
      <c r="I38" s="41" t="inlineStr">
        <is>
          <t>-</t>
        </is>
      </c>
      <c r="J38" s="43" t="inlineStr">
        <is>
          <t>Chaînage niveaux courants</t>
        </is>
      </c>
      <c r="K38" s="43" t="inlineStr">
        <is>
          <t>DTU 20.1 (An &gt;= 1.50 cm²)</t>
        </is>
      </c>
    </row>
    <row r="39">
      <c r="A39" s="41" t="inlineStr">
        <is>
          <t>CHR41010X10</t>
        </is>
      </c>
      <c r="B39" s="41" t="inlineStr">
        <is>
          <t>Z1 - Z2 (Très faible / Faible)</t>
        </is>
      </c>
      <c r="C39" s="41" t="inlineStr">
        <is>
          <t>20 x 20</t>
        </is>
      </c>
      <c r="D39" s="41" t="inlineStr">
        <is>
          <t>4 HA 10</t>
        </is>
      </c>
      <c r="E39" s="44" t="n">
        <v>3.14</v>
      </c>
      <c r="F39" s="41" t="inlineStr">
        <is>
          <t>Cadres HA 5</t>
        </is>
      </c>
      <c r="G39" s="41" t="inlineStr">
        <is>
          <t>e = 20</t>
        </is>
      </c>
      <c r="H39" s="41" t="inlineStr">
        <is>
          <t>135° ou soudé</t>
        </is>
      </c>
      <c r="I39" s="41" t="inlineStr">
        <is>
          <t>-</t>
        </is>
      </c>
      <c r="J39" s="43" t="inlineStr">
        <is>
          <t>Planchers-terrasses</t>
        </is>
      </c>
      <c r="K39" s="43" t="inlineStr">
        <is>
          <t>DTU 20.1 (An &gt;= 3.08 cm²)</t>
        </is>
      </c>
    </row>
    <row r="40">
      <c r="A40" s="41" t="inlineStr">
        <is>
          <t>CS108X8</t>
        </is>
      </c>
      <c r="B40" s="41" t="inlineStr">
        <is>
          <t>Z3 - Z4 (Modérée / Moyenne)</t>
        </is>
      </c>
      <c r="C40" s="41" t="inlineStr">
        <is>
          <t>15 x 15 min</t>
        </is>
      </c>
      <c r="D40" s="41" t="inlineStr">
        <is>
          <t>4 HA 10</t>
        </is>
      </c>
      <c r="E40" s="44" t="n">
        <v>3.14</v>
      </c>
      <c r="F40" s="41" t="inlineStr">
        <is>
          <t>Cadres HA 5</t>
        </is>
      </c>
      <c r="G40" s="41" t="inlineStr">
        <is>
          <t>e = 15</t>
        </is>
      </c>
      <c r="H40" s="41" t="inlineStr">
        <is>
          <t>Crochets 135°</t>
        </is>
      </c>
      <c r="I40" s="41" t="inlineStr">
        <is>
          <t>1er cadre à &lt;= 7.5 cm</t>
        </is>
      </c>
      <c r="J40" s="43" t="inlineStr">
        <is>
          <t>Chaînage vert. / horiz. sismique</t>
        </is>
      </c>
      <c r="K40" s="43" t="inlineStr">
        <is>
          <t>CPMI EC8 / EC8-1</t>
        </is>
      </c>
    </row>
    <row r="41">
      <c r="A41" s="41" t="inlineStr">
        <is>
          <t>CS1210X10</t>
        </is>
      </c>
      <c r="B41" s="41" t="inlineStr">
        <is>
          <t>Z3 - Z4 (Modérée / Moyenne)</t>
        </is>
      </c>
      <c r="C41" s="41" t="inlineStr">
        <is>
          <t>20 x 20 min</t>
        </is>
      </c>
      <c r="D41" s="41" t="inlineStr">
        <is>
          <t>4 HA 12</t>
        </is>
      </c>
      <c r="E41" s="44" t="n">
        <v>4.52</v>
      </c>
      <c r="F41" s="41" t="inlineStr">
        <is>
          <t>Cadres HA 5</t>
        </is>
      </c>
      <c r="G41" s="41" t="inlineStr">
        <is>
          <t>e = 15</t>
        </is>
      </c>
      <c r="H41" s="41" t="inlineStr">
        <is>
          <t>Crochets 135°</t>
        </is>
      </c>
      <c r="I41" s="41" t="inlineStr">
        <is>
          <t>1er cadre à &lt;= 7.5 cm</t>
        </is>
      </c>
      <c r="J41" s="43" t="inlineStr">
        <is>
          <t>Chaînage vert. / horiz. sismique</t>
        </is>
      </c>
      <c r="K41" s="43" t="inlineStr">
        <is>
          <t>CPMI EC8 / EC8-1</t>
        </is>
      </c>
    </row>
    <row r="42">
      <c r="A42" s="41" t="inlineStr">
        <is>
          <t>ATCS108X8</t>
        </is>
      </c>
      <c r="B42" s="41" t="inlineStr">
        <is>
          <t>Z3 - Z4 (Modérée / Moyenne)</t>
        </is>
      </c>
      <c r="C42" s="41" t="inlineStr">
        <is>
          <t>15 x 15 min</t>
        </is>
      </c>
      <c r="D42" s="41" t="inlineStr">
        <is>
          <t>4 HA 10</t>
        </is>
      </c>
      <c r="E42" s="44" t="n">
        <v>3.14</v>
      </c>
      <c r="F42" s="41" t="inlineStr">
        <is>
          <t>Cadres HA 5</t>
        </is>
      </c>
      <c r="G42" s="41" t="inlineStr">
        <is>
          <t>25-4x15-85</t>
        </is>
      </c>
      <c r="H42" s="41" t="inlineStr">
        <is>
          <t>Crochets 135°</t>
        </is>
      </c>
      <c r="I42" s="41" t="inlineStr">
        <is>
          <t>Recouvrement &gt;= 60 cm</t>
        </is>
      </c>
      <c r="J42" s="43" t="inlineStr">
        <is>
          <t>Attente soubassement sismique</t>
        </is>
      </c>
      <c r="K42" s="43" t="inlineStr">
        <is>
          <t>CPMI EC8 (HA10 &gt;= 60 cm)</t>
        </is>
      </c>
    </row>
    <row r="43">
      <c r="A43" s="41" t="inlineStr">
        <is>
          <t>ATCS128X8</t>
        </is>
      </c>
      <c r="B43" s="41" t="inlineStr">
        <is>
          <t>Z3 - Z4 (Modérée / Moyenne)</t>
        </is>
      </c>
      <c r="C43" s="41" t="inlineStr">
        <is>
          <t>15 x 15 min</t>
        </is>
      </c>
      <c r="D43" s="41" t="inlineStr">
        <is>
          <t>4 HA 12</t>
        </is>
      </c>
      <c r="E43" s="44" t="n">
        <v>4.52</v>
      </c>
      <c r="F43" s="41" t="inlineStr">
        <is>
          <t>Cadres HA 5</t>
        </is>
      </c>
      <c r="G43" s="41" t="inlineStr">
        <is>
          <t>25-4x15-105</t>
        </is>
      </c>
      <c r="H43" s="41" t="inlineStr">
        <is>
          <t>Crochets 135°</t>
        </is>
      </c>
      <c r="I43" s="41" t="inlineStr">
        <is>
          <t>Recouvrement &gt;= 72 cm</t>
        </is>
      </c>
      <c r="J43" s="43" t="inlineStr">
        <is>
          <t>Attente soubassement sismique</t>
        </is>
      </c>
      <c r="K43" s="43" t="inlineStr">
        <is>
          <t>CPMI EC8 (HA12 &gt;= 72 cm)</t>
        </is>
      </c>
    </row>
    <row r="45">
      <c r="A45" s="39" t="inlineStr">
        <is>
          <t>5. POUTRES À HAUTE RÉSISTANCE MANUPORTABLES (FIMUREX VULCAIN &amp; DEMETER)</t>
        </is>
      </c>
    </row>
    <row r="46">
      <c r="A46" s="40" t="inlineStr">
        <is>
          <t>Réf. Poutre</t>
        </is>
      </c>
      <c r="B46" s="40" t="inlineStr">
        <is>
          <t>Famille</t>
        </is>
      </c>
      <c r="C46" s="40" t="inlineStr">
        <is>
          <t>Portée Franchie (cm)</t>
        </is>
      </c>
      <c r="D46" s="40" t="inlineStr">
        <is>
          <t>Portée Réf. (cm)</t>
        </is>
      </c>
      <c r="E46" s="40" t="inlineStr">
        <is>
          <t>Section Béton BxH</t>
        </is>
      </c>
      <c r="F46" s="40" t="inlineStr">
        <is>
          <t>Plancher Façade (m)</t>
        </is>
      </c>
      <c r="G46" s="40" t="inlineStr">
        <is>
          <t>Plancher Refend (m)</t>
        </is>
      </c>
      <c r="H46" s="40" t="inlineStr">
        <is>
          <t>Pser Admissible (daN/m)</t>
        </is>
      </c>
      <c r="I46" s="40" t="inlineStr">
        <is>
          <t>Pser Appuis (daN)</t>
        </is>
      </c>
      <c r="J46" s="40" t="inlineStr">
        <is>
          <t>Ancrage Mini</t>
        </is>
      </c>
      <c r="K46" s="40" t="inlineStr">
        <is>
          <t>Flèche Admissible</t>
        </is>
      </c>
    </row>
    <row r="47">
      <c r="A47" s="41" t="inlineStr">
        <is>
          <t>V25012X20</t>
        </is>
      </c>
      <c r="B47" s="41" t="inlineStr">
        <is>
          <t>Vulcain (Refend)</t>
        </is>
      </c>
      <c r="C47" s="41" t="inlineStr">
        <is>
          <t>160 à 210</t>
        </is>
      </c>
      <c r="D47" s="45" t="n">
        <v>200</v>
      </c>
      <c r="E47" s="41" t="inlineStr">
        <is>
          <t>20 x 25</t>
        </is>
      </c>
      <c r="F47" s="44" t="n">
        <v>2.5</v>
      </c>
      <c r="G47" s="44" t="n">
        <v>7.4</v>
      </c>
      <c r="H47" s="42" t="n">
        <v>2670</v>
      </c>
      <c r="I47" s="42" t="n">
        <v>2670</v>
      </c>
      <c r="J47" s="41" t="inlineStr">
        <is>
          <t>13 cm mini</t>
        </is>
      </c>
      <c r="K47" s="43" t="inlineStr">
        <is>
          <t>L/500 (FD P18-717)</t>
        </is>
      </c>
    </row>
    <row r="48">
      <c r="A48" s="41" t="inlineStr">
        <is>
          <t>V35012X25</t>
        </is>
      </c>
      <c r="B48" s="41" t="inlineStr">
        <is>
          <t>Vulcain (Refend)</t>
        </is>
      </c>
      <c r="C48" s="41" t="inlineStr">
        <is>
          <t>260 à 310</t>
        </is>
      </c>
      <c r="D48" s="45" t="n">
        <v>300</v>
      </c>
      <c r="E48" s="41" t="inlineStr">
        <is>
          <t>20 x 30</t>
        </is>
      </c>
      <c r="F48" s="44" t="n">
        <v>3.6</v>
      </c>
      <c r="G48" s="44" t="n">
        <v>7.3</v>
      </c>
      <c r="H48" s="42" t="n">
        <v>2650</v>
      </c>
      <c r="I48" s="42" t="n">
        <v>3980</v>
      </c>
      <c r="J48" s="41" t="inlineStr">
        <is>
          <t>13 cm mini</t>
        </is>
      </c>
      <c r="K48" s="43" t="inlineStr">
        <is>
          <t>L/500 (FD P18-717)</t>
        </is>
      </c>
    </row>
    <row r="49">
      <c r="A49" s="41" t="inlineStr">
        <is>
          <t>V45012X35</t>
        </is>
      </c>
      <c r="B49" s="41" t="inlineStr">
        <is>
          <t>Vulcain (Refend)</t>
        </is>
      </c>
      <c r="C49" s="41" t="inlineStr">
        <is>
          <t>360 à 410</t>
        </is>
      </c>
      <c r="D49" s="45" t="n">
        <v>400</v>
      </c>
      <c r="E49" s="41" t="inlineStr">
        <is>
          <t>20 x 40</t>
        </is>
      </c>
      <c r="F49" s="44" t="n">
        <v>4.1</v>
      </c>
      <c r="G49" s="44" t="n">
        <v>8.6</v>
      </c>
      <c r="H49" s="42" t="n">
        <v>3150</v>
      </c>
      <c r="I49" s="42" t="n">
        <v>6300</v>
      </c>
      <c r="J49" s="41" t="inlineStr">
        <is>
          <t>13 cm mini</t>
        </is>
      </c>
      <c r="K49" s="43" t="inlineStr">
        <is>
          <t>L/500 (FD P18-717)</t>
        </is>
      </c>
    </row>
    <row r="50">
      <c r="A50" s="41" t="inlineStr">
        <is>
          <t>V55012X40</t>
        </is>
      </c>
      <c r="B50" s="41" t="inlineStr">
        <is>
          <t>Vulcain (Refend)</t>
        </is>
      </c>
      <c r="C50" s="41" t="inlineStr">
        <is>
          <t>460 à 510</t>
        </is>
      </c>
      <c r="D50" s="45" t="n">
        <v>500</v>
      </c>
      <c r="E50" s="41" t="inlineStr">
        <is>
          <t>20 x 45</t>
        </is>
      </c>
      <c r="F50" s="44" t="n">
        <v>3.6</v>
      </c>
      <c r="G50" s="44" t="n">
        <v>8.199999999999999</v>
      </c>
      <c r="H50" s="42" t="n">
        <v>3040</v>
      </c>
      <c r="I50" s="42" t="n">
        <v>7600</v>
      </c>
      <c r="J50" s="41" t="inlineStr">
        <is>
          <t>13 cm mini</t>
        </is>
      </c>
      <c r="K50" s="43" t="inlineStr">
        <is>
          <t>L/500 (FD P18-717)</t>
        </is>
      </c>
    </row>
    <row r="51">
      <c r="A51" s="41" t="inlineStr">
        <is>
          <t>D35014X30</t>
        </is>
      </c>
      <c r="B51" s="41" t="inlineStr">
        <is>
          <t>Demeter (Fortes charges)</t>
        </is>
      </c>
      <c r="C51" s="41" t="inlineStr">
        <is>
          <t>260 à 310</t>
        </is>
      </c>
      <c r="D51" s="45" t="n">
        <v>300</v>
      </c>
      <c r="E51" s="41" t="inlineStr">
        <is>
          <t>20 x 35</t>
        </is>
      </c>
      <c r="F51" s="44" t="n">
        <v>11.2</v>
      </c>
      <c r="G51" s="44" t="n">
        <v>14.8</v>
      </c>
      <c r="H51" s="42" t="n">
        <v>5190</v>
      </c>
      <c r="I51" s="42" t="n">
        <v>7790</v>
      </c>
      <c r="J51" s="41" t="inlineStr">
        <is>
          <t>18 cm mini</t>
        </is>
      </c>
      <c r="K51" s="43" t="inlineStr">
        <is>
          <t>L/500 (FD P18-717)</t>
        </is>
      </c>
    </row>
    <row r="52">
      <c r="A52" s="41" t="inlineStr">
        <is>
          <t>D45014X35</t>
        </is>
      </c>
      <c r="B52" s="41" t="inlineStr">
        <is>
          <t>Demeter (Fortes charges)</t>
        </is>
      </c>
      <c r="C52" s="41" t="inlineStr">
        <is>
          <t>360 à 410</t>
        </is>
      </c>
      <c r="D52" s="45" t="n">
        <v>400</v>
      </c>
      <c r="E52" s="41" t="inlineStr">
        <is>
          <t>20 x 40</t>
        </is>
      </c>
      <c r="F52" s="44" t="n">
        <v>9</v>
      </c>
      <c r="G52" s="44" t="n">
        <v>12.9</v>
      </c>
      <c r="H52" s="42" t="n">
        <v>4570</v>
      </c>
      <c r="I52" s="42" t="n">
        <v>9140</v>
      </c>
      <c r="J52" s="41" t="inlineStr">
        <is>
          <t>18 cm mini</t>
        </is>
      </c>
      <c r="K52" s="43" t="inlineStr">
        <is>
          <t>L/500 (FD P18-717)</t>
        </is>
      </c>
    </row>
    <row r="53">
      <c r="A53" s="41" t="inlineStr">
        <is>
          <t>D55014X45</t>
        </is>
      </c>
      <c r="B53" s="41" t="inlineStr">
        <is>
          <t>Demeter (Fortes charges)</t>
        </is>
      </c>
      <c r="C53" s="41" t="inlineStr">
        <is>
          <t>460 à 510</t>
        </is>
      </c>
      <c r="D53" s="45" t="n">
        <v>500</v>
      </c>
      <c r="E53" s="41" t="inlineStr">
        <is>
          <t>20 x 50</t>
        </is>
      </c>
      <c r="F53" s="44" t="n">
        <v>8.6</v>
      </c>
      <c r="G53" s="44" t="n">
        <v>12.5</v>
      </c>
      <c r="H53" s="42" t="n">
        <v>4500</v>
      </c>
      <c r="I53" s="42" t="n">
        <v>11250</v>
      </c>
      <c r="J53" s="41" t="inlineStr">
        <is>
          <t>18 cm mini</t>
        </is>
      </c>
      <c r="K53" s="43" t="inlineStr">
        <is>
          <t>L/500 (FD P18-717)</t>
        </is>
      </c>
    </row>
    <row r="54">
      <c r="A54" s="41" t="inlineStr">
        <is>
          <t>D65014X50</t>
        </is>
      </c>
      <c r="B54" s="41" t="inlineStr">
        <is>
          <t>Demeter (Fortes charges)</t>
        </is>
      </c>
      <c r="C54" s="41" t="inlineStr">
        <is>
          <t>560 à 610</t>
        </is>
      </c>
      <c r="D54" s="45" t="n">
        <v>600</v>
      </c>
      <c r="E54" s="41" t="inlineStr">
        <is>
          <t>20 x 55</t>
        </is>
      </c>
      <c r="F54" s="44" t="n">
        <v>6.6</v>
      </c>
      <c r="G54" s="44" t="n">
        <v>10.8</v>
      </c>
      <c r="H54" s="42" t="n">
        <v>3940</v>
      </c>
      <c r="I54" s="42" t="n">
        <v>11820</v>
      </c>
      <c r="J54" s="41" t="inlineStr">
        <is>
          <t>18 cm mini</t>
        </is>
      </c>
      <c r="K54" s="43" t="inlineStr">
        <is>
          <t>L/500 (FD P18-717)</t>
        </is>
      </c>
    </row>
    <row r="56">
      <c r="A56" s="39" t="inlineStr">
        <is>
          <t>6. TREILLIS SOUDÉS ADETS &amp; ACCESSOIRES DE LIAISON / CONTINUITÉ</t>
        </is>
      </c>
    </row>
    <row r="57">
      <c r="A57" s="40" t="inlineStr">
        <is>
          <t>Réf. Composant</t>
        </is>
      </c>
      <c r="B57" s="40" t="inlineStr">
        <is>
          <t>Catégorie</t>
        </is>
      </c>
      <c r="C57" s="40" t="inlineStr">
        <is>
          <t>Dimensions / Format</t>
        </is>
      </c>
      <c r="D57" s="40" t="inlineStr">
        <is>
          <t>Aciers / Diamètre</t>
        </is>
      </c>
      <c r="E57" s="40" t="inlineStr">
        <is>
          <t>Maille (cm)</t>
        </is>
      </c>
      <c r="F57" s="40" t="inlineStr">
        <is>
          <t>Poids Unitaire</t>
        </is>
      </c>
      <c r="G57" s="40" t="inlineStr">
        <is>
          <t>Nuance Acier</t>
        </is>
      </c>
      <c r="H57" s="40" t="inlineStr">
        <is>
          <t>Norme / Certificat</t>
        </is>
      </c>
      <c r="I57" s="40" t="inlineStr">
        <is>
          <t>Rôle Structurel</t>
        </is>
      </c>
      <c r="J57" s="40" t="inlineStr">
        <is>
          <t>-</t>
        </is>
      </c>
      <c r="K57" s="40" t="inlineStr">
        <is>
          <t>-</t>
        </is>
      </c>
    </row>
    <row r="58">
      <c r="A58" s="41" t="inlineStr">
        <is>
          <t>ST15C</t>
        </is>
      </c>
      <c r="B58" s="41" t="inlineStr">
        <is>
          <t>Treillis ADETS</t>
        </is>
      </c>
      <c r="C58" s="41" t="inlineStr">
        <is>
          <t>Panneau 4.00 x 2.40 m</t>
        </is>
      </c>
      <c r="D58" s="41" t="inlineStr">
        <is>
          <t>Filants HA 6 + HA 6</t>
        </is>
      </c>
      <c r="E58" s="41" t="inlineStr">
        <is>
          <t>20 x 20</t>
        </is>
      </c>
      <c r="F58" s="41" t="inlineStr">
        <is>
          <t>2.22 kg/m²</t>
        </is>
      </c>
      <c r="G58" s="41" t="inlineStr">
        <is>
          <t>B500A / B500B</t>
        </is>
      </c>
      <c r="H58" s="41" t="inlineStr">
        <is>
          <t>NF AFCAB / ADETS</t>
        </is>
      </c>
      <c r="I58" s="43" t="inlineStr">
        <is>
          <t>Dallage &amp; compression</t>
        </is>
      </c>
      <c r="J58" s="41" t="inlineStr"/>
      <c r="K58" s="41" t="inlineStr"/>
    </row>
    <row r="59">
      <c r="A59" s="41" t="inlineStr">
        <is>
          <t>ST25C</t>
        </is>
      </c>
      <c r="B59" s="41" t="inlineStr">
        <is>
          <t>Treillis ADETS</t>
        </is>
      </c>
      <c r="C59" s="41" t="inlineStr">
        <is>
          <t>Panneau 6.00 x 2.40 m</t>
        </is>
      </c>
      <c r="D59" s="41" t="inlineStr">
        <is>
          <t>Filants HA 7 + HA 7</t>
        </is>
      </c>
      <c r="E59" s="41" t="inlineStr">
        <is>
          <t>15 x 15</t>
        </is>
      </c>
      <c r="F59" s="41" t="inlineStr">
        <is>
          <t>4.02 kg/m²</t>
        </is>
      </c>
      <c r="G59" s="41" t="inlineStr">
        <is>
          <t>B500B</t>
        </is>
      </c>
      <c r="H59" s="41" t="inlineStr">
        <is>
          <t>NF AFCAB / ADETS</t>
        </is>
      </c>
      <c r="I59" s="43" t="inlineStr">
        <is>
          <t>Structure dalle BA</t>
        </is>
      </c>
      <c r="J59" s="41" t="inlineStr"/>
      <c r="K59" s="41" t="inlineStr"/>
    </row>
    <row r="60">
      <c r="A60" s="41" t="inlineStr">
        <is>
          <t>ST50C</t>
        </is>
      </c>
      <c r="B60" s="41" t="inlineStr">
        <is>
          <t>Treillis ADETS</t>
        </is>
      </c>
      <c r="C60" s="41" t="inlineStr">
        <is>
          <t>Panneau 6.00 x 2.40 m</t>
        </is>
      </c>
      <c r="D60" s="41" t="inlineStr">
        <is>
          <t>Filants HA 8 + HA 8</t>
        </is>
      </c>
      <c r="E60" s="41" t="inlineStr">
        <is>
          <t>10 x 10</t>
        </is>
      </c>
      <c r="F60" s="41" t="inlineStr">
        <is>
          <t>7.90 kg/m²</t>
        </is>
      </c>
      <c r="G60" s="41" t="inlineStr">
        <is>
          <t>B500B</t>
        </is>
      </c>
      <c r="H60" s="41" t="inlineStr">
        <is>
          <t>NF AFCAB / ADETS</t>
        </is>
      </c>
      <c r="I60" s="43" t="inlineStr">
        <is>
          <t>Radiers et dalles fortes</t>
        </is>
      </c>
      <c r="J60" s="41" t="inlineStr"/>
      <c r="K60" s="41" t="inlineStr"/>
    </row>
    <row r="61">
      <c r="A61" s="41" t="inlineStr">
        <is>
          <t>EQ1060</t>
        </is>
      </c>
      <c r="B61" s="41" t="inlineStr">
        <is>
          <t>Équerre de liaison</t>
        </is>
      </c>
      <c r="C61" s="41" t="inlineStr">
        <is>
          <t>Branches 60 x 60 cm</t>
        </is>
      </c>
      <c r="D61" s="41" t="inlineStr">
        <is>
          <t>Barre HA 10</t>
        </is>
      </c>
      <c r="E61" s="41" t="inlineStr">
        <is>
          <t>-</t>
        </is>
      </c>
      <c r="F61" s="41" t="inlineStr">
        <is>
          <t>0.617 kg/ml</t>
        </is>
      </c>
      <c r="G61" s="41" t="inlineStr">
        <is>
          <t>B500B</t>
        </is>
      </c>
      <c r="H61" s="41" t="inlineStr">
        <is>
          <t>Eurocode 2</t>
        </is>
      </c>
      <c r="I61" s="43" t="inlineStr">
        <is>
          <t>Liaisons d'angles chaînages</t>
        </is>
      </c>
      <c r="J61" s="41" t="inlineStr"/>
      <c r="K61" s="41" t="inlineStr"/>
    </row>
    <row r="62">
      <c r="A62" s="41" t="inlineStr">
        <is>
          <t>EQ1270</t>
        </is>
      </c>
      <c r="B62" s="41" t="inlineStr">
        <is>
          <t>Équerre de liaison</t>
        </is>
      </c>
      <c r="C62" s="41" t="inlineStr">
        <is>
          <t>Branches 70 x 70 cm</t>
        </is>
      </c>
      <c r="D62" s="41" t="inlineStr">
        <is>
          <t>Barre HA 12</t>
        </is>
      </c>
      <c r="E62" s="41" t="inlineStr">
        <is>
          <t>-</t>
        </is>
      </c>
      <c r="F62" s="41" t="inlineStr">
        <is>
          <t>0.888 kg/ml</t>
        </is>
      </c>
      <c r="G62" s="41" t="inlineStr">
        <is>
          <t>B500B</t>
        </is>
      </c>
      <c r="H62" s="41" t="inlineStr">
        <is>
          <t>Eurocode 2</t>
        </is>
      </c>
      <c r="I62" s="43" t="inlineStr">
        <is>
          <t>Liaisons d'angles semelles</t>
        </is>
      </c>
      <c r="J62" s="41" t="inlineStr"/>
      <c r="K62" s="41" t="inlineStr"/>
    </row>
    <row r="63">
      <c r="A63" s="41" t="inlineStr">
        <is>
          <t>CD12200</t>
        </is>
      </c>
      <c r="B63" s="41" t="inlineStr">
        <is>
          <t>Chapeau de continuité</t>
        </is>
      </c>
      <c r="C63" s="41" t="inlineStr">
        <is>
          <t>Longueur 2.00 m</t>
        </is>
      </c>
      <c r="D63" s="41" t="inlineStr">
        <is>
          <t>Barre HA 12</t>
        </is>
      </c>
      <c r="E63" s="41" t="inlineStr">
        <is>
          <t>-</t>
        </is>
      </c>
      <c r="F63" s="41" t="inlineStr">
        <is>
          <t>0.888 kg/ml</t>
        </is>
      </c>
      <c r="G63" s="41" t="inlineStr">
        <is>
          <t>B500B</t>
        </is>
      </c>
      <c r="H63" s="41" t="inlineStr">
        <is>
          <t>Eurocode 2</t>
        </is>
      </c>
      <c r="I63" s="43" t="inlineStr">
        <is>
          <t>Continuité poutrelles plancher</t>
        </is>
      </c>
      <c r="J63" s="41" t="inlineStr"/>
      <c r="K63" s="41" t="inlineStr"/>
    </row>
    <row r="64">
      <c r="A64" s="41" t="inlineStr">
        <is>
          <t>NOVABOX N48CX50</t>
        </is>
      </c>
      <c r="B64" s="41" t="inlineStr">
        <is>
          <t>Boîte d'attente</t>
        </is>
      </c>
      <c r="C64" s="41" t="inlineStr">
        <is>
          <t>Profil 0.80 m (recouv. 50 cm)</t>
        </is>
      </c>
      <c r="D64" s="41" t="inlineStr">
        <is>
          <t>Barres HA 8 (e=200)</t>
        </is>
      </c>
      <c r="E64" s="41" t="inlineStr">
        <is>
          <t>-</t>
        </is>
      </c>
      <c r="F64" s="41" t="inlineStr">
        <is>
          <t>Standard</t>
        </is>
      </c>
      <c r="G64" s="41" t="inlineStr">
        <is>
          <t>B500B</t>
        </is>
      </c>
      <c r="H64" s="41" t="inlineStr">
        <is>
          <t>AFCAB R15/008</t>
        </is>
      </c>
      <c r="I64" s="43" t="inlineStr">
        <is>
          <t>Reprise de coulage voiles/dalles</t>
        </is>
      </c>
      <c r="J64" s="41" t="inlineStr"/>
      <c r="K64" s="41" t="inlineStr"/>
    </row>
  </sheetData>
  <mergeCells count="8">
    <mergeCell ref="A34:K34"/>
    <mergeCell ref="A4:K4"/>
    <mergeCell ref="A24:K24"/>
    <mergeCell ref="A2:K2"/>
    <mergeCell ref="A16:K16"/>
    <mergeCell ref="A45:K45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2026-09-05T23:03:09Z</dcterms:created>
  <dcterms:modified xsi:type="dcterms:W3CDTF">2026-09-06T00:23:52Z</dcterms:modified>
</cp:coreProperties>
</file>